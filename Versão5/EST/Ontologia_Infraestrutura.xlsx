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E94D6740-9F21-42C4-B9C7-08AE8E8D333F}"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523" i="32" l="1"/>
  <c r="BF522" i="32"/>
  <c r="BF521" i="32"/>
  <c r="BF520" i="32"/>
  <c r="BF519" i="32"/>
  <c r="X393" i="31"/>
  <c r="X394" i="31"/>
  <c r="V394" i="31"/>
  <c r="U394" i="31"/>
  <c r="T394" i="31"/>
  <c r="O394" i="31"/>
  <c r="N394" i="31"/>
  <c r="M394" i="31"/>
  <c r="L394" i="31"/>
  <c r="V393" i="31" l="1"/>
  <c r="U393" i="31"/>
  <c r="T393" i="31"/>
  <c r="O393" i="31"/>
  <c r="N393" i="31"/>
  <c r="M393" i="31"/>
  <c r="L393" i="31"/>
  <c r="X392" i="31"/>
  <c r="V392" i="31"/>
  <c r="U392" i="31"/>
  <c r="T392" i="31"/>
  <c r="O392" i="31"/>
  <c r="N392" i="31"/>
  <c r="M392" i="31"/>
  <c r="L392" i="31"/>
  <c r="X391"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<sst xmlns="http://schemas.openxmlformats.org/spreadsheetml/2006/main" count="42509" uniqueCount="2618">
  <si>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</si>
  <si>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</si>
  <si>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</si>
  <si>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</si>
  <si>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</si>
  <si>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</si>
  <si>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</si>
  <si>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</si>
  <si>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</si>
  <si>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</si>
  <si>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</si>
  <si>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</si>
  <si>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</si>
  <si>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</si>
  <si>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</si>
  <si>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</si>
  <si>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</si>
  <si>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</si>
  <si>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</si>
  <si>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</si>
  <si>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</si>
  <si>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</si>
  <si>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</si>
  <si>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</si>
  <si>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</si>
  <si>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</si>
  <si>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</si>
  <si>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</si>
  <si>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</si>
  <si>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</si>
  <si>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</si>
  <si>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</si>
  <si>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</si>
  <si>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</si>
  <si>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</si>
  <si>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</si>
  <si>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</si>
  <si>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</si>
  <si>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</si>
  <si>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</si>
  <si>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</si>
  <si>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</si>
  <si>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</si>
  <si>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</si>
  <si>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</si>
  <si>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</si>
  <si>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</si>
  <si>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</si>
  <si>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</si>
  <si>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</si>
  <si>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</si>
  <si>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</si>
  <si>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</si>
  <si>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</si>
  <si>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</si>
  <si>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</si>
  <si>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</si>
  <si>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</si>
  <si>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</si>
  <si>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</si>
  <si>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</si>
  <si>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</si>
  <si>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</si>
  <si>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</si>
  <si>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</si>
  <si>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</si>
  <si>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</si>
  <si>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</si>
  <si>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</si>
  <si>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</si>
  <si>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</si>
  <si>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</si>
  <si>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</si>
  <si>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</si>
  <si>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</si>
  <si>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</si>
  <si>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</si>
  <si>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</si>
  <si>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</si>
  <si>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</si>
  <si>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</si>
  <si>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</si>
  <si>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</si>
  <si>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</si>
  <si>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</si>
  <si>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</si>
  <si>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</si>
  <si>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</si>
  <si>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</si>
  <si>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</si>
  <si>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</si>
  <si>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</si>
  <si>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</si>
  <si>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</si>
  <si>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</si>
  <si>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</si>
  <si>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</si>
  <si>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</si>
  <si>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</si>
  <si>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</si>
  <si>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</si>
  <si>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</si>
  <si>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</si>
  <si>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</si>
  <si>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</si>
  <si>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</si>
  <si>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</si>
  <si>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</si>
  <si>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</si>
  <si>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</si>
  <si>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</si>
  <si>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</si>
  <si>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</si>
  <si>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</si>
  <si>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</si>
  <si>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</si>
  <si>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</si>
  <si>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</si>
  <si>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</si>
  <si>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</si>
  <si>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</si>
  <si>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</si>
  <si>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</si>
  <si>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</si>
  <si>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</si>
  <si>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</si>
  <si>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</si>
  <si>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</si>
  <si>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</si>
  <si>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</si>
  <si>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</si>
  <si>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</si>
  <si>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</si>
  <si>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</si>
  <si>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</si>
  <si>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</si>
  <si>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</si>
  <si>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</si>
  <si>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</si>
  <si>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</si>
  <si>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</si>
  <si>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</si>
  <si>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</si>
  <si>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</si>
  <si>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</si>
  <si>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</si>
  <si>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</si>
  <si>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</si>
  <si>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</si>
  <si>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</si>
  <si>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</si>
  <si>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</si>
  <si>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</si>
  <si>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</si>
  <si>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</si>
  <si>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</si>
  <si>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</si>
  <si>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</si>
  <si>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</si>
  <si>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</si>
  <si>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</si>
  <si>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</si>
  <si>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</si>
  <si>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</si>
  <si>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</si>
  <si>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</si>
  <si>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</si>
  <si>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</si>
  <si>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</si>
  <si>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</si>
  <si>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</si>
  <si>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</si>
  <si>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</si>
  <si>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</si>
  <si>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</si>
  <si>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</si>
  <si>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</si>
  <si>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</si>
  <si>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</si>
  <si>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</si>
  <si>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</si>
  <si>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</si>
  <si>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</si>
  <si>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</si>
  <si>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</si>
  <si>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</si>
  <si>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</si>
  <si>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</si>
  <si>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</si>
  <si>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</si>
  <si>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</si>
  <si>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</si>
  <si>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</si>
  <si>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</si>
  <si>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</si>
  <si>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</si>
  <si>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</si>
  <si>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</si>
  <si>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</si>
  <si>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</si>
  <si>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</si>
  <si>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</si>
  <si>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</si>
  <si>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</si>
  <si>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</si>
  <si>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</si>
  <si>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</si>
  <si>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</si>
  <si>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</si>
  <si>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</si>
  <si>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</si>
  <si>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</si>
  <si>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</si>
  <si>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</si>
  <si>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</si>
  <si>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</si>
  <si>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</si>
  <si>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</si>
  <si>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</si>
  <si>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</si>
  <si>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</si>
  <si>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</si>
  <si>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</si>
  <si>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</si>
  <si>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</si>
  <si>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</si>
  <si>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</si>
  <si>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</si>
  <si>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</si>
  <si>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</si>
  <si>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</si>
  <si>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</si>
  <si>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</si>
  <si>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</si>
  <si>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</si>
  <si>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</si>
  <si>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</si>
  <si>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</si>
  <si>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</si>
  <si>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</si>
  <si>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</si>
  <si>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</si>
  <si>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</si>
  <si>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</si>
  <si>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</si>
  <si>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</si>
  <si>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</si>
  <si>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</si>
  <si>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</si>
  <si>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</si>
  <si>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</si>
  <si>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</si>
  <si>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</si>
  <si>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</si>
  <si>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</si>
  <si>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</si>
  <si>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</si>
  <si>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</si>
  <si>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</si>
  <si>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</si>
  <si>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</si>
  <si>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</si>
  <si>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</si>
  <si>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</si>
  <si>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</si>
  <si>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</si>
  <si>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</si>
  <si>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</si>
  <si>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</si>
  <si>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</si>
  <si>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</si>
  <si>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</si>
  <si>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</si>
  <si>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</si>
  <si>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</si>
  <si>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</si>
  <si>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</si>
  <si>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</si>
  <si>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</si>
  <si>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</si>
  <si>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</si>
  <si>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</si>
  <si>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</si>
  <si>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</si>
  <si>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</si>
  <si>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</si>
  <si>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</si>
  <si>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</si>
  <si>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</si>
  <si>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</si>
  <si>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</si>
  <si>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</si>
  <si>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</si>
  <si>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</si>
  <si>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</si>
  <si>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</si>
  <si>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</si>
  <si>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</si>
  <si>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</si>
  <si>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</si>
  <si>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</si>
  <si>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</si>
  <si>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</si>
  <si>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</si>
  <si>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</si>
  <si>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</si>
  <si>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</si>
  <si>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</si>
  <si>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</si>
  <si>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</si>
  <si>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</si>
  <si>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</si>
  <si>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</si>
  <si>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</si>
  <si>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</si>
  <si>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</si>
  <si>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</si>
  <si>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</si>
  <si>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</si>
  <si>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</si>
  <si>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</si>
  <si>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</si>
  <si>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</si>
  <si>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</si>
  <si>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</si>
  <si>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</si>
  <si>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</si>
  <si>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</si>
  <si>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</si>
  <si>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</si>
  <si>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</si>
  <si>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</si>
  <si>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</si>
  <si>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</si>
  <si>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</si>
  <si>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</si>
  <si>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</si>
  <si>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</si>
  <si>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</si>
  <si>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</si>
  <si>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</si>
  <si>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</si>
  <si>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</si>
  <si>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</si>
  <si>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</si>
  <si>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</si>
  <si>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</si>
  <si>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</si>
  <si>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</si>
  <si>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</si>
  <si>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</si>
  <si>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</si>
  <si>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</si>
  <si>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</si>
  <si>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</si>
  <si>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</si>
  <si>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</si>
  <si>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</si>
  <si>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</si>
  <si>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</si>
  <si>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</si>
  <si>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</si>
  <si>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</si>
  <si>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</si>
  <si>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</si>
  <si>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</si>
  <si>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</si>
  <si>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</si>
  <si>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</si>
  <si>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</si>
  <si>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</si>
  <si>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</si>
  <si>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</si>
  <si>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</si>
  <si>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</si>
  <si>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</si>
  <si>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</si>
  <si>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</si>
  <si>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</si>
  <si>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</si>
  <si>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</si>
  <si>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</si>
  <si>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</si>
  <si>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</si>
  <si>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</si>
  <si>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</si>
  <si>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</si>
  <si>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</si>
  <si>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</si>
  <si>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</si>
  <si>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</si>
  <si>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</si>
  <si>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</si>
  <si>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</si>
  <si>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</si>
  <si>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</si>
  <si>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</si>
  <si>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</si>
  <si>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</si>
  <si>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</si>
  <si>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</si>
  <si>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</si>
  <si>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</si>
  <si>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</si>
  <si>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</si>
  <si>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</si>
  <si>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</si>
  <si>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</si>
  <si>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</si>
  <si>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</si>
  <si>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</si>
  <si>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</si>
  <si>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</si>
  <si>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</si>
  <si>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</si>
  <si>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</si>
  <si>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</si>
  <si>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</si>
  <si>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</si>
  <si>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</si>
  <si>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</si>
  <si>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</si>
  <si>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</si>
  <si>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</si>
  <si>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</si>
  <si>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</si>
  <si>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</si>
  <si>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</si>
  <si>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</si>
  <si>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</si>
  <si>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</si>
  <si>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</si>
  <si>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</si>
  <si>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</si>
  <si>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</si>
  <si>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</si>
  <si>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</si>
  <si>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</si>
  <si>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</si>
  <si>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</si>
  <si>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</si>
  <si>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</si>
  <si>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</si>
  <si>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</si>
  <si>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</si>
  <si>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</si>
  <si>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</si>
  <si>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</si>
  <si>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</si>
  <si>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</si>
  <si>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</si>
  <si>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</si>
  <si>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</si>
  <si>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</si>
  <si>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</si>
  <si>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</si>
  <si>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</si>
  <si>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</si>
  <si>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</si>
  <si>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</si>
  <si>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</si>
  <si>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</si>
  <si>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</si>
  <si>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</si>
  <si>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</si>
  <si>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</si>
  <si>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</si>
  <si>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</si>
  <si>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</si>
  <si>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</si>
  <si>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</si>
  <si>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</si>
  <si>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</si>
  <si>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</si>
  <si>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</si>
  <si>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</si>
  <si>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</si>
  <si>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</si>
  <si>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</si>
  <si>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</si>
  <si>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</si>
  <si>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</si>
  <si>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</si>
  <si>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</si>
  <si>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</si>
  <si>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</si>
  <si>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</si>
  <si>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</si>
  <si>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</si>
  <si>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</si>
  <si>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</si>
  <si>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</si>
  <si>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</si>
  <si>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</si>
  <si>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</si>
  <si>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</si>
  <si>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</si>
  <si>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</si>
  <si>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</si>
  <si>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</si>
  <si>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</si>
  <si>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</si>
  <si>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</si>
  <si>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</si>
  <si>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</si>
  <si>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</si>
  <si>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</si>
  <si>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</si>
  <si>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</si>
  <si>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</si>
  <si>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</si>
  <si>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</si>
  <si>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</si>
  <si>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</si>
  <si>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</si>
  <si>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</si>
  <si>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</si>
  <si>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</si>
  <si>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</si>
  <si>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</si>
  <si>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</si>
  <si>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</si>
  <si>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</si>
  <si>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</si>
  <si>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</si>
  <si>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</si>
  <si>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</si>
  <si>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</si>
  <si>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</si>
  <si>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</si>
  <si>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</si>
  <si>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</si>
  <si>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</si>
  <si>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</si>
  <si>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</si>
  <si>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</si>
  <si>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</si>
  <si>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</si>
  <si>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</si>
  <si>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</si>
  <si>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</si>
  <si>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</si>
  <si>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</si>
  <si>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</si>
  <si>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</si>
  <si>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</si>
  <si>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</si>
  <si>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</si>
  <si>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</si>
  <si>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</si>
  <si>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</si>
  <si>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</si>
  <si>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</si>
  <si>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</si>
  <si>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</si>
  <si>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</si>
  <si>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</si>
  <si>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</si>
  <si>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</si>
  <si>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</si>
  <si>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</si>
  <si>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</si>
  <si>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</si>
  <si>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</si>
  <si>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</si>
  <si>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</si>
  <si>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</si>
  <si>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</si>
  <si>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</si>
  <si>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</si>
  <si>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</si>
  <si>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</si>
  <si>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</si>
  <si>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</si>
  <si>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</si>
  <si>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</si>
  <si>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</si>
  <si>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</si>
  <si>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</si>
  <si>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</si>
  <si>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</si>
  <si>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</si>
  <si>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</si>
  <si>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</si>
  <si>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</si>
  <si>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</si>
  <si>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</si>
  <si>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</si>
  <si>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</si>
  <si>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</si>
  <si>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</si>
  <si>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</si>
  <si>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</si>
  <si>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</si>
  <si>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</si>
  <si>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</si>
  <si>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</si>
  <si>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</si>
  <si>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</si>
  <si>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</si>
  <si>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</si>
  <si>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</si>
  <si>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</si>
  <si>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</si>
  <si>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</si>
  <si>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</si>
  <si>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</si>
  <si>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</si>
  <si>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</si>
  <si>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</si>
  <si>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</si>
  <si>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</si>
  <si>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</si>
  <si>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</si>
  <si>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</si>
  <si>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</si>
  <si>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</si>
  <si>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</si>
  <si>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</si>
  <si>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</si>
  <si>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</si>
  <si>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</si>
  <si>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</si>
  <si>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</si>
  <si>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</si>
  <si>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</si>
  <si>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</si>
  <si>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</si>
  <si>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</si>
  <si>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</si>
  <si>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</si>
  <si>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</si>
  <si>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</si>
  <si>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</si>
  <si>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</si>
  <si>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</si>
  <si>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</si>
  <si>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</si>
  <si>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</si>
  <si>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</si>
  <si>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</si>
  <si>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</si>
  <si>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</si>
  <si>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</si>
  <si>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</si>
  <si>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</si>
  <si>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</si>
  <si>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</si>
  <si>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</si>
  <si>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</si>
  <si>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</si>
  <si>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</si>
  <si>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</si>
  <si>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</si>
  <si>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</si>
  <si>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</si>
  <si>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</si>
  <si>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</si>
  <si>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</si>
  <si>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</si>
  <si>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</si>
  <si>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</si>
  <si>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</si>
  <si>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</si>
  <si>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</si>
  <si>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</si>
  <si>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</si>
  <si>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</si>
  <si>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</si>
  <si>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</si>
  <si>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</si>
  <si>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</si>
  <si>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</si>
  <si>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</si>
  <si>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</si>
  <si>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</si>
  <si>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</si>
  <si>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</si>
  <si>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</si>
  <si>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</si>
  <si>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</si>
  <si>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</si>
  <si>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</si>
  <si>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</si>
  <si>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</si>
  <si>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</si>
  <si>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</si>
  <si>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</si>
  <si>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</si>
  <si>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</si>
  <si>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</si>
  <si>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</si>
  <si>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</si>
  <si>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</si>
  <si>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</si>
  <si>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</si>
  <si>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</si>
  <si>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</si>
  <si>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</si>
  <si>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</si>
  <si>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</si>
  <si>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</si>
  <si>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</si>
  <si>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</si>
  <si>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</si>
  <si>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</si>
  <si>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</si>
  <si>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</si>
  <si>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</si>
  <si>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</si>
  <si>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</si>
  <si>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</si>
  <si>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</si>
  <si>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</si>
  <si>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</si>
  <si>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</si>
  <si>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</si>
  <si>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</si>
  <si>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</si>
  <si>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</si>
  <si>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</si>
  <si>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</si>
  <si>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</si>
  <si>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</si>
  <si>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</si>
  <si>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</si>
  <si>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</si>
  <si>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</si>
  <si>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</si>
  <si>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</si>
  <si>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</si>
  <si>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</si>
  <si>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</si>
  <si>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</si>
  <si>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</si>
  <si>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</si>
  <si>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</si>
  <si>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</si>
  <si>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</si>
  <si>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</si>
  <si>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</si>
  <si>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</si>
  <si>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</si>
  <si>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</si>
  <si>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</si>
  <si>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</si>
  <si>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</si>
  <si>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</si>
  <si>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</si>
  <si>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</si>
  <si>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</si>
  <si>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</si>
  <si>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</si>
  <si>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</si>
  <si>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</si>
  <si>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</si>
  <si>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</si>
  <si>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</si>
  <si>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</si>
  <si>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</si>
  <si>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</si>
  <si>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</si>
  <si>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</si>
  <si>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</si>
  <si>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</si>
  <si>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</si>
  <si>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</si>
  <si>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</si>
  <si>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</si>
  <si>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</si>
  <si>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</si>
  <si>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</si>
  <si>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</si>
  <si>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</si>
  <si>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</si>
  <si>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</si>
  <si>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</si>
  <si>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</si>
  <si>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</si>
  <si>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</si>
  <si>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</si>
  <si>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</si>
  <si>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</si>
  <si>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</si>
  <si>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</si>
  <si>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</si>
  <si>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</si>
  <si>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</si>
  <si>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</si>
  <si>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</si>
  <si>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</si>
  <si>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</si>
  <si>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</si>
  <si>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</si>
  <si>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</si>
  <si>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</si>
  <si>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</si>
  <si>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</si>
  <si>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</si>
  <si>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</si>
  <si>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</si>
  <si>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</si>
  <si>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</si>
  <si>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</si>
  <si>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</si>
  <si>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</si>
  <si>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</si>
  <si>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</si>
  <si>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</si>
  <si>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</si>
  <si>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</si>
  <si>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</si>
  <si>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</si>
  <si>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</si>
  <si>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</si>
  <si>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</si>
  <si>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</si>
  <si>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</si>
  <si>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</si>
  <si>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</si>
  <si>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</si>
  <si>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</si>
  <si>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</si>
  <si>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</si>
  <si>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</si>
  <si>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</si>
  <si>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</si>
  <si>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</si>
  <si>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</si>
  <si>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</si>
  <si>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</si>
  <si>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</si>
  <si>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</si>
  <si>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</si>
  <si>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</si>
  <si>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</si>
  <si>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</si>
  <si>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</si>
  <si>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</si>
  <si>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</si>
  <si>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</si>
  <si>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</si>
  <si>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</si>
  <si>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</si>
  <si>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</si>
  <si>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</si>
  <si>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</si>
  <si>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</si>
  <si>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</si>
  <si>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</si>
  <si>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</si>
  <si>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</si>
  <si>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</si>
  <si>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</si>
  <si>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</si>
  <si>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</si>
  <si>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</si>
  <si>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</si>
  <si>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</si>
  <si>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</si>
  <si>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</si>
  <si>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</si>
  <si>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</si>
  <si>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</si>
  <si>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</si>
  <si>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</si>
  <si>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</si>
  <si>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</si>
  <si>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</si>
  <si>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</si>
  <si>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</si>
  <si>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</si>
  <si>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</si>
  <si>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</si>
  <si>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</si>
  <si>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</si>
  <si>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</si>
  <si>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</si>
  <si>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</si>
  <si>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</si>
  <si>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</si>
  <si>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</si>
  <si>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</si>
  <si>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</si>
  <si>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</si>
  <si>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</si>
  <si>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</si>
  <si>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</si>
  <si>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</si>
  <si>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</si>
  <si>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</si>
  <si>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</si>
  <si>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</si>
  <si>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</si>
  <si>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</si>
  <si>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</si>
  <si>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</si>
  <si>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</si>
  <si>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</si>
  <si>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</si>
  <si>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</si>
  <si>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</si>
  <si>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</si>
  <si>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</si>
  <si>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</si>
  <si>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</si>
  <si>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</si>
  <si>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</si>
  <si>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</si>
  <si>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</si>
  <si>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</si>
  <si>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</si>
  <si>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</si>
  <si>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</si>
  <si>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</si>
  <si>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</si>
  <si>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</si>
  <si>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</si>
  <si>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</si>
  <si>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</si>
  <si>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</si>
  <si>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</si>
  <si>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</si>
  <si>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</si>
  <si>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</si>
  <si>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</si>
  <si>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</si>
  <si>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</si>
  <si>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</si>
  <si>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</si>
  <si>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</si>
  <si>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</si>
  <si>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</si>
  <si>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</si>
  <si>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</si>
  <si>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</si>
  <si>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</si>
  <si>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</si>
  <si>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</si>
  <si>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</si>
  <si>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</si>
  <si>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</si>
  <si>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</si>
  <si>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</si>
  <si>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</si>
  <si>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</si>
  <si>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</si>
  <si>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</si>
  <si>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</si>
  <si>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</si>
  <si>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</si>
  <si>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</si>
  <si>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</si>
  <si>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</si>
  <si>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</si>
  <si>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</si>
  <si>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</si>
  <si>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</si>
  <si>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</si>
  <si>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</si>
  <si>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</si>
  <si>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</si>
  <si>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</si>
  <si>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</si>
  <si>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</si>
  <si>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</si>
  <si>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</si>
  <si>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</si>
  <si>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</si>
  <si>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</si>
  <si>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</si>
  <si>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</si>
  <si>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</si>
  <si>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</si>
  <si>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</si>
  <si>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</si>
  <si>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</si>
  <si>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</si>
  <si>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</si>
  <si>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</si>
  <si>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</si>
  <si>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</si>
  <si>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</si>
  <si>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</si>
  <si>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</si>
  <si>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</si>
  <si>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</si>
  <si>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</si>
  <si>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</si>
  <si>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</si>
  <si>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</si>
  <si>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</si>
  <si>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</si>
  <si>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</si>
  <si>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</si>
  <si>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</si>
  <si>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</si>
  <si>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</si>
  <si>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</si>
  <si>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</si>
  <si>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</si>
  <si>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</si>
  <si>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</si>
  <si>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</si>
  <si>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</si>
  <si>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</si>
  <si>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</si>
  <si>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</si>
  <si>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</si>
  <si>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</si>
  <si>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</si>
  <si>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</si>
  <si>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</si>
  <si>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</si>
  <si>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</si>
  <si>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</si>
  <si>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</si>
  <si>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</si>
  <si>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</si>
  <si>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</si>
  <si>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</si>
  <si>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</si>
  <si>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</si>
  <si>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</si>
  <si>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</si>
  <si>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</si>
  <si>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</si>
  <si>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</si>
  <si>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</si>
  <si>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</si>
  <si>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</si>
  <si>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</si>
  <si>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</si>
  <si>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</si>
  <si>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</si>
  <si>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</si>
  <si>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</si>
  <si>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</si>
  <si>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</si>
  <si>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</si>
  <si>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</si>
  <si>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</si>
  <si>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</si>
  <si>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</si>
  <si>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</si>
  <si>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</si>
  <si>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</si>
  <si>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</si>
  <si>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</si>
  <si>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</si>
  <si>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</si>
  <si>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</si>
  <si>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</si>
  <si>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</si>
  <si>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</si>
  <si>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</si>
  <si>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</si>
  <si>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</si>
  <si>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</si>
  <si>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</si>
  <si>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</si>
  <si>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</si>
  <si>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</si>
  <si>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</si>
  <si>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</si>
  <si>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</si>
  <si>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</si>
  <si>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</si>
  <si>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</si>
  <si>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</si>
  <si>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</si>
  <si>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</si>
  <si>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</si>
  <si>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</si>
  <si>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</si>
  <si>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</si>
  <si>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</si>
  <si>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</si>
  <si>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</si>
  <si>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</si>
  <si>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</si>
  <si>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</si>
  <si>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</si>
  <si>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</si>
  <si>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</si>
  <si>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</si>
  <si>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</si>
  <si>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</si>
  <si>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</si>
  <si>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</si>
  <si>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</si>
  <si>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</si>
  <si>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</si>
  <si>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</si>
  <si>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</si>
  <si>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</si>
  <si>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</si>
  <si>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</si>
  <si>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</si>
  <si>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</si>
  <si>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</si>
  <si>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</si>
  <si>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</si>
  <si>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</si>
  <si>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</si>
  <si>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</si>
  <si>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</si>
  <si>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</si>
  <si>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</si>
  <si>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</si>
  <si>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</si>
  <si>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</si>
  <si>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</si>
  <si>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</si>
  <si>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</si>
  <si>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</si>
  <si>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</si>
  <si>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</si>
  <si>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</si>
  <si>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</si>
  <si>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</si>
  <si>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</si>
  <si>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</si>
  <si>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</si>
  <si>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</si>
  <si>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</si>
  <si>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</si>
  <si>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</si>
  <si>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</si>
  <si>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</si>
  <si>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</si>
  <si>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</si>
  <si>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</si>
  <si>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</si>
  <si>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</si>
  <si>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</si>
  <si>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</si>
  <si>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</si>
  <si>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</si>
  <si>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</si>
  <si>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</si>
  <si>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</si>
  <si>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</si>
  <si>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</si>
  <si>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</si>
  <si>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</si>
  <si>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</si>
  <si>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</si>
  <si>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</si>
  <si>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</si>
  <si>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</si>
  <si>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</si>
  <si>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</si>
  <si>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</si>
  <si>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</si>
  <si>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</si>
  <si>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</si>
  <si>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</si>
  <si>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</si>
  <si>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</si>
  <si>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</si>
  <si>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</si>
  <si>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</si>
  <si>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</si>
  <si>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</si>
  <si>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</si>
  <si>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</si>
  <si>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</si>
  <si>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</si>
  <si>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</si>
  <si>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</si>
  <si>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</si>
  <si>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</si>
  <si>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</si>
  <si>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</si>
  <si>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</si>
  <si>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</si>
  <si>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</si>
  <si>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</si>
  <si>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</si>
  <si>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</si>
  <si>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</si>
  <si>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</si>
  <si>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</si>
  <si>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</si>
  <si>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</si>
  <si>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</si>
  <si>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</si>
  <si>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</si>
  <si>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</si>
  <si>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</si>
  <si>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</si>
  <si>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</si>
  <si>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</si>
  <si>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</si>
  <si>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</si>
  <si>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</si>
  <si>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</si>
  <si>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</si>
  <si>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</si>
  <si>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</si>
  <si>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</si>
  <si>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</si>
  <si>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</si>
  <si>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</si>
  <si>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</si>
  <si>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</si>
  <si>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</si>
  <si>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</si>
  <si>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</si>
  <si>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</si>
  <si>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</si>
  <si>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</si>
  <si>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</si>
  <si>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</si>
  <si>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</si>
  <si>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</si>
  <si>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</si>
  <si>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</si>
  <si>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</si>
  <si>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</si>
  <si>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</si>
  <si>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</si>
  <si>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</si>
  <si>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</si>
  <si>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</si>
  <si>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</si>
  <si>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</si>
  <si>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</si>
  <si>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</si>
  <si>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</si>
  <si>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</si>
  <si>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</si>
  <si>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</si>
  <si>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</si>
  <si>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</si>
  <si>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</si>
  <si>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</si>
  <si>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</si>
  <si>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</si>
  <si>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</si>
  <si>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</si>
  <si>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</si>
  <si>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</si>
  <si>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</si>
  <si>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</si>
  <si>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</si>
  <si>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</si>
  <si>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</si>
  <si>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</si>
  <si>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</si>
  <si>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</si>
  <si>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</si>
  <si>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</si>
  <si>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</si>
  <si>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</si>
  <si>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</si>
  <si>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</si>
  <si>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</si>
  <si>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</si>
  <si>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</si>
  <si>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</si>
  <si>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</si>
  <si>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</si>
  <si>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</si>
  <si>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</si>
  <si>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</si>
  <si>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</si>
  <si>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</si>
  <si>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</si>
  <si>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</si>
  <si>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</si>
  <si>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</si>
  <si>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</si>
  <si>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</si>
  <si>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</si>
  <si>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</si>
  <si>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</si>
  <si>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</si>
  <si>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</si>
  <si>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</si>
  <si>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</si>
  <si>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</si>
  <si>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</si>
  <si>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</si>
  <si>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</si>
  <si>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</si>
  <si>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</si>
  <si>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</si>
  <si>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</si>
  <si>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</si>
  <si>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</si>
  <si>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</si>
  <si>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</si>
  <si>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</si>
  <si>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</si>
  <si>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</si>
  <si>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</si>
  <si>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</si>
  <si>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</si>
  <si>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</si>
  <si>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</si>
  <si>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</si>
  <si>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</si>
  <si>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</si>
  <si>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</si>
  <si>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</si>
  <si>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</si>
  <si>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</si>
  <si>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</si>
  <si>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</si>
  <si>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</si>
  <si>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</si>
  <si>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</si>
  <si>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</si>
  <si>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</si>
  <si>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</si>
  <si>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</si>
  <si>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</si>
  <si>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</si>
  <si>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</si>
  <si>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</si>
  <si>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</si>
  <si>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</si>
  <si>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</si>
  <si>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</si>
  <si>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</si>
  <si>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</si>
  <si>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</si>
  <si>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</si>
  <si>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</si>
  <si>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</si>
  <si>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</si>
  <si>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</si>
  <si>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</si>
  <si>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</si>
  <si>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</si>
  <si>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</si>
  <si>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</si>
  <si>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</si>
  <si>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</si>
  <si>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</si>
  <si>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</si>
  <si>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</si>
  <si>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</si>
  <si>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</si>
  <si>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</si>
  <si>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</si>
  <si>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</si>
  <si>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</si>
  <si>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</si>
  <si>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</si>
  <si>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</si>
  <si>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</si>
  <si>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</si>
  <si>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</si>
  <si>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</si>
  <si>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</si>
  <si>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</si>
  <si>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</si>
  <si>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</si>
  <si>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</si>
  <si>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</si>
  <si>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</si>
  <si>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</si>
  <si>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</si>
  <si>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</si>
  <si>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</si>
  <si>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</si>
  <si>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</si>
  <si>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</si>
  <si>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</si>
  <si>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</si>
  <si>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</si>
  <si>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</si>
  <si>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</si>
  <si>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</si>
  <si>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</si>
  <si>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</si>
  <si>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</si>
  <si>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</si>
  <si>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</si>
  <si>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</si>
  <si>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</si>
  <si>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</si>
  <si>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</si>
  <si>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</si>
  <si>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</si>
  <si>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</si>
  <si>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</si>
  <si>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</si>
  <si>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</si>
  <si>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</si>
  <si>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</si>
  <si>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</si>
  <si>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</si>
  <si>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</si>
  <si>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</si>
  <si>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</si>
  <si>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</si>
  <si>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</si>
  <si>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</si>
  <si>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</si>
  <si>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</si>
  <si>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</si>
  <si>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</si>
  <si>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</si>
  <si>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</si>
  <si>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</si>
  <si>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</si>
  <si>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</si>
  <si>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</si>
  <si>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</si>
  <si>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</si>
  <si>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</si>
  <si>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</si>
  <si>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</si>
  <si>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</si>
  <si>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</si>
  <si>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</si>
  <si>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</si>
  <si>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</si>
  <si>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</si>
  <si>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</si>
  <si>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</si>
  <si>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</si>
  <si>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</si>
  <si>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</si>
  <si>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</si>
  <si>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</si>
  <si>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</si>
  <si>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</si>
  <si>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</si>
  <si>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</si>
  <si>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</si>
  <si>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</si>
  <si>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</si>
  <si>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</si>
  <si>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</si>
  <si>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</si>
  <si>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</si>
  <si>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</si>
  <si>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</si>
  <si>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</si>
  <si>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</si>
  <si>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</si>
  <si>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</si>
  <si>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</si>
  <si>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</si>
  <si>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</si>
  <si>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</si>
  <si>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</si>
  <si>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</si>
  <si>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</si>
  <si>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</si>
  <si>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</si>
  <si>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</si>
  <si>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</si>
  <si>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</si>
  <si>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</si>
  <si>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</si>
  <si>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</si>
  <si>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</si>
  <si>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</si>
  <si>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</si>
  <si>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</si>
  <si>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</si>
  <si>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</si>
  <si>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</si>
  <si>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</si>
  <si>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</si>
  <si>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</si>
  <si>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</si>
  <si>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</si>
  <si>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</si>
  <si>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</si>
  <si>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</si>
  <si>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</si>
  <si>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</si>
  <si>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</si>
  <si>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</si>
  <si>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</si>
  <si>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</si>
  <si>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</si>
  <si>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</si>
  <si>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</si>
  <si>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</si>
  <si>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</si>
  <si>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</si>
  <si>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</si>
  <si>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</si>
  <si>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</si>
  <si>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</si>
  <si>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</si>
  <si>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</si>
  <si>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</si>
  <si>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</si>
  <si>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</si>
  <si>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</si>
  <si>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</si>
  <si>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</si>
  <si>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</si>
  <si>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</si>
  <si>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</si>
  <si>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</si>
  <si>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</si>
  <si>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</si>
  <si>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</si>
  <si>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</si>
  <si>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</si>
  <si>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</si>
  <si>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</si>
  <si>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</si>
  <si>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</si>
  <si>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</si>
  <si>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</si>
  <si>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</si>
  <si>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</si>
  <si>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</si>
  <si>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</si>
  <si>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</si>
  <si>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</si>
  <si>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</si>
  <si>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</si>
  <si>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</si>
  <si>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</si>
  <si>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</si>
  <si>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</si>
  <si>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</si>
  <si>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</si>
  <si>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</si>
  <si>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</si>
  <si>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</si>
  <si>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</si>
  <si>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</si>
  <si>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</si>
  <si>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</si>
  <si>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</si>
  <si>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</si>
  <si>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</si>
  <si>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</si>
  <si>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</si>
  <si>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</si>
  <si>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</si>
  <si>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</si>
  <si>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</si>
  <si>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</si>
  <si>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</si>
  <si>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</si>
  <si>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</si>
  <si>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</si>
  <si>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</si>
  <si>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</si>
  <si>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</si>
  <si>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</si>
  <si>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</si>
  <si>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</si>
  <si>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</si>
  <si>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</si>
  <si>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</si>
  <si>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</si>
  <si>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</si>
  <si>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</si>
  <si>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</si>
  <si>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</si>
  <si>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</si>
  <si>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</si>
  <si>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</si>
  <si>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</si>
  <si>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</si>
  <si>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</si>
  <si>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</si>
  <si>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</si>
  <si>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</si>
  <si>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</si>
  <si>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</si>
  <si>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</si>
  <si>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</si>
  <si>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</si>
  <si>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</si>
  <si>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</si>
  <si>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</si>
  <si>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</si>
  <si>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</si>
  <si>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</si>
  <si>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</si>
  <si>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</si>
  <si>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</si>
  <si>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</si>
  <si>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</si>
  <si>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</si>
  <si>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</si>
  <si>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</si>
  <si>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</si>
  <si>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</si>
  <si>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</si>
  <si>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</si>
  <si>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</si>
  <si>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</si>
  <si>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</si>
  <si>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</si>
  <si>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</si>
  <si>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</si>
  <si>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</si>
  <si>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</si>
  <si>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</si>
  <si>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</si>
  <si>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</si>
  <si>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</si>
  <si>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</si>
  <si>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</si>
  <si>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</si>
  <si>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</si>
  <si>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</si>
  <si>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</si>
  <si>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</si>
  <si>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</si>
  <si>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</si>
  <si>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</si>
  <si>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</si>
  <si>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</si>
  <si>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</si>
  <si>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</si>
  <si>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</si>
  <si>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</si>
  <si>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</si>
  <si>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</si>
  <si>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</si>
  <si>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</si>
  <si>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</si>
  <si>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</si>
  <si>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</si>
  <si>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</si>
  <si>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</si>
  <si>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</si>
  <si>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</si>
  <si>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</si>
  <si>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</si>
  <si>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</si>
  <si>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</si>
  <si>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</si>
  <si>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</si>
  <si>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</si>
  <si>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</si>
  <si>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</si>
  <si>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</si>
  <si>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</si>
  <si>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</si>
  <si>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</si>
  <si>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</si>
  <si>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</si>
  <si>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</si>
  <si>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</si>
  <si>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</si>
  <si>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</si>
  <si>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</si>
  <si>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</si>
  <si>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</si>
  <si>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</si>
  <si>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</si>
  <si>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</si>
  <si>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</si>
  <si>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</si>
  <si>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</si>
  <si>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</si>
  <si>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</si>
  <si>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</si>
  <si>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</si>
  <si>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</si>
  <si>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</si>
  <si>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</si>
  <si>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</si>
  <si>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</si>
  <si>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</si>
  <si>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</si>
  <si>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</si>
  <si>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</si>
  <si>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</si>
  <si>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</si>
  <si>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</si>
  <si>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</si>
  <si>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</si>
  <si>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</si>
  <si>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</si>
  <si>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</si>
  <si>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</si>
  <si>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</si>
  <si>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</si>
  <si>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</si>
  <si>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</si>
  <si>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</si>
  <si>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</si>
  <si>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</si>
  <si>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</si>
  <si>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</si>
  <si>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</si>
  <si>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</si>
  <si>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</si>
  <si>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</si>
  <si>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</si>
  <si>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</si>
  <si>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</si>
  <si>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</si>
  <si>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</si>
  <si>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</si>
  <si>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</si>
  <si>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</si>
  <si>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</si>
  <si>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</si>
  <si>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</si>
  <si>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</si>
  <si>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</si>
  <si>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</si>
  <si>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</si>
  <si>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</si>
  <si>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</si>
  <si>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</si>
  <si>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</si>
  <si>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</si>
  <si>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</si>
  <si>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</si>
  <si>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</si>
  <si>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</si>
  <si>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</si>
  <si>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</si>
  <si>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</si>
  <si>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</si>
  <si>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</si>
  <si>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</si>
  <si>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</si>
  <si>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</si>
  <si>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</si>
  <si>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</si>
  <si>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</si>
  <si>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</si>
  <si>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</si>
  <si>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</si>
  <si>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</si>
  <si>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</si>
  <si>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</si>
  <si>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</si>
  <si>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</si>
  <si>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</si>
  <si>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</si>
  <si>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</si>
  <si>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</si>
  <si>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</si>
  <si>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</si>
  <si>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</si>
  <si>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</si>
  <si>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</si>
  <si>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</si>
  <si>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</si>
  <si>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</si>
  <si>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</si>
  <si>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</si>
  <si>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</si>
  <si>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</si>
  <si>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</si>
  <si>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</si>
  <si>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</si>
  <si>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</si>
  <si>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</si>
  <si>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</si>
  <si>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</si>
  <si>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</si>
  <si>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</si>
  <si>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</si>
  <si>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</si>
  <si>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</si>
  <si>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</si>
  <si>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</si>
  <si>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</si>
  <si>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</si>
  <si>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</si>
  <si>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</si>
  <si>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</si>
  <si>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</si>
  <si>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</si>
  <si>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</si>
  <si>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</si>
  <si>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</si>
  <si>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</si>
  <si>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</si>
  <si>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</si>
  <si>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</si>
  <si>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</si>
  <si>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</si>
  <si>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</si>
  <si>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</si>
  <si>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</si>
  <si>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</si>
  <si>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</si>
  <si>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</si>
  <si>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</si>
  <si>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</si>
  <si>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</si>
  <si>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</si>
  <si>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</si>
  <si>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</si>
  <si>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</si>
  <si>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</si>
  <si>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</si>
  <si>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</si>
  <si>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</si>
  <si>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</si>
  <si>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</si>
  <si>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</si>
  <si>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</si>
  <si>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</si>
  <si>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</si>
  <si>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</si>
  <si>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</si>
  <si>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</si>
  <si>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</si>
  <si>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</si>
  <si>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</si>
  <si>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</si>
  <si>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</si>
  <si>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</si>
  <si>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</si>
  <si>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</si>
  <si>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</si>
  <si>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</si>
  <si>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</si>
  <si>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</si>
  <si>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</si>
  <si>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</si>
  <si>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</si>
  <si>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</si>
  <si>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</si>
  <si>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</si>
  <si>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</si>
  <si>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</si>
  <si>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</si>
  <si>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</si>
  <si>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</si>
  <si>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</si>
  <si>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</si>
  <si>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</si>
  <si>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</si>
  <si>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</si>
  <si>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</si>
  <si>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</si>
  <si>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</si>
  <si>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</si>
  <si>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</si>
  <si>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</si>
  <si>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</si>
  <si>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</si>
  <si>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</si>
  <si>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</si>
  <si>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</si>
  <si>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</si>
  <si>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</si>
  <si>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</si>
  <si>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</si>
  <si>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</si>
  <si>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</si>
  <si>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</si>
  <si>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</si>
  <si>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</si>
  <si>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</si>
  <si>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</si>
  <si>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</si>
  <si>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</si>
  <si>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</si>
  <si>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</si>
  <si>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</si>
  <si>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</si>
  <si>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</si>
  <si>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</si>
  <si>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</si>
  <si>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</si>
  <si>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</si>
  <si>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</si>
  <si>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</si>
  <si>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</si>
  <si>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</si>
  <si>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</si>
  <si>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</si>
  <si>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</si>
  <si>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</si>
  <si>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</si>
  <si>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</si>
  <si>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</si>
  <si>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</si>
  <si>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</si>
  <si>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</si>
  <si>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</si>
  <si>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</si>
  <si>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</si>
  <si>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</si>
  <si>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</si>
  <si>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</si>
  <si>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</si>
  <si>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</si>
  <si>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</si>
  <si>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</si>
  <si>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</si>
  <si>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</si>
  <si>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</si>
  <si>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</si>
  <si>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</si>
  <si>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</si>
  <si>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</si>
  <si>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</si>
  <si>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</si>
  <si>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</si>
  <si>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</si>
  <si>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</si>
  <si>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</si>
  <si>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</si>
  <si>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</si>
  <si>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</si>
  <si>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</si>
  <si>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</si>
  <si>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</si>
  <si>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</si>
  <si>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</si>
  <si>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</si>
  <si>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</si>
  <si>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</si>
  <si>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</si>
  <si>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</si>
  <si>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</si>
  <si>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</si>
  <si>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</si>
  <si>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</si>
  <si>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</si>
  <si>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</si>
  <si>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</si>
  <si>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</si>
  <si>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</si>
  <si>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</si>
  <si>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</si>
  <si>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</si>
  <si>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</si>
  <si>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</si>
  <si>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</si>
  <si>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</si>
  <si>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</si>
  <si>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</si>
  <si>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</si>
  <si>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</si>
  <si>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</si>
  <si>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</si>
  <si>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</si>
  <si>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</si>
  <si>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</si>
  <si>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</si>
  <si>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</si>
  <si>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</si>
  <si>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</si>
  <si>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</si>
  <si>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</si>
  <si>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</si>
  <si>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</si>
  <si>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</si>
  <si>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</si>
  <si>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</si>
  <si>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</si>
  <si>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</si>
  <si>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</si>
  <si>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</si>
  <si>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</si>
  <si>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</si>
  <si>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</si>
  <si>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</si>
  <si>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</si>
  <si>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</si>
  <si>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</si>
  <si>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</si>
  <si>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</si>
  <si>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</si>
  <si>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</si>
  <si>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</si>
  <si>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</si>
  <si>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</si>
  <si>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</si>
  <si>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</si>
  <si>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</si>
  <si>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</si>
  <si>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</si>
  <si>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</si>
  <si>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</si>
  <si>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</si>
  <si>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</si>
  <si>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</si>
  <si>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</si>
  <si>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</si>
  <si>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</si>
  <si>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</si>
  <si>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</si>
  <si>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</si>
  <si>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</si>
  <si>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</si>
  <si>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</si>
  <si>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</si>
  <si>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</si>
  <si>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</si>
  <si>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</si>
  <si>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</si>
  <si>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</si>
  <si>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</si>
  <si>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</si>
  <si>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</si>
  <si>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</si>
  <si>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</si>
  <si>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</si>
  <si>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</si>
  <si>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</si>
  <si>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</si>
  <si>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</si>
  <si>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</si>
  <si>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</si>
  <si>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</si>
  <si>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</si>
  <si>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</si>
  <si>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</si>
  <si>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</si>
  <si>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</si>
  <si>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</si>
  <si>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</si>
  <si>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</si>
  <si>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</si>
  <si>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</si>
  <si>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</si>
  <si>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</si>
  <si>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</si>
  <si>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</si>
  <si>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</si>
  <si>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</si>
  <si>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</si>
  <si>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</si>
  <si>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</si>
  <si>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</si>
  <si>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</si>
  <si>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</si>
  <si>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</si>
  <si>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</si>
  <si>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</si>
  <si>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</si>
  <si>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</si>
  <si>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</si>
  <si>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</si>
  <si>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</si>
  <si>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</si>
  <si>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</si>
  <si>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</si>
  <si>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</si>
  <si>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</si>
  <si>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</si>
  <si>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</si>
  <si>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</si>
  <si>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</si>
  <si>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</si>
  <si>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</si>
  <si>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</si>
  <si>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</si>
  <si>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</si>
  <si>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</si>
  <si>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</si>
  <si>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</si>
  <si>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</si>
  <si>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</si>
  <si>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</si>
  <si>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</si>
  <si>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</si>
  <si>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</si>
  <si>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</si>
  <si>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</si>
  <si>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</si>
  <si>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</si>
  <si>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</si>
  <si>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</si>
  <si>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</si>
  <si>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</si>
  <si>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</si>
  <si>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</si>
  <si>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</si>
  <si>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</si>
  <si>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</si>
  <si>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</si>
  <si>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</si>
  <si>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</si>
  <si>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</si>
  <si>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</si>
  <si>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</si>
  <si>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</si>
  <si>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</si>
  <si>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</si>
  <si>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</si>
  <si>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</si>
  <si>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</si>
  <si>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</si>
  <si>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</si>
  <si>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</si>
  <si>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</si>
  <si>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</si>
  <si>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</si>
  <si>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</si>
  <si>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</si>
  <si>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</si>
  <si>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</si>
  <si>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</si>
  <si>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</si>
  <si>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</si>
  <si>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</si>
  <si>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</si>
  <si>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</si>
  <si>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</si>
  <si>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</si>
  <si>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</si>
  <si>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</si>
  <si>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</si>
  <si>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</si>
  <si>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</si>
  <si>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</si>
  <si>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</si>
  <si>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</si>
  <si>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</si>
  <si>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</si>
  <si>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</si>
  <si>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</si>
  <si>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</si>
  <si>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</si>
  <si>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</si>
  <si>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</si>
  <si>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</si>
  <si>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</si>
  <si>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</si>
  <si>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</si>
  <si>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</si>
  <si>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</si>
  <si>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</si>
  <si>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</si>
  <si>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</si>
  <si>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</si>
  <si>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</si>
  <si>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</si>
  <si>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</si>
  <si>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</si>
  <si>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</si>
  <si>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</si>
  <si>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</si>
  <si>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</si>
  <si>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</si>
  <si>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</si>
  <si>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</si>
  <si>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</si>
  <si>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</si>
  <si>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</si>
  <si>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</si>
  <si>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</si>
  <si>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</si>
  <si>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</si>
  <si>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</si>
  <si>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</si>
  <si>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</si>
  <si>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</si>
  <si>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</si>
  <si>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</si>
  <si>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</si>
  <si>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</si>
  <si>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</si>
  <si>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</si>
  <si>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</si>
  <si>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</si>
  <si>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</si>
  <si>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</si>
  <si>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</si>
  <si>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</si>
  <si>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</si>
  <si>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</si>
  <si>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</si>
  <si>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</si>
  <si>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</si>
  <si>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</si>
  <si>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</si>
  <si>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</si>
  <si>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</si>
  <si>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</si>
  <si>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</si>
  <si>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</si>
  <si>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</si>
  <si>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</si>
  <si>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</si>
  <si>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</si>
  <si>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</si>
  <si>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</si>
  <si>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</si>
  <si>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</si>
  <si>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</si>
  <si>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</si>
  <si>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</si>
  <si>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</si>
  <si>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</si>
  <si>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</si>
  <si>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</si>
  <si>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</si>
  <si>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</si>
  <si>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</si>
  <si>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</si>
  <si>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</si>
  <si>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</si>
  <si>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</si>
  <si>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</si>
  <si>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</si>
  <si>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</si>
  <si>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</si>
  <si>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</si>
  <si>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</si>
  <si>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</si>
  <si>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</si>
  <si>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</si>
  <si>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</si>
  <si>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</si>
  <si>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</si>
  <si>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</si>
  <si>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</si>
  <si>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</si>
  <si>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</si>
  <si>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</si>
  <si>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</si>
  <si>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</si>
  <si>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</si>
  <si>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</si>
  <si>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</si>
  <si>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</si>
  <si>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</si>
  <si>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</si>
  <si>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</si>
  <si>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</si>
  <si>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</si>
  <si>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</si>
  <si>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</si>
  <si>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</si>
  <si>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</si>
  <si>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</si>
  <si>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</si>
  <si>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</si>
  <si>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</si>
  <si>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</si>
  <si>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</si>
  <si>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</si>
  <si>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</si>
  <si>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</si>
  <si>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</si>
  <si>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</si>
  <si>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</si>
  <si>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</si>
  <si>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</si>
  <si>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</si>
  <si>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</si>
  <si>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</si>
  <si>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</si>
  <si>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</si>
  <si>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</si>
  <si>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</si>
  <si>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</si>
  <si>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</si>
  <si>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</si>
  <si>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</si>
  <si>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</si>
  <si>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</si>
  <si>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</si>
  <si>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</si>
  <si>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</si>
  <si>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</si>
  <si>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</si>
  <si>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</si>
  <si>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</si>
  <si>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</si>
  <si>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</si>
  <si>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</si>
  <si>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</si>
  <si>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</si>
  <si>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</si>
  <si>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</si>
  <si>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</si>
  <si>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</si>
  <si>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</si>
  <si>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</si>
  <si>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</si>
  <si>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</si>
  <si>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</si>
  <si>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</si>
  <si>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</si>
  <si>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</si>
  <si>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</si>
  <si>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</si>
  <si>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</si>
  <si>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</si>
  <si>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</si>
  <si>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</si>
  <si>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</si>
  <si>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</si>
  <si>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</si>
  <si>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</si>
  <si>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</si>
  <si>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</si>
  <si>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</si>
  <si>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</si>
  <si>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</si>
  <si>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</si>
  <si>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</si>
  <si>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</si>
  <si>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</si>
  <si>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</si>
  <si>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</si>
  <si>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</si>
  <si>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</si>
  <si>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</si>
  <si>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</si>
  <si>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</si>
  <si>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</si>
  <si>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</si>
  <si>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</si>
  <si>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</si>
  <si>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</si>
  <si>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</si>
  <si>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</si>
  <si>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</si>
  <si>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</si>
  <si>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</si>
  <si>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</si>
  <si>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</si>
  <si>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</si>
  <si>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</si>
  <si>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</si>
  <si>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</si>
  <si>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</si>
  <si>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</si>
  <si>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</si>
  <si>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</si>
  <si>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</si>
  <si>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</si>
  <si>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</si>
  <si>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</si>
  <si>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</si>
  <si>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</si>
  <si>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</si>
  <si>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</si>
  <si>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</si>
  <si>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</si>
  <si>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</si>
  <si>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</si>
  <si>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</si>
  <si>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</si>
  <si>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</si>
  <si>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</si>
  <si>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</si>
  <si>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</si>
  <si>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</si>
  <si>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</si>
  <si>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</si>
  <si>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</si>
  <si>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</si>
  <si>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</si>
  <si>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</si>
  <si>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</si>
  <si>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</si>
  <si>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</si>
  <si>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</si>
  <si>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</si>
  <si>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</si>
  <si>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</si>
  <si>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</si>
  <si>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</si>
  <si>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</si>
  <si>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</si>
  <si>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</si>
  <si>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</si>
  <si>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</si>
  <si>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</si>
  <si>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</si>
  <si>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</si>
  <si>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</si>
  <si>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</si>
  <si>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</si>
  <si>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</si>
  <si>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</si>
  <si>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</si>
  <si>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</si>
  <si>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</si>
  <si>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</si>
  <si>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</si>
  <si>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</si>
  <si>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</si>
  <si>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</si>
  <si>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</si>
  <si>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</si>
  <si>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</si>
  <si>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</si>
  <si>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</si>
  <si>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</si>
  <si>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</si>
  <si>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</si>
  <si>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</si>
  <si>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</si>
  <si>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</si>
  <si>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</si>
  <si>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</si>
  <si>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</si>
  <si>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</si>
  <si>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</si>
  <si>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</si>
  <si>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</si>
  <si>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</si>
  <si>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</si>
  <si>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</si>
  <si>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</si>
  <si>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</si>
  <si>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</si>
  <si>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</si>
  <si>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</si>
  <si>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</si>
  <si>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</si>
  <si>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</si>
  <si>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</si>
  <si>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</si>
  <si>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</si>
  <si>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</si>
  <si>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</si>
  <si>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</si>
  <si>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</si>
  <si>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</si>
  <si>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</si>
  <si>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</si>
  <si>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</si>
  <si>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</si>
  <si>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</si>
  <si>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</si>
  <si>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</si>
  <si>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</si>
  <si>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</si>
  <si>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</si>
  <si>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</si>
  <si>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</si>
  <si>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</si>
  <si>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</si>
  <si>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</si>
  <si>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</si>
  <si>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</si>
  <si>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</si>
  <si>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</si>
  <si>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</si>
  <si>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</si>
  <si>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</si>
  <si>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</si>
  <si>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</si>
  <si>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</si>
  <si>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</si>
  <si>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</si>
  <si>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</si>
  <si>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</si>
  <si>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</si>
  <si>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</si>
  <si>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</si>
  <si>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</si>
  <si>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</si>
  <si>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</si>
  <si>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</si>
  <si>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</si>
  <si>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</si>
  <si>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</si>
  <si>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</si>
  <si>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</si>
  <si>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</si>
  <si>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</si>
  <si>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</si>
  <si>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</si>
  <si>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</si>
  <si>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</si>
  <si>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</si>
  <si>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</si>
  <si>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</si>
  <si>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</si>
  <si>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</si>
  <si>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</si>
  <si>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</si>
  <si>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</si>
  <si>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</si>
  <si>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</si>
  <si>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</si>
  <si>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</si>
  <si>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</si>
  <si>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</si>
  <si>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</si>
  <si>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</si>
  <si>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</si>
  <si>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</si>
  <si>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</si>
  <si>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</si>
  <si>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</si>
  <si>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</si>
  <si>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</si>
  <si>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</si>
  <si>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</si>
  <si>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</si>
  <si>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</si>
  <si>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</si>
  <si>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</si>
  <si>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</si>
  <si>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</si>
  <si>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</si>
  <si>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</si>
  <si>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</si>
  <si>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</si>
  <si>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</si>
  <si>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</si>
  <si>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</si>
  <si>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</si>
  <si>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</si>
  <si>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</si>
  <si>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</si>
  <si>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</si>
  <si>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</si>
  <si>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</si>
  <si>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</si>
  <si>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</si>
  <si>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</si>
  <si>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</si>
  <si>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</si>
  <si>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</si>
  <si>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</si>
  <si>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</si>
  <si>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</si>
  <si>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</si>
  <si>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</si>
  <si>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</si>
  <si>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</si>
  <si>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</si>
  <si>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</si>
  <si>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</si>
  <si>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</si>
  <si>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</si>
  <si>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</si>
  <si>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</si>
  <si>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</si>
  <si>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</si>
  <si>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</si>
  <si>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</si>
  <si>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</si>
  <si>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</si>
  <si>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</si>
  <si>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</si>
  <si>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</si>
  <si>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</si>
  <si>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</si>
  <si>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</si>
  <si>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</si>
  <si>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</si>
  <si>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</si>
  <si>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</si>
  <si>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</si>
  <si>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</si>
  <si>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</si>
  <si>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</si>
  <si>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</si>
  <si>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</si>
  <si>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</si>
  <si>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</si>
  <si>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</si>
  <si>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</si>
  <si>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</si>
  <si>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</si>
  <si>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</si>
  <si>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</si>
  <si>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</si>
  <si>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</si>
  <si>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</si>
  <si>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</si>
  <si>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</si>
  <si>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</si>
  <si>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</si>
  <si>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</si>
  <si>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</si>
  <si>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</si>
  <si>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</si>
  <si>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</si>
  <si>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</si>
  <si>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</si>
  <si>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</si>
  <si>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</si>
  <si>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</si>
  <si>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</si>
  <si>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</si>
  <si>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</si>
  <si>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De.API</t>
  </si>
  <si>
    <t>Métodos</t>
  </si>
  <si>
    <t>Macros</t>
  </si>
  <si>
    <t>API.Revit</t>
  </si>
  <si>
    <t>Aplicação Revit</t>
  </si>
  <si>
    <t>Aplicativo Revit</t>
  </si>
  <si>
    <t>Revit Aplication</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</si>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</sst>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9">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8" fillId="23" borderId="1" xfId="0" applyFont="1" applyFill="1" applyBorder="1" applyAlignment="1">
      <alignment horizontal="left" vertical="center"/>
    </xf>
    <xf numFmtId="0" fontId="7" fillId="23"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4" borderId="1" xfId="0" applyFont="1" applyFill="1" applyBorder="1" applyAlignment="1">
      <alignment horizontal="left" vertical="center"/>
    </xf>
    <xf numFmtId="0" fontId="16" fillId="0" borderId="0" xfId="0" applyFont="1" applyAlignment="1">
      <alignment horizontal="left"/>
    </xf>
    <xf numFmtId="0" fontId="8" fillId="25"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12" fillId="28"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cellXfs>
  <cellStyles count="1">
    <cellStyle name="Normal" xfId="0" builtinId="0"/>
  </cellStyles>
  <dxfs count="112">
    <dxf>
      <font>
        <b val="0"/>
        <i/>
        <color theme="2" tint="-0.499984740745262"/>
      </font>
    </dxf>
    <dxf>
      <font>
        <b val="0"/>
        <i/>
        <color theme="2" tint="-0.499984740745262"/>
      </font>
    </dxf>
    <dxf>
      <font>
        <b val="0"/>
        <i/>
        <strike val="0"/>
        <color theme="0" tint="-0.499984740745262"/>
      </font>
    </dxf>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strike val="0"/>
        <color theme="0" tint="-0.499984740745262"/>
      </font>
    </dxf>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2003</v>
      </c>
    </row>
    <row r="2" spans="1:3" ht="8.25" customHeight="1" x14ac:dyDescent="0.25">
      <c r="A2" s="8" t="s">
        <v>45</v>
      </c>
      <c r="B2" s="8" t="s">
        <v>61</v>
      </c>
      <c r="C2" s="53" t="s">
        <v>2004</v>
      </c>
    </row>
    <row r="3" spans="1:3" ht="8.25" customHeight="1" x14ac:dyDescent="0.25">
      <c r="A3" s="8" t="s">
        <v>46</v>
      </c>
      <c r="B3" s="9" t="s">
        <v>78</v>
      </c>
      <c r="C3" s="53" t="s">
        <v>2004</v>
      </c>
    </row>
    <row r="4" spans="1:3" ht="8.25" customHeight="1" x14ac:dyDescent="0.25">
      <c r="A4" s="8" t="s">
        <v>37</v>
      </c>
      <c r="B4" s="8" t="s">
        <v>47</v>
      </c>
      <c r="C4" s="53" t="s">
        <v>2004</v>
      </c>
    </row>
    <row r="5" spans="1:3" ht="8.25" customHeight="1" x14ac:dyDescent="0.25">
      <c r="A5" s="8" t="s">
        <v>38</v>
      </c>
      <c r="B5" s="8" t="str">
        <f>_xlfn.CONCAT(B4,"Prop")</f>
        <v>BIMProp</v>
      </c>
      <c r="C5" s="53" t="s">
        <v>2004</v>
      </c>
    </row>
    <row r="6" spans="1:3" ht="8.25" customHeight="1" x14ac:dyDescent="0.25">
      <c r="A6" s="8" t="s">
        <v>39</v>
      </c>
      <c r="B6" s="8" t="str">
        <f>_xlfn.CONCAT(B4,"Data")</f>
        <v>BIMData</v>
      </c>
      <c r="C6" s="53" t="s">
        <v>2004</v>
      </c>
    </row>
    <row r="7" spans="1:3" ht="8.25" customHeight="1" x14ac:dyDescent="0.25">
      <c r="A7" s="8" t="s">
        <v>40</v>
      </c>
      <c r="B7" s="8" t="s">
        <v>48</v>
      </c>
      <c r="C7" s="53" t="s">
        <v>2004</v>
      </c>
    </row>
    <row r="8" spans="1:3" ht="8.25" customHeight="1" x14ac:dyDescent="0.25">
      <c r="A8" s="8" t="s">
        <v>41</v>
      </c>
      <c r="B8" s="8" t="s">
        <v>2001</v>
      </c>
      <c r="C8" s="53" t="s">
        <v>2004</v>
      </c>
    </row>
    <row r="9" spans="1:3" ht="8.25" customHeight="1" x14ac:dyDescent="0.25">
      <c r="A9" s="8" t="s">
        <v>49</v>
      </c>
      <c r="B9" s="8" t="s">
        <v>50</v>
      </c>
      <c r="C9" s="53" t="s">
        <v>2004</v>
      </c>
    </row>
    <row r="10" spans="1:3" ht="8.25" customHeight="1" x14ac:dyDescent="0.25">
      <c r="A10" s="8" t="s">
        <v>51</v>
      </c>
      <c r="B10" s="8" t="s">
        <v>23</v>
      </c>
      <c r="C10" s="53" t="s">
        <v>2004</v>
      </c>
    </row>
    <row r="11" spans="1:3" ht="8.25" customHeight="1" x14ac:dyDescent="0.25">
      <c r="A11" s="8" t="s">
        <v>42</v>
      </c>
      <c r="B11" s="8" t="s">
        <v>23</v>
      </c>
      <c r="C11" s="53" t="s">
        <v>2004</v>
      </c>
    </row>
    <row r="12" spans="1:3" ht="8.25" customHeight="1" x14ac:dyDescent="0.25">
      <c r="A12" s="8" t="s">
        <v>43</v>
      </c>
      <c r="B12" s="8" t="s">
        <v>23</v>
      </c>
      <c r="C12" s="53" t="s">
        <v>2004</v>
      </c>
    </row>
    <row r="13" spans="1:3" ht="8.25" customHeight="1" x14ac:dyDescent="0.25">
      <c r="A13" s="8" t="s">
        <v>52</v>
      </c>
      <c r="B13" s="8" t="s">
        <v>23</v>
      </c>
      <c r="C13" s="53" t="s">
        <v>2004</v>
      </c>
    </row>
    <row r="14" spans="1:3" ht="8.25" customHeight="1" x14ac:dyDescent="0.25">
      <c r="A14" s="8" t="s">
        <v>53</v>
      </c>
      <c r="B14" s="8" t="s">
        <v>23</v>
      </c>
      <c r="C14" s="53" t="s">
        <v>2004</v>
      </c>
    </row>
    <row r="15" spans="1:3" ht="8.25" customHeight="1" x14ac:dyDescent="0.25">
      <c r="A15" s="8" t="s">
        <v>54</v>
      </c>
      <c r="B15" s="8" t="s">
        <v>23</v>
      </c>
      <c r="C15" s="53" t="s">
        <v>2004</v>
      </c>
    </row>
    <row r="16" spans="1:3" ht="8.25" customHeight="1" x14ac:dyDescent="0.25">
      <c r="A16" s="8" t="s">
        <v>55</v>
      </c>
      <c r="B16" s="8" t="s">
        <v>23</v>
      </c>
      <c r="C16" s="53" t="s">
        <v>2004</v>
      </c>
    </row>
    <row r="17" spans="1:3" ht="8.25" customHeight="1" x14ac:dyDescent="0.25">
      <c r="A17" s="8" t="s">
        <v>44</v>
      </c>
      <c r="B17" s="10" t="s">
        <v>1469</v>
      </c>
      <c r="C17" s="53" t="s">
        <v>2004</v>
      </c>
    </row>
    <row r="18" spans="1:3" ht="8.25" customHeight="1" x14ac:dyDescent="0.25">
      <c r="A18" s="8" t="s">
        <v>56</v>
      </c>
      <c r="B18" s="11">
        <f ca="1">NOW()</f>
        <v>46260.269989930559</v>
      </c>
      <c r="C18" s="53" t="s">
        <v>2004</v>
      </c>
    </row>
    <row r="19" spans="1:3" ht="8.25" customHeight="1" x14ac:dyDescent="0.25">
      <c r="A19" s="10" t="s">
        <v>2012</v>
      </c>
      <c r="B19" s="55" t="s">
        <v>2013</v>
      </c>
      <c r="C19" s="53" t="s">
        <v>2004</v>
      </c>
    </row>
    <row r="20" spans="1:3" ht="8.25" customHeight="1" x14ac:dyDescent="0.25">
      <c r="A20" s="10" t="s">
        <v>2014</v>
      </c>
      <c r="B20" s="55" t="str">
        <f>_xlfn.TRANSLATE(B19,"pt","es")</f>
        <v>Traducciones integradas al español e inglés - Las traducciones deben revisarse constantemente</v>
      </c>
      <c r="C20" s="53" t="s">
        <v>2005</v>
      </c>
    </row>
    <row r="21" spans="1:3" ht="8.25" customHeight="1" x14ac:dyDescent="0.25">
      <c r="A21" s="10" t="s">
        <v>2015</v>
      </c>
      <c r="B21" s="55" t="str">
        <f>_xlfn.TRANSLATE(B19,"pt","en")</f>
        <v>Built-in Spanish and English Translations - Translations must be constantly reviewed</v>
      </c>
      <c r="C21" s="53" t="s">
        <v>2006</v>
      </c>
    </row>
    <row r="22" spans="1:3" ht="8.25" customHeight="1" x14ac:dyDescent="0.25">
      <c r="A22" s="8" t="s">
        <v>57</v>
      </c>
      <c r="B22" s="8" t="s">
        <v>23</v>
      </c>
      <c r="C22" s="53" t="s">
        <v>2004</v>
      </c>
    </row>
    <row r="23" spans="1:3" ht="8.25" customHeight="1" x14ac:dyDescent="0.25">
      <c r="A23" s="8" t="s">
        <v>58</v>
      </c>
      <c r="B23" s="8" t="s">
        <v>23</v>
      </c>
      <c r="C23" s="53" t="s">
        <v>2004</v>
      </c>
    </row>
    <row r="24" spans="1:3" ht="8.25" customHeight="1" x14ac:dyDescent="0.25">
      <c r="A24" s="10" t="s">
        <v>59</v>
      </c>
      <c r="B24" s="12" t="s">
        <v>622</v>
      </c>
      <c r="C24" s="53" t="s">
        <v>2004</v>
      </c>
    </row>
    <row r="25" spans="1:3" ht="8.25" customHeight="1" x14ac:dyDescent="0.25">
      <c r="A25" s="10" t="s">
        <v>60</v>
      </c>
      <c r="B25" s="12" t="s">
        <v>623</v>
      </c>
      <c r="C25" s="53" t="s">
        <v>2005</v>
      </c>
    </row>
    <row r="26" spans="1:3" ht="9.75" customHeight="1" x14ac:dyDescent="0.25">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4"/>
  <sheetViews>
    <sheetView zoomScale="145" zoomScaleNormal="145" workbookViewId="0">
      <pane ySplit="1" topLeftCell="A374" activePane="bottomLeft" state="frozen"/>
      <selection pane="bottomLeft" activeCell="A394" sqref="A394:XFD394"/>
    </sheetView>
  </sheetViews>
  <sheetFormatPr defaultColWidth="182.140625" defaultRowHeight="6.6" customHeight="1" x14ac:dyDescent="0.25"/>
  <cols>
    <col min="1" max="1" width="3.140625" bestFit="1" customWidth="1"/>
    <col min="2" max="2" width="6.28515625" style="31" bestFit="1" customWidth="1"/>
    <col min="3" max="3" width="9.5703125" style="31" bestFit="1" customWidth="1"/>
    <col min="4" max="4" width="10.5703125" style="31" bestFit="1" customWidth="1"/>
    <col min="5" max="5" width="12.85546875" style="31" bestFit="1" customWidth="1"/>
    <col min="6" max="6" width="20.85546875" style="31" bestFit="1" customWidth="1"/>
    <col min="7" max="7" width="16.42578125" style="31" bestFit="1" customWidth="1"/>
    <col min="8" max="8" width="17.5703125" style="31" bestFit="1" customWidth="1"/>
    <col min="9" max="9" width="16.7109375" style="31" bestFit="1" customWidth="1"/>
    <col min="10" max="10" width="23.85546875" style="31" bestFit="1" customWidth="1"/>
    <col min="11" max="11" width="23.42578125" style="31" bestFit="1" customWidth="1"/>
    <col min="12" max="12" width="9.5703125" style="31" bestFit="1" customWidth="1"/>
    <col min="13" max="13" width="10.5703125" style="31" bestFit="1" customWidth="1"/>
    <col min="14" max="14" width="12.85546875" style="31" bestFit="1" customWidth="1"/>
    <col min="15" max="15" width="20.85546875" style="31" bestFit="1" customWidth="1"/>
    <col min="16" max="18" width="255.7109375" style="31" bestFit="1" customWidth="1"/>
    <col min="19" max="19" width="6" style="31" bestFit="1" customWidth="1"/>
    <col min="20" max="20" width="9.5703125" style="31" bestFit="1" customWidth="1"/>
    <col min="21" max="21" width="10.5703125" style="31" bestFit="1" customWidth="1"/>
    <col min="22" max="22" width="12.85546875" style="31" bestFit="1" customWidth="1"/>
    <col min="23" max="23" width="8.5703125" style="31" bestFit="1" customWidth="1"/>
    <col min="24" max="24" width="9.42578125" style="31" bestFit="1" customWidth="1"/>
    <col min="25" max="25" width="159.28515625" style="31" bestFit="1" customWidth="1"/>
    <col min="26" max="26" width="10.42578125" style="31" bestFit="1" customWidth="1"/>
    <col min="27" max="27" width="32.42578125" style="31" bestFit="1" customWidth="1"/>
    <col min="28" max="28" width="9.5703125" style="31" bestFit="1" customWidth="1"/>
    <col min="29" max="29" width="5.140625" style="31" bestFit="1" customWidth="1"/>
    <col min="30" max="16384" width="182.140625" style="31"/>
  </cols>
  <sheetData>
    <row r="1" spans="1:29"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6" t="s">
        <v>72</v>
      </c>
      <c r="T1" s="16" t="s">
        <v>62</v>
      </c>
      <c r="U1" s="16" t="s">
        <v>73</v>
      </c>
      <c r="V1" s="17" t="s">
        <v>64</v>
      </c>
      <c r="W1" s="16" t="s">
        <v>63</v>
      </c>
      <c r="X1" s="56" t="s">
        <v>0</v>
      </c>
      <c r="Y1" s="17" t="s">
        <v>131</v>
      </c>
      <c r="Z1" s="16" t="s">
        <v>2589</v>
      </c>
      <c r="AA1" s="16" t="s">
        <v>2588</v>
      </c>
      <c r="AB1" s="16" t="s">
        <v>2587</v>
      </c>
      <c r="AC1" s="16" t="s">
        <v>2000</v>
      </c>
    </row>
    <row r="2" spans="1:29" customFormat="1" ht="6.6" customHeight="1" x14ac:dyDescent="0.25">
      <c r="A2" s="64">
        <v>2</v>
      </c>
      <c r="B2" s="69" t="s">
        <v>2140</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2207</v>
      </c>
      <c r="S2" s="72" t="s">
        <v>1</v>
      </c>
      <c r="T2" s="72" t="str">
        <f t="shared" ref="T2:V12" si="1">SUBSTITUTE(C2, ".", " ")</f>
        <v>Fronteiras</v>
      </c>
      <c r="U2" s="72" t="str">
        <f t="shared" si="1"/>
        <v>Geográficas</v>
      </c>
      <c r="V2" s="72" t="str">
        <f t="shared" si="1"/>
        <v>Naturais</v>
      </c>
      <c r="W2" s="72" t="s">
        <v>2136</v>
      </c>
      <c r="X2" s="73" t="str">
        <f>CONCATENATE("Key-INFRA-",A2)</f>
        <v>Key-INFRA-2</v>
      </c>
      <c r="Y2" s="72" t="s">
        <v>1</v>
      </c>
      <c r="Z2" s="99" t="s">
        <v>1</v>
      </c>
      <c r="AA2" s="72" t="s">
        <v>1</v>
      </c>
      <c r="AB2" s="99" t="s">
        <v>1</v>
      </c>
      <c r="AC2" s="74" t="s">
        <v>1</v>
      </c>
    </row>
    <row r="3" spans="1:29" customFormat="1" ht="6.6" customHeight="1" x14ac:dyDescent="0.25">
      <c r="A3" s="64">
        <v>3</v>
      </c>
      <c r="B3" s="69" t="s">
        <v>2140</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2208</v>
      </c>
      <c r="S3" s="72" t="s">
        <v>1</v>
      </c>
      <c r="T3" s="72" t="str">
        <f t="shared" si="1"/>
        <v>Fronteiras</v>
      </c>
      <c r="U3" s="72" t="str">
        <f t="shared" si="1"/>
        <v>Geográficas</v>
      </c>
      <c r="V3" s="72" t="str">
        <f t="shared" si="1"/>
        <v>Naturais</v>
      </c>
      <c r="W3" s="72" t="s">
        <v>2136</v>
      </c>
      <c r="X3" s="73" t="str">
        <f t="shared" ref="X3:X66" si="3">CONCATENATE("Key-INFRA-",A3)</f>
        <v>Key-INFRA-3</v>
      </c>
      <c r="Y3" s="72" t="s">
        <v>1</v>
      </c>
      <c r="Z3" s="99" t="s">
        <v>1</v>
      </c>
      <c r="AA3" s="72" t="s">
        <v>1</v>
      </c>
      <c r="AB3" s="99" t="s">
        <v>1</v>
      </c>
      <c r="AC3" s="74" t="s">
        <v>1</v>
      </c>
    </row>
    <row r="4" spans="1:29" customFormat="1" ht="6.6" customHeight="1" x14ac:dyDescent="0.25">
      <c r="A4" s="64">
        <v>4</v>
      </c>
      <c r="B4" s="69" t="s">
        <v>2140</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2209</v>
      </c>
      <c r="S4" s="72" t="s">
        <v>1</v>
      </c>
      <c r="T4" s="72" t="str">
        <f t="shared" si="1"/>
        <v>Fronteiras</v>
      </c>
      <c r="U4" s="72" t="str">
        <f t="shared" si="1"/>
        <v>Geográficas</v>
      </c>
      <c r="V4" s="72" t="str">
        <f t="shared" si="1"/>
        <v>Naturais</v>
      </c>
      <c r="W4" s="72" t="s">
        <v>2136</v>
      </c>
      <c r="X4" s="73" t="str">
        <f t="shared" si="3"/>
        <v>Key-INFRA-4</v>
      </c>
      <c r="Y4" s="72" t="s">
        <v>1</v>
      </c>
      <c r="Z4" s="99" t="s">
        <v>1</v>
      </c>
      <c r="AA4" s="72" t="s">
        <v>1</v>
      </c>
      <c r="AB4" s="99" t="s">
        <v>1</v>
      </c>
      <c r="AC4" s="74" t="s">
        <v>1</v>
      </c>
    </row>
    <row r="5" spans="1:29" customFormat="1" ht="6.6" customHeight="1" x14ac:dyDescent="0.25">
      <c r="A5" s="64">
        <v>5</v>
      </c>
      <c r="B5" s="69" t="s">
        <v>2140</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2210</v>
      </c>
      <c r="S5" s="72" t="s">
        <v>1</v>
      </c>
      <c r="T5" s="72" t="str">
        <f t="shared" si="1"/>
        <v>Fronteiras</v>
      </c>
      <c r="U5" s="72" t="str">
        <f t="shared" si="1"/>
        <v>Geográficas</v>
      </c>
      <c r="V5" s="72" t="str">
        <f t="shared" si="1"/>
        <v>Políticas</v>
      </c>
      <c r="W5" s="72" t="s">
        <v>2136</v>
      </c>
      <c r="X5" s="73" t="str">
        <f t="shared" si="3"/>
        <v>Key-INFRA-5</v>
      </c>
      <c r="Y5" s="72" t="s">
        <v>1</v>
      </c>
      <c r="Z5" s="99" t="s">
        <v>1</v>
      </c>
      <c r="AA5" s="72" t="s">
        <v>2018</v>
      </c>
      <c r="AB5" s="99" t="s">
        <v>1</v>
      </c>
      <c r="AC5" s="74" t="s">
        <v>1</v>
      </c>
    </row>
    <row r="6" spans="1:29" customFormat="1" ht="6.6" customHeight="1" x14ac:dyDescent="0.25">
      <c r="A6" s="64">
        <v>6</v>
      </c>
      <c r="B6" s="69" t="s">
        <v>2140</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2211</v>
      </c>
      <c r="S6" s="72" t="s">
        <v>1</v>
      </c>
      <c r="T6" s="72" t="str">
        <f t="shared" si="1"/>
        <v>Fronteiras</v>
      </c>
      <c r="U6" s="72" t="str">
        <f t="shared" si="1"/>
        <v>Geográficas</v>
      </c>
      <c r="V6" s="72" t="str">
        <f t="shared" si="1"/>
        <v>Políticas</v>
      </c>
      <c r="W6" s="72" t="s">
        <v>2136</v>
      </c>
      <c r="X6" s="73" t="str">
        <f t="shared" si="3"/>
        <v>Key-INFRA-6</v>
      </c>
      <c r="Y6" s="72" t="s">
        <v>1</v>
      </c>
      <c r="Z6" s="99" t="s">
        <v>1</v>
      </c>
      <c r="AA6" s="72" t="s">
        <v>2018</v>
      </c>
      <c r="AB6" s="99" t="s">
        <v>1</v>
      </c>
      <c r="AC6" s="74" t="s">
        <v>1</v>
      </c>
    </row>
    <row r="7" spans="1:29" customFormat="1" ht="6.6" customHeight="1" x14ac:dyDescent="0.25">
      <c r="A7" s="64">
        <v>7</v>
      </c>
      <c r="B7" s="69" t="s">
        <v>2140</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2212</v>
      </c>
      <c r="S7" s="72" t="s">
        <v>1</v>
      </c>
      <c r="T7" s="72" t="str">
        <f t="shared" si="1"/>
        <v>Fronteiras</v>
      </c>
      <c r="U7" s="72" t="str">
        <f t="shared" si="1"/>
        <v>Geográficas</v>
      </c>
      <c r="V7" s="72" t="str">
        <f t="shared" si="1"/>
        <v>Políticas</v>
      </c>
      <c r="W7" s="72" t="s">
        <v>2136</v>
      </c>
      <c r="X7" s="73" t="str">
        <f t="shared" si="3"/>
        <v>Key-INFRA-7</v>
      </c>
      <c r="Y7" s="72" t="s">
        <v>1</v>
      </c>
      <c r="Z7" s="99" t="s">
        <v>1</v>
      </c>
      <c r="AA7" s="72" t="s">
        <v>2018</v>
      </c>
      <c r="AB7" s="99" t="s">
        <v>1</v>
      </c>
      <c r="AC7" s="74" t="s">
        <v>1</v>
      </c>
    </row>
    <row r="8" spans="1:29" customFormat="1" ht="6.6" customHeight="1" x14ac:dyDescent="0.25">
      <c r="A8" s="64">
        <v>8</v>
      </c>
      <c r="B8" s="69" t="s">
        <v>2140</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2141</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2213</v>
      </c>
      <c r="S8" s="72" t="s">
        <v>1</v>
      </c>
      <c r="T8" s="72" t="str">
        <f t="shared" si="1"/>
        <v>Fronteiras</v>
      </c>
      <c r="U8" s="72" t="str">
        <f t="shared" si="1"/>
        <v>Geográficas</v>
      </c>
      <c r="V8" s="72" t="str">
        <f t="shared" si="1"/>
        <v>Políticas</v>
      </c>
      <c r="W8" s="72" t="s">
        <v>2136</v>
      </c>
      <c r="X8" s="73" t="str">
        <f t="shared" si="3"/>
        <v>Key-INFRA-8</v>
      </c>
      <c r="Y8" s="72" t="s">
        <v>1</v>
      </c>
      <c r="Z8" s="99" t="s">
        <v>1</v>
      </c>
      <c r="AA8" s="72" t="s">
        <v>2018</v>
      </c>
      <c r="AB8" s="99" t="s">
        <v>1</v>
      </c>
      <c r="AC8" s="74" t="s">
        <v>1</v>
      </c>
    </row>
    <row r="9" spans="1:29" customFormat="1" ht="6.6" customHeight="1" x14ac:dyDescent="0.25">
      <c r="A9" s="64">
        <v>9</v>
      </c>
      <c r="B9" s="69" t="s">
        <v>2140</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2142</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2214</v>
      </c>
      <c r="S9" s="72" t="s">
        <v>1</v>
      </c>
      <c r="T9" s="72" t="str">
        <f t="shared" si="1"/>
        <v>Fronteiras</v>
      </c>
      <c r="U9" s="72" t="str">
        <f t="shared" si="1"/>
        <v>Geográficas</v>
      </c>
      <c r="V9" s="72" t="str">
        <f t="shared" si="1"/>
        <v>Políticas</v>
      </c>
      <c r="W9" s="72" t="s">
        <v>2136</v>
      </c>
      <c r="X9" s="73" t="str">
        <f t="shared" si="3"/>
        <v>Key-INFRA-9</v>
      </c>
      <c r="Y9" s="72" t="s">
        <v>1</v>
      </c>
      <c r="Z9" s="99" t="s">
        <v>1</v>
      </c>
      <c r="AA9" s="72" t="s">
        <v>2018</v>
      </c>
      <c r="AB9" s="99" t="s">
        <v>1</v>
      </c>
      <c r="AC9" s="74" t="s">
        <v>1</v>
      </c>
    </row>
    <row r="10" spans="1:29" customFormat="1" ht="6.6" customHeight="1" x14ac:dyDescent="0.25">
      <c r="A10" s="64">
        <v>10</v>
      </c>
      <c r="B10" s="69" t="s">
        <v>2140</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2215</v>
      </c>
      <c r="S10" s="72" t="s">
        <v>1</v>
      </c>
      <c r="T10" s="72" t="str">
        <f t="shared" si="1"/>
        <v>Fronteiras</v>
      </c>
      <c r="U10" s="72" t="str">
        <f t="shared" si="1"/>
        <v>Geográficas</v>
      </c>
      <c r="V10" s="72" t="str">
        <f t="shared" si="1"/>
        <v>Políticas</v>
      </c>
      <c r="W10" s="72" t="s">
        <v>2136</v>
      </c>
      <c r="X10" s="73" t="str">
        <f t="shared" si="3"/>
        <v>Key-INFRA-10</v>
      </c>
      <c r="Y10" s="72" t="s">
        <v>1</v>
      </c>
      <c r="Z10" s="99" t="s">
        <v>1</v>
      </c>
      <c r="AA10" s="72" t="s">
        <v>2018</v>
      </c>
      <c r="AB10" s="99" t="s">
        <v>1</v>
      </c>
      <c r="AC10" s="74" t="s">
        <v>1</v>
      </c>
    </row>
    <row r="11" spans="1:29" customFormat="1" ht="6.6" customHeight="1" x14ac:dyDescent="0.25">
      <c r="A11" s="64">
        <v>11</v>
      </c>
      <c r="B11" s="69" t="s">
        <v>2140</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2216</v>
      </c>
      <c r="S11" s="72" t="s">
        <v>1</v>
      </c>
      <c r="T11" s="72" t="str">
        <f t="shared" si="1"/>
        <v>Fronteiras</v>
      </c>
      <c r="U11" s="72" t="str">
        <f t="shared" si="1"/>
        <v>Geográficas</v>
      </c>
      <c r="V11" s="72" t="str">
        <f t="shared" si="1"/>
        <v>Políticas</v>
      </c>
      <c r="W11" s="72" t="s">
        <v>2136</v>
      </c>
      <c r="X11" s="73" t="str">
        <f t="shared" si="3"/>
        <v>Key-INFRA-11</v>
      </c>
      <c r="Y11" s="72" t="s">
        <v>1</v>
      </c>
      <c r="Z11" s="99" t="s">
        <v>1</v>
      </c>
      <c r="AA11" s="72" t="s">
        <v>2018</v>
      </c>
      <c r="AB11" s="99" t="s">
        <v>1</v>
      </c>
      <c r="AC11" s="74" t="s">
        <v>1</v>
      </c>
    </row>
    <row r="12" spans="1:29" customFormat="1" ht="6.6" customHeight="1" x14ac:dyDescent="0.25">
      <c r="A12" s="64">
        <v>12</v>
      </c>
      <c r="B12" s="69" t="s">
        <v>2140</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2217</v>
      </c>
      <c r="S12" s="72" t="s">
        <v>1</v>
      </c>
      <c r="T12" s="72" t="str">
        <f t="shared" si="1"/>
        <v>Fronteiras</v>
      </c>
      <c r="U12" s="72" t="str">
        <f t="shared" si="1"/>
        <v>Geográficas</v>
      </c>
      <c r="V12" s="72" t="str">
        <f t="shared" si="1"/>
        <v>Políticas</v>
      </c>
      <c r="W12" s="72" t="s">
        <v>2136</v>
      </c>
      <c r="X12" s="73" t="str">
        <f t="shared" si="3"/>
        <v>Key-INFRA-12</v>
      </c>
      <c r="Y12" s="72" t="s">
        <v>1</v>
      </c>
      <c r="Z12" s="99" t="s">
        <v>1</v>
      </c>
      <c r="AA12" s="72" t="s">
        <v>2018</v>
      </c>
      <c r="AB12" s="99" t="s">
        <v>1</v>
      </c>
      <c r="AC12" s="74" t="s">
        <v>1</v>
      </c>
    </row>
    <row r="13" spans="1:29" customFormat="1" ht="6.6" customHeight="1" x14ac:dyDescent="0.25">
      <c r="A13" s="64">
        <v>13</v>
      </c>
      <c r="B13" s="69" t="s">
        <v>2140</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2143</v>
      </c>
      <c r="Q13" s="71" t="s">
        <v>638</v>
      </c>
      <c r="R13" s="72" t="s">
        <v>2218</v>
      </c>
      <c r="S13" s="72" t="s">
        <v>1</v>
      </c>
      <c r="T13" s="72" t="str">
        <f t="shared" ref="T13:V107" si="5">SUBSTITUTE(C13, ".", " ")</f>
        <v>Fronteiras</v>
      </c>
      <c r="U13" s="72" t="str">
        <f t="shared" si="5"/>
        <v>Geográficas</v>
      </c>
      <c r="V13" s="72" t="str">
        <f t="shared" si="5"/>
        <v>Políticas</v>
      </c>
      <c r="W13" s="72" t="s">
        <v>2136</v>
      </c>
      <c r="X13" s="73" t="str">
        <f t="shared" si="3"/>
        <v>Key-INFRA-13</v>
      </c>
      <c r="Y13" s="72" t="s">
        <v>1</v>
      </c>
      <c r="Z13" s="99" t="s">
        <v>1</v>
      </c>
      <c r="AA13" s="72" t="s">
        <v>2018</v>
      </c>
      <c r="AB13" s="99" t="s">
        <v>1</v>
      </c>
      <c r="AC13" s="74" t="s">
        <v>1</v>
      </c>
    </row>
    <row r="14" spans="1:29" customFormat="1" ht="6.6" customHeight="1" x14ac:dyDescent="0.25">
      <c r="A14" s="64">
        <v>14</v>
      </c>
      <c r="B14" s="69" t="s">
        <v>2140</v>
      </c>
      <c r="C14" s="29" t="s">
        <v>1556</v>
      </c>
      <c r="D14" s="29" t="s">
        <v>1555</v>
      </c>
      <c r="E14" s="29" t="s">
        <v>1558</v>
      </c>
      <c r="F14" s="29" t="s">
        <v>2144</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2145</v>
      </c>
      <c r="Q14" s="71" t="str">
        <f t="shared" ref="Q14:Q24" si="6">_xlfn.TRANSLATE(P14,"pt","es")</f>
        <v>Ciudad capital de un estado situado en la región sur de Brasil.</v>
      </c>
      <c r="R14" s="72" t="s">
        <v>2219</v>
      </c>
      <c r="S14" s="72" t="s">
        <v>1</v>
      </c>
      <c r="T14" s="72" t="str">
        <f t="shared" si="5"/>
        <v>Fronteiras</v>
      </c>
      <c r="U14" s="72" t="str">
        <f t="shared" si="5"/>
        <v>Geográficas</v>
      </c>
      <c r="V14" s="72" t="str">
        <f t="shared" si="5"/>
        <v>Políticas</v>
      </c>
      <c r="W14" s="72" t="s">
        <v>2136</v>
      </c>
      <c r="X14" s="73" t="str">
        <f t="shared" si="3"/>
        <v>Key-INFRA-14</v>
      </c>
      <c r="Y14" s="72" t="s">
        <v>1</v>
      </c>
      <c r="Z14" s="99" t="s">
        <v>1</v>
      </c>
      <c r="AA14" s="72" t="s">
        <v>2018</v>
      </c>
      <c r="AB14" s="99" t="s">
        <v>1</v>
      </c>
      <c r="AC14" s="74" t="s">
        <v>1</v>
      </c>
    </row>
    <row r="15" spans="1:29" customFormat="1" ht="6.6" customHeight="1" x14ac:dyDescent="0.25">
      <c r="A15" s="64">
        <v>15</v>
      </c>
      <c r="B15" s="69" t="s">
        <v>2140</v>
      </c>
      <c r="C15" s="29" t="s">
        <v>1556</v>
      </c>
      <c r="D15" s="29" t="s">
        <v>1555</v>
      </c>
      <c r="E15" s="29" t="s">
        <v>1558</v>
      </c>
      <c r="F15" s="29" t="s">
        <v>2146</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2147</v>
      </c>
      <c r="Q15" s="71" t="str">
        <f t="shared" si="6"/>
        <v>Ciudad capital de un estado situado en la región sureste de Brasil.</v>
      </c>
      <c r="R15" s="72" t="s">
        <v>2220</v>
      </c>
      <c r="S15" s="72" t="s">
        <v>1</v>
      </c>
      <c r="T15" s="72" t="str">
        <f t="shared" si="5"/>
        <v>Fronteiras</v>
      </c>
      <c r="U15" s="72" t="str">
        <f t="shared" si="5"/>
        <v>Geográficas</v>
      </c>
      <c r="V15" s="72" t="str">
        <f t="shared" si="5"/>
        <v>Políticas</v>
      </c>
      <c r="W15" s="72" t="s">
        <v>2136</v>
      </c>
      <c r="X15" s="73" t="str">
        <f t="shared" si="3"/>
        <v>Key-INFRA-15</v>
      </c>
      <c r="Y15" s="72" t="s">
        <v>1</v>
      </c>
      <c r="Z15" s="99" t="s">
        <v>1</v>
      </c>
      <c r="AA15" s="72" t="s">
        <v>2018</v>
      </c>
      <c r="AB15" s="99" t="s">
        <v>1</v>
      </c>
      <c r="AC15" s="74" t="s">
        <v>1</v>
      </c>
    </row>
    <row r="16" spans="1:29" customFormat="1" ht="6.6" customHeight="1" x14ac:dyDescent="0.25">
      <c r="A16" s="64">
        <v>16</v>
      </c>
      <c r="B16" s="69" t="s">
        <v>2140</v>
      </c>
      <c r="C16" s="29" t="s">
        <v>1556</v>
      </c>
      <c r="D16" s="29" t="s">
        <v>1555</v>
      </c>
      <c r="E16" s="29" t="s">
        <v>1558</v>
      </c>
      <c r="F16" s="29" t="s">
        <v>2148</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2149</v>
      </c>
      <c r="Q16" s="71" t="str">
        <f t="shared" si="6"/>
        <v>Ciudad capital de un Estado situado en la región norte de Brasil.</v>
      </c>
      <c r="R16" s="72" t="s">
        <v>2221</v>
      </c>
      <c r="S16" s="72" t="s">
        <v>1</v>
      </c>
      <c r="T16" s="72" t="str">
        <f t="shared" si="5"/>
        <v>Fronteiras</v>
      </c>
      <c r="U16" s="72" t="str">
        <f t="shared" si="5"/>
        <v>Geográficas</v>
      </c>
      <c r="V16" s="72" t="str">
        <f t="shared" si="5"/>
        <v>Políticas</v>
      </c>
      <c r="W16" s="72" t="s">
        <v>2136</v>
      </c>
      <c r="X16" s="73" t="str">
        <f t="shared" si="3"/>
        <v>Key-INFRA-16</v>
      </c>
      <c r="Y16" s="72" t="s">
        <v>1</v>
      </c>
      <c r="Z16" s="99" t="s">
        <v>1</v>
      </c>
      <c r="AA16" s="72" t="s">
        <v>2018</v>
      </c>
      <c r="AB16" s="99" t="s">
        <v>1</v>
      </c>
      <c r="AC16" s="74" t="s">
        <v>1</v>
      </c>
    </row>
    <row r="17" spans="1:29" customFormat="1" ht="6.6" customHeight="1" x14ac:dyDescent="0.25">
      <c r="A17" s="64">
        <v>17</v>
      </c>
      <c r="B17" s="69" t="s">
        <v>2140</v>
      </c>
      <c r="C17" s="29" t="s">
        <v>1556</v>
      </c>
      <c r="D17" s="29" t="s">
        <v>1555</v>
      </c>
      <c r="E17" s="29" t="s">
        <v>1558</v>
      </c>
      <c r="F17" s="29" t="s">
        <v>2150</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2151</v>
      </c>
      <c r="Q17" s="71" t="str">
        <f t="shared" si="6"/>
        <v>Ciudad capital de un estado situado en la región noreste de Brasil.</v>
      </c>
      <c r="R17" s="72" t="s">
        <v>2222</v>
      </c>
      <c r="S17" s="72" t="s">
        <v>1</v>
      </c>
      <c r="T17" s="72" t="str">
        <f t="shared" si="5"/>
        <v>Fronteiras</v>
      </c>
      <c r="U17" s="72" t="str">
        <f t="shared" si="5"/>
        <v>Geográficas</v>
      </c>
      <c r="V17" s="72" t="str">
        <f t="shared" si="5"/>
        <v>Políticas</v>
      </c>
      <c r="W17" s="72" t="s">
        <v>2136</v>
      </c>
      <c r="X17" s="73" t="str">
        <f t="shared" si="3"/>
        <v>Key-INFRA-17</v>
      </c>
      <c r="Y17" s="72" t="s">
        <v>1</v>
      </c>
      <c r="Z17" s="99" t="s">
        <v>1</v>
      </c>
      <c r="AA17" s="72" t="s">
        <v>2018</v>
      </c>
      <c r="AB17" s="99" t="s">
        <v>1</v>
      </c>
      <c r="AC17" s="74" t="s">
        <v>1</v>
      </c>
    </row>
    <row r="18" spans="1:29" customFormat="1" ht="6.6" customHeight="1" x14ac:dyDescent="0.25">
      <c r="A18" s="64">
        <v>18</v>
      </c>
      <c r="B18" s="69" t="s">
        <v>2140</v>
      </c>
      <c r="C18" s="29" t="s">
        <v>1556</v>
      </c>
      <c r="D18" s="29" t="s">
        <v>1555</v>
      </c>
      <c r="E18" s="29" t="s">
        <v>1558</v>
      </c>
      <c r="F18" s="29" t="s">
        <v>2152</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2153</v>
      </c>
      <c r="Q18" s="71" t="str">
        <f t="shared" si="6"/>
        <v>Ciudad capital de un estado situado en la región del Medio Oeste de Brasil.</v>
      </c>
      <c r="R18" s="72" t="s">
        <v>2223</v>
      </c>
      <c r="S18" s="72" t="s">
        <v>1</v>
      </c>
      <c r="T18" s="72" t="str">
        <f t="shared" si="5"/>
        <v>Fronteiras</v>
      </c>
      <c r="U18" s="72" t="str">
        <f t="shared" si="5"/>
        <v>Geográficas</v>
      </c>
      <c r="V18" s="72" t="str">
        <f t="shared" si="5"/>
        <v>Políticas</v>
      </c>
      <c r="W18" s="72" t="s">
        <v>2136</v>
      </c>
      <c r="X18" s="73" t="str">
        <f t="shared" si="3"/>
        <v>Key-INFRA-18</v>
      </c>
      <c r="Y18" s="72" t="s">
        <v>1</v>
      </c>
      <c r="Z18" s="99" t="s">
        <v>1</v>
      </c>
      <c r="AA18" s="72" t="s">
        <v>2018</v>
      </c>
      <c r="AB18" s="99" t="s">
        <v>1</v>
      </c>
      <c r="AC18" s="74" t="s">
        <v>1</v>
      </c>
    </row>
    <row r="19" spans="1:29" customFormat="1" ht="6.6" customHeight="1" x14ac:dyDescent="0.25">
      <c r="A19" s="64">
        <v>19</v>
      </c>
      <c r="B19" s="69" t="s">
        <v>2140</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2154</v>
      </c>
      <c r="Q19" s="71" t="str">
        <f t="shared" si="6"/>
        <v>Ciudad de Brasil.</v>
      </c>
      <c r="R19" s="72" t="s">
        <v>2224</v>
      </c>
      <c r="S19" s="72" t="s">
        <v>1</v>
      </c>
      <c r="T19" s="72" t="str">
        <f t="shared" si="5"/>
        <v>Fronteiras</v>
      </c>
      <c r="U19" s="72" t="str">
        <f t="shared" si="5"/>
        <v>Geográficas</v>
      </c>
      <c r="V19" s="72" t="str">
        <f t="shared" si="5"/>
        <v>Políticas</v>
      </c>
      <c r="W19" s="72" t="s">
        <v>2136</v>
      </c>
      <c r="X19" s="73" t="str">
        <f t="shared" si="3"/>
        <v>Key-INFRA-19</v>
      </c>
      <c r="Y19" s="72" t="s">
        <v>1</v>
      </c>
      <c r="Z19" s="99" t="s">
        <v>1</v>
      </c>
      <c r="AA19" s="72" t="s">
        <v>2018</v>
      </c>
      <c r="AB19" s="99" t="s">
        <v>1</v>
      </c>
      <c r="AC19" s="74" t="s">
        <v>1</v>
      </c>
    </row>
    <row r="20" spans="1:29" customFormat="1" ht="6.6" customHeight="1" x14ac:dyDescent="0.25">
      <c r="A20" s="64">
        <v>20</v>
      </c>
      <c r="B20" s="69" t="s">
        <v>2140</v>
      </c>
      <c r="C20" s="29" t="s">
        <v>1556</v>
      </c>
      <c r="D20" s="29" t="s">
        <v>1555</v>
      </c>
      <c r="E20" s="29" t="s">
        <v>1558</v>
      </c>
      <c r="F20" s="29" t="s">
        <v>2155</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2156</v>
      </c>
      <c r="Q20" s="71" t="str">
        <f t="shared" si="6"/>
        <v>Ciudad situada en la región sur de Brasil.</v>
      </c>
      <c r="R20" s="72" t="s">
        <v>2225</v>
      </c>
      <c r="S20" s="72" t="s">
        <v>1</v>
      </c>
      <c r="T20" s="72" t="str">
        <f t="shared" si="5"/>
        <v>Fronteiras</v>
      </c>
      <c r="U20" s="72" t="str">
        <f t="shared" si="5"/>
        <v>Geográficas</v>
      </c>
      <c r="V20" s="72" t="str">
        <f t="shared" si="5"/>
        <v>Políticas</v>
      </c>
      <c r="W20" s="72" t="s">
        <v>2136</v>
      </c>
      <c r="X20" s="73" t="str">
        <f t="shared" si="3"/>
        <v>Key-INFRA-20</v>
      </c>
      <c r="Y20" s="72" t="s">
        <v>1</v>
      </c>
      <c r="Z20" s="99" t="s">
        <v>1</v>
      </c>
      <c r="AA20" s="72" t="s">
        <v>2018</v>
      </c>
      <c r="AB20" s="99" t="s">
        <v>1</v>
      </c>
      <c r="AC20" s="74" t="s">
        <v>1</v>
      </c>
    </row>
    <row r="21" spans="1:29" customFormat="1" ht="6.6" customHeight="1" x14ac:dyDescent="0.25">
      <c r="A21" s="64">
        <v>21</v>
      </c>
      <c r="B21" s="69" t="s">
        <v>2140</v>
      </c>
      <c r="C21" s="29" t="s">
        <v>1556</v>
      </c>
      <c r="D21" s="29" t="s">
        <v>1555</v>
      </c>
      <c r="E21" s="29" t="s">
        <v>1558</v>
      </c>
      <c r="F21" s="29" t="s">
        <v>2157</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2158</v>
      </c>
      <c r="Q21" s="71" t="str">
        <f t="shared" si="6"/>
        <v>Ciudad situada en la región sureste de Brasil.</v>
      </c>
      <c r="R21" s="72" t="s">
        <v>2226</v>
      </c>
      <c r="S21" s="72" t="s">
        <v>1</v>
      </c>
      <c r="T21" s="72" t="str">
        <f t="shared" si="5"/>
        <v>Fronteiras</v>
      </c>
      <c r="U21" s="72" t="str">
        <f t="shared" si="5"/>
        <v>Geográficas</v>
      </c>
      <c r="V21" s="72" t="str">
        <f t="shared" si="5"/>
        <v>Políticas</v>
      </c>
      <c r="W21" s="72" t="s">
        <v>2136</v>
      </c>
      <c r="X21" s="73" t="str">
        <f t="shared" si="3"/>
        <v>Key-INFRA-21</v>
      </c>
      <c r="Y21" s="72" t="s">
        <v>1</v>
      </c>
      <c r="Z21" s="99" t="s">
        <v>1</v>
      </c>
      <c r="AA21" s="72" t="s">
        <v>2018</v>
      </c>
      <c r="AB21" s="99" t="s">
        <v>1</v>
      </c>
      <c r="AC21" s="74" t="s">
        <v>1</v>
      </c>
    </row>
    <row r="22" spans="1:29" customFormat="1" ht="6.6" customHeight="1" x14ac:dyDescent="0.25">
      <c r="A22" s="64">
        <v>22</v>
      </c>
      <c r="B22" s="69" t="s">
        <v>2140</v>
      </c>
      <c r="C22" s="29" t="s">
        <v>1556</v>
      </c>
      <c r="D22" s="29" t="s">
        <v>1555</v>
      </c>
      <c r="E22" s="29" t="s">
        <v>1558</v>
      </c>
      <c r="F22" s="29" t="s">
        <v>2159</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2160</v>
      </c>
      <c r="Q22" s="71" t="str">
        <f t="shared" si="6"/>
        <v>Ciudad situada en la región norte de Brasil.</v>
      </c>
      <c r="R22" s="72" t="s">
        <v>2227</v>
      </c>
      <c r="S22" s="72" t="s">
        <v>1</v>
      </c>
      <c r="T22" s="72" t="str">
        <f t="shared" si="5"/>
        <v>Fronteiras</v>
      </c>
      <c r="U22" s="72" t="str">
        <f t="shared" si="5"/>
        <v>Geográficas</v>
      </c>
      <c r="V22" s="72" t="str">
        <f t="shared" si="5"/>
        <v>Políticas</v>
      </c>
      <c r="W22" s="72" t="s">
        <v>2136</v>
      </c>
      <c r="X22" s="73" t="str">
        <f t="shared" si="3"/>
        <v>Key-INFRA-22</v>
      </c>
      <c r="Y22" s="72" t="s">
        <v>1</v>
      </c>
      <c r="Z22" s="99" t="s">
        <v>1</v>
      </c>
      <c r="AA22" s="72" t="s">
        <v>2018</v>
      </c>
      <c r="AB22" s="99" t="s">
        <v>1</v>
      </c>
      <c r="AC22" s="74" t="s">
        <v>1</v>
      </c>
    </row>
    <row r="23" spans="1:29" customFormat="1" ht="6.6" customHeight="1" x14ac:dyDescent="0.25">
      <c r="A23" s="64">
        <v>23</v>
      </c>
      <c r="B23" s="69" t="s">
        <v>2140</v>
      </c>
      <c r="C23" s="29" t="s">
        <v>1556</v>
      </c>
      <c r="D23" s="29" t="s">
        <v>1555</v>
      </c>
      <c r="E23" s="29" t="s">
        <v>1558</v>
      </c>
      <c r="F23" s="29" t="s">
        <v>2161</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2162</v>
      </c>
      <c r="Q23" s="71" t="str">
        <f t="shared" si="6"/>
        <v>Ciudad situada en la región noreste de Brasil.</v>
      </c>
      <c r="R23" s="72" t="s">
        <v>2228</v>
      </c>
      <c r="S23" s="72" t="s">
        <v>1</v>
      </c>
      <c r="T23" s="72" t="str">
        <f t="shared" si="5"/>
        <v>Fronteiras</v>
      </c>
      <c r="U23" s="72" t="str">
        <f t="shared" si="5"/>
        <v>Geográficas</v>
      </c>
      <c r="V23" s="72" t="str">
        <f t="shared" si="5"/>
        <v>Políticas</v>
      </c>
      <c r="W23" s="72" t="s">
        <v>2136</v>
      </c>
      <c r="X23" s="73" t="str">
        <f t="shared" si="3"/>
        <v>Key-INFRA-23</v>
      </c>
      <c r="Y23" s="72" t="s">
        <v>1</v>
      </c>
      <c r="Z23" s="99" t="s">
        <v>1</v>
      </c>
      <c r="AA23" s="72" t="s">
        <v>2018</v>
      </c>
      <c r="AB23" s="99" t="s">
        <v>1</v>
      </c>
      <c r="AC23" s="74" t="s">
        <v>1</v>
      </c>
    </row>
    <row r="24" spans="1:29" customFormat="1" ht="6.6" customHeight="1" x14ac:dyDescent="0.25">
      <c r="A24" s="64">
        <v>24</v>
      </c>
      <c r="B24" s="69" t="s">
        <v>2140</v>
      </c>
      <c r="C24" s="29" t="s">
        <v>1556</v>
      </c>
      <c r="D24" s="29" t="s">
        <v>1555</v>
      </c>
      <c r="E24" s="29" t="s">
        <v>1558</v>
      </c>
      <c r="F24" s="29" t="s">
        <v>2163</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2164</v>
      </c>
      <c r="Q24" s="71" t="str">
        <f t="shared" si="6"/>
        <v>Ciudad situada en la región del Medio Oeste de Brasil.</v>
      </c>
      <c r="R24" s="72" t="s">
        <v>2229</v>
      </c>
      <c r="S24" s="72" t="s">
        <v>1</v>
      </c>
      <c r="T24" s="72" t="str">
        <f t="shared" si="5"/>
        <v>Fronteiras</v>
      </c>
      <c r="U24" s="72" t="str">
        <f t="shared" si="5"/>
        <v>Geográficas</v>
      </c>
      <c r="V24" s="72" t="str">
        <f t="shared" si="5"/>
        <v>Políticas</v>
      </c>
      <c r="W24" s="72" t="s">
        <v>2136</v>
      </c>
      <c r="X24" s="73" t="str">
        <f t="shared" si="3"/>
        <v>Key-INFRA-24</v>
      </c>
      <c r="Y24" s="72" t="s">
        <v>1</v>
      </c>
      <c r="Z24" s="99" t="s">
        <v>1</v>
      </c>
      <c r="AA24" s="72" t="s">
        <v>2018</v>
      </c>
      <c r="AB24" s="99" t="s">
        <v>1</v>
      </c>
      <c r="AC24" s="74" t="s">
        <v>1</v>
      </c>
    </row>
    <row r="25" spans="1:29" customFormat="1" ht="6.6" customHeight="1" x14ac:dyDescent="0.25">
      <c r="A25" s="64">
        <v>25</v>
      </c>
      <c r="B25" s="69" t="s">
        <v>2140</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2230</v>
      </c>
      <c r="S25" s="72" t="s">
        <v>1</v>
      </c>
      <c r="T25" s="72" t="str">
        <f t="shared" si="5"/>
        <v>Fronteiras</v>
      </c>
      <c r="U25" s="72" t="str">
        <f t="shared" si="5"/>
        <v>Geográficas</v>
      </c>
      <c r="V25" s="72" t="str">
        <f t="shared" si="5"/>
        <v>Políticas</v>
      </c>
      <c r="W25" s="72" t="s">
        <v>2136</v>
      </c>
      <c r="X25" s="73" t="str">
        <f t="shared" si="3"/>
        <v>Key-INFRA-25</v>
      </c>
      <c r="Y25" s="72" t="s">
        <v>1</v>
      </c>
      <c r="Z25" s="99" t="s">
        <v>1</v>
      </c>
      <c r="AA25" s="72" t="s">
        <v>2018</v>
      </c>
      <c r="AB25" s="99" t="s">
        <v>1</v>
      </c>
      <c r="AC25" s="74" t="s">
        <v>1</v>
      </c>
    </row>
    <row r="26" spans="1:29" customFormat="1" ht="6.6" customHeight="1" x14ac:dyDescent="0.25">
      <c r="A26" s="64">
        <v>26</v>
      </c>
      <c r="B26" s="69" t="s">
        <v>2140</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2231</v>
      </c>
      <c r="S26" s="72" t="s">
        <v>1</v>
      </c>
      <c r="T26" s="72" t="str">
        <f t="shared" si="5"/>
        <v>Fronteiras</v>
      </c>
      <c r="U26" s="72" t="str">
        <f t="shared" si="5"/>
        <v>Geográficas</v>
      </c>
      <c r="V26" s="72" t="str">
        <f t="shared" si="5"/>
        <v>Políticas</v>
      </c>
      <c r="W26" s="72" t="s">
        <v>2136</v>
      </c>
      <c r="X26" s="73" t="str">
        <f t="shared" si="3"/>
        <v>Key-INFRA-26</v>
      </c>
      <c r="Y26" s="72" t="s">
        <v>1</v>
      </c>
      <c r="Z26" s="99" t="s">
        <v>1</v>
      </c>
      <c r="AA26" s="72" t="s">
        <v>2018</v>
      </c>
      <c r="AB26" s="99" t="s">
        <v>1</v>
      </c>
      <c r="AC26" s="74" t="s">
        <v>1</v>
      </c>
    </row>
    <row r="27" spans="1:29" customFormat="1" ht="6.6" customHeight="1" x14ac:dyDescent="0.25">
      <c r="A27" s="64">
        <v>27</v>
      </c>
      <c r="B27" s="69" t="s">
        <v>2140</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2232</v>
      </c>
      <c r="S27" s="72" t="s">
        <v>1</v>
      </c>
      <c r="T27" s="72" t="str">
        <f t="shared" si="5"/>
        <v>Fronteiras</v>
      </c>
      <c r="U27" s="72" t="str">
        <f t="shared" si="5"/>
        <v>Térmicas</v>
      </c>
      <c r="V27" s="72" t="str">
        <f t="shared" si="5"/>
        <v>Bioclimáticas</v>
      </c>
      <c r="W27" s="72" t="s">
        <v>2136</v>
      </c>
      <c r="X27" s="73" t="str">
        <f t="shared" si="3"/>
        <v>Key-INFRA-27</v>
      </c>
      <c r="Y27" s="72" t="s">
        <v>2019</v>
      </c>
      <c r="Z27" s="99" t="s">
        <v>1</v>
      </c>
      <c r="AA27" s="72" t="s">
        <v>2018</v>
      </c>
      <c r="AB27" s="99" t="s">
        <v>1</v>
      </c>
      <c r="AC27" s="74" t="s">
        <v>1</v>
      </c>
    </row>
    <row r="28" spans="1:29" customFormat="1" ht="6.6" customHeight="1" x14ac:dyDescent="0.25">
      <c r="A28" s="64">
        <v>28</v>
      </c>
      <c r="B28" s="69" t="s">
        <v>2140</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2233</v>
      </c>
      <c r="S28" s="72" t="s">
        <v>1</v>
      </c>
      <c r="T28" s="72" t="str">
        <f t="shared" si="5"/>
        <v>Fronteiras</v>
      </c>
      <c r="U28" s="72" t="str">
        <f t="shared" si="5"/>
        <v>Térmicas</v>
      </c>
      <c r="V28" s="72" t="str">
        <f t="shared" si="5"/>
        <v>Bioclimáticas</v>
      </c>
      <c r="W28" s="72" t="s">
        <v>2136</v>
      </c>
      <c r="X28" s="73" t="str">
        <f t="shared" si="3"/>
        <v>Key-INFRA-28</v>
      </c>
      <c r="Y28" s="72" t="s">
        <v>2019</v>
      </c>
      <c r="Z28" s="99" t="s">
        <v>1</v>
      </c>
      <c r="AA28" s="72" t="s">
        <v>2018</v>
      </c>
      <c r="AB28" s="99" t="s">
        <v>1</v>
      </c>
      <c r="AC28" s="74" t="s">
        <v>1</v>
      </c>
    </row>
    <row r="29" spans="1:29" customFormat="1" ht="6.6" customHeight="1" x14ac:dyDescent="0.25">
      <c r="A29" s="64">
        <v>29</v>
      </c>
      <c r="B29" s="69" t="s">
        <v>2140</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2234</v>
      </c>
      <c r="S29" s="72" t="s">
        <v>1</v>
      </c>
      <c r="T29" s="72" t="str">
        <f t="shared" si="5"/>
        <v>Fronteiras</v>
      </c>
      <c r="U29" s="72" t="str">
        <f t="shared" si="5"/>
        <v>Térmicas</v>
      </c>
      <c r="V29" s="72" t="str">
        <f t="shared" si="5"/>
        <v>Ilhas de Calor</v>
      </c>
      <c r="W29" s="72" t="s">
        <v>2136</v>
      </c>
      <c r="X29" s="73" t="str">
        <f t="shared" si="3"/>
        <v>Key-INFRA-29</v>
      </c>
      <c r="Y29" s="72" t="s">
        <v>2019</v>
      </c>
      <c r="Z29" s="99" t="s">
        <v>1</v>
      </c>
      <c r="AA29" s="72" t="s">
        <v>2018</v>
      </c>
      <c r="AB29" s="99" t="s">
        <v>1</v>
      </c>
      <c r="AC29" s="74" t="s">
        <v>1</v>
      </c>
    </row>
    <row r="30" spans="1:29" customFormat="1" ht="6.6" customHeight="1" x14ac:dyDescent="0.25">
      <c r="A30" s="64">
        <v>30</v>
      </c>
      <c r="B30" s="69" t="s">
        <v>2140</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2235</v>
      </c>
      <c r="S30" s="72" t="s">
        <v>1</v>
      </c>
      <c r="T30" s="72" t="str">
        <f t="shared" ref="T30:U40" si="10">SUBSTITUTE(C30, "_", " ")</f>
        <v>Fronteiras</v>
      </c>
      <c r="U30" s="72" t="str">
        <f t="shared" si="10"/>
        <v>Demarcadas</v>
      </c>
      <c r="V30" s="72" t="str">
        <f t="shared" si="5"/>
        <v>Marcos</v>
      </c>
      <c r="W30" s="72" t="s">
        <v>2136</v>
      </c>
      <c r="X30" s="73" t="str">
        <f t="shared" si="3"/>
        <v>Key-INFRA-30</v>
      </c>
      <c r="Y30" s="72" t="s">
        <v>1</v>
      </c>
      <c r="Z30" s="99" t="s">
        <v>1</v>
      </c>
      <c r="AA30" s="74" t="s">
        <v>2053</v>
      </c>
      <c r="AB30" s="99" t="s">
        <v>1</v>
      </c>
      <c r="AC30" s="74" t="s">
        <v>1</v>
      </c>
    </row>
    <row r="31" spans="1:29" customFormat="1" ht="6.6" customHeight="1" x14ac:dyDescent="0.25">
      <c r="A31" s="64">
        <v>31</v>
      </c>
      <c r="B31" s="69" t="s">
        <v>2140</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2236</v>
      </c>
      <c r="S31" s="72" t="s">
        <v>1</v>
      </c>
      <c r="T31" s="72" t="str">
        <f t="shared" si="10"/>
        <v>Fronteiras</v>
      </c>
      <c r="U31" s="72" t="str">
        <f t="shared" si="10"/>
        <v>Demarcadas</v>
      </c>
      <c r="V31" s="72" t="str">
        <f t="shared" si="5"/>
        <v>Marcos</v>
      </c>
      <c r="W31" s="72" t="s">
        <v>2136</v>
      </c>
      <c r="X31" s="73" t="str">
        <f t="shared" si="3"/>
        <v>Key-INFRA-31</v>
      </c>
      <c r="Y31" s="72" t="s">
        <v>1</v>
      </c>
      <c r="Z31" s="99" t="s">
        <v>1</v>
      </c>
      <c r="AA31" s="74" t="s">
        <v>2054</v>
      </c>
      <c r="AB31" s="99" t="s">
        <v>1</v>
      </c>
      <c r="AC31" s="74" t="s">
        <v>1</v>
      </c>
    </row>
    <row r="32" spans="1:29" customFormat="1" ht="6.6" customHeight="1" x14ac:dyDescent="0.25">
      <c r="A32" s="64">
        <v>32</v>
      </c>
      <c r="B32" s="69" t="s">
        <v>2140</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2237</v>
      </c>
      <c r="S32" s="72" t="s">
        <v>1</v>
      </c>
      <c r="T32" s="72" t="str">
        <f t="shared" si="10"/>
        <v>Fronteiras</v>
      </c>
      <c r="U32" s="72" t="str">
        <f t="shared" si="10"/>
        <v>Demarcadas</v>
      </c>
      <c r="V32" s="72" t="str">
        <f t="shared" si="5"/>
        <v>Marcos</v>
      </c>
      <c r="W32" s="72" t="s">
        <v>2136</v>
      </c>
      <c r="X32" s="73" t="str">
        <f t="shared" si="3"/>
        <v>Key-INFRA-32</v>
      </c>
      <c r="Y32" s="72" t="s">
        <v>1</v>
      </c>
      <c r="Z32" s="99" t="s">
        <v>1</v>
      </c>
      <c r="AA32" s="74" t="s">
        <v>2055</v>
      </c>
      <c r="AB32" s="99" t="s">
        <v>1</v>
      </c>
      <c r="AC32" s="74" t="s">
        <v>1</v>
      </c>
    </row>
    <row r="33" spans="1:29" customFormat="1" ht="6.6" customHeight="1" x14ac:dyDescent="0.25">
      <c r="A33" s="64">
        <v>33</v>
      </c>
      <c r="B33" s="69" t="s">
        <v>2140</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2238</v>
      </c>
      <c r="S33" s="72" t="s">
        <v>1</v>
      </c>
      <c r="T33" s="72" t="str">
        <f t="shared" si="10"/>
        <v>Fronteiras</v>
      </c>
      <c r="U33" s="72" t="str">
        <f t="shared" si="10"/>
        <v>Demarcadas</v>
      </c>
      <c r="V33" s="72" t="str">
        <f t="shared" si="5"/>
        <v>Marcos</v>
      </c>
      <c r="W33" s="72" t="s">
        <v>2136</v>
      </c>
      <c r="X33" s="73" t="str">
        <f t="shared" si="3"/>
        <v>Key-INFRA-33</v>
      </c>
      <c r="Y33" s="72" t="s">
        <v>1</v>
      </c>
      <c r="Z33" s="99" t="s">
        <v>1</v>
      </c>
      <c r="AA33" s="74" t="s">
        <v>2056</v>
      </c>
      <c r="AB33" s="99" t="s">
        <v>1</v>
      </c>
      <c r="AC33" s="74" t="s">
        <v>1</v>
      </c>
    </row>
    <row r="34" spans="1:29" customFormat="1" ht="6.6" customHeight="1" x14ac:dyDescent="0.25">
      <c r="A34" s="64">
        <v>34</v>
      </c>
      <c r="B34" s="69" t="s">
        <v>2140</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2239</v>
      </c>
      <c r="S34" s="72" t="s">
        <v>1</v>
      </c>
      <c r="T34" s="72" t="str">
        <f t="shared" si="10"/>
        <v>Fronteiras</v>
      </c>
      <c r="U34" s="72" t="str">
        <f t="shared" si="10"/>
        <v>Demarcadas</v>
      </c>
      <c r="V34" s="72" t="str">
        <f t="shared" si="5"/>
        <v>Marcos</v>
      </c>
      <c r="W34" s="72" t="s">
        <v>2136</v>
      </c>
      <c r="X34" s="73" t="str">
        <f t="shared" si="3"/>
        <v>Key-INFRA-34</v>
      </c>
      <c r="Y34" s="72" t="s">
        <v>1</v>
      </c>
      <c r="Z34" s="99" t="s">
        <v>1</v>
      </c>
      <c r="AA34" s="74" t="s">
        <v>2057</v>
      </c>
      <c r="AB34" s="99" t="s">
        <v>1</v>
      </c>
      <c r="AC34" s="74" t="s">
        <v>1</v>
      </c>
    </row>
    <row r="35" spans="1:29" customFormat="1" ht="6.6" customHeight="1" x14ac:dyDescent="0.25">
      <c r="A35" s="64">
        <v>35</v>
      </c>
      <c r="B35" s="69" t="s">
        <v>2140</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2240</v>
      </c>
      <c r="S35" s="72" t="s">
        <v>1</v>
      </c>
      <c r="T35" s="72" t="str">
        <f t="shared" si="10"/>
        <v>Fronteiras</v>
      </c>
      <c r="U35" s="72" t="str">
        <f t="shared" si="10"/>
        <v>Demarcadas</v>
      </c>
      <c r="V35" s="72" t="str">
        <f t="shared" si="5"/>
        <v>Marcos</v>
      </c>
      <c r="W35" s="72" t="s">
        <v>2136</v>
      </c>
      <c r="X35" s="73" t="str">
        <f t="shared" si="3"/>
        <v>Key-INFRA-35</v>
      </c>
      <c r="Y35" s="72" t="s">
        <v>1</v>
      </c>
      <c r="Z35" s="99" t="s">
        <v>1</v>
      </c>
      <c r="AA35" s="74" t="s">
        <v>2058</v>
      </c>
      <c r="AB35" s="99" t="s">
        <v>1</v>
      </c>
      <c r="AC35" s="74" t="s">
        <v>1</v>
      </c>
    </row>
    <row r="36" spans="1:29" customFormat="1" ht="6.6" customHeight="1" x14ac:dyDescent="0.25">
      <c r="A36" s="64">
        <v>36</v>
      </c>
      <c r="B36" s="69" t="s">
        <v>2140</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2241</v>
      </c>
      <c r="S36" s="72" t="s">
        <v>1</v>
      </c>
      <c r="T36" s="72" t="str">
        <f t="shared" si="10"/>
        <v>Fronteiras</v>
      </c>
      <c r="U36" s="72" t="str">
        <f t="shared" si="10"/>
        <v>Demarcadas</v>
      </c>
      <c r="V36" s="72" t="str">
        <f t="shared" si="5"/>
        <v>Marcos</v>
      </c>
      <c r="W36" s="72" t="s">
        <v>2136</v>
      </c>
      <c r="X36" s="73" t="str">
        <f t="shared" si="3"/>
        <v>Key-INFRA-36</v>
      </c>
      <c r="Y36" s="72" t="s">
        <v>1</v>
      </c>
      <c r="Z36" s="99" t="s">
        <v>1</v>
      </c>
      <c r="AA36" s="74" t="s">
        <v>2059</v>
      </c>
      <c r="AB36" s="99" t="s">
        <v>1</v>
      </c>
      <c r="AC36" s="74" t="s">
        <v>1</v>
      </c>
    </row>
    <row r="37" spans="1:29" customFormat="1" ht="6.6" customHeight="1" x14ac:dyDescent="0.25">
      <c r="A37" s="64">
        <v>37</v>
      </c>
      <c r="B37" s="69" t="s">
        <v>2140</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2242</v>
      </c>
      <c r="S37" s="72" t="s">
        <v>1</v>
      </c>
      <c r="T37" s="72" t="str">
        <f t="shared" si="10"/>
        <v>Fronteiras</v>
      </c>
      <c r="U37" s="72" t="str">
        <f t="shared" si="10"/>
        <v>Demarcadas</v>
      </c>
      <c r="V37" s="72" t="str">
        <f t="shared" si="5"/>
        <v>Marcos</v>
      </c>
      <c r="W37" s="72" t="s">
        <v>2136</v>
      </c>
      <c r="X37" s="73" t="str">
        <f t="shared" si="3"/>
        <v>Key-INFRA-37</v>
      </c>
      <c r="Y37" s="72" t="s">
        <v>1</v>
      </c>
      <c r="Z37" s="99" t="s">
        <v>1</v>
      </c>
      <c r="AA37" s="74" t="s">
        <v>2060</v>
      </c>
      <c r="AB37" s="99" t="s">
        <v>1</v>
      </c>
      <c r="AC37" s="74" t="s">
        <v>1</v>
      </c>
    </row>
    <row r="38" spans="1:29" customFormat="1" ht="6.6" customHeight="1" x14ac:dyDescent="0.25">
      <c r="A38" s="64">
        <v>38</v>
      </c>
      <c r="B38" s="69" t="s">
        <v>2140</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2243</v>
      </c>
      <c r="S38" s="72" t="s">
        <v>1</v>
      </c>
      <c r="T38" s="72" t="str">
        <f t="shared" si="10"/>
        <v>Fronteiras</v>
      </c>
      <c r="U38" s="72" t="str">
        <f t="shared" si="10"/>
        <v>Demarcadas</v>
      </c>
      <c r="V38" s="72" t="str">
        <f t="shared" si="5"/>
        <v>Marcos</v>
      </c>
      <c r="W38" s="72" t="s">
        <v>2136</v>
      </c>
      <c r="X38" s="73" t="str">
        <f t="shared" si="3"/>
        <v>Key-INFRA-38</v>
      </c>
      <c r="Y38" s="72" t="s">
        <v>1</v>
      </c>
      <c r="Z38" s="99" t="s">
        <v>1</v>
      </c>
      <c r="AA38" s="74" t="s">
        <v>2061</v>
      </c>
      <c r="AB38" s="99" t="s">
        <v>1</v>
      </c>
      <c r="AC38" s="74" t="s">
        <v>1</v>
      </c>
    </row>
    <row r="39" spans="1:29" customFormat="1" ht="6.6" customHeight="1" x14ac:dyDescent="0.25">
      <c r="A39" s="64">
        <v>39</v>
      </c>
      <c r="B39" s="69" t="s">
        <v>2140</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2244</v>
      </c>
      <c r="S39" s="72" t="s">
        <v>1</v>
      </c>
      <c r="T39" s="72" t="str">
        <f t="shared" si="10"/>
        <v>Fronteiras</v>
      </c>
      <c r="U39" s="72" t="str">
        <f t="shared" si="10"/>
        <v>Demarcadas</v>
      </c>
      <c r="V39" s="72" t="str">
        <f t="shared" si="5"/>
        <v>Marcos</v>
      </c>
      <c r="W39" s="72" t="s">
        <v>2136</v>
      </c>
      <c r="X39" s="73" t="str">
        <f t="shared" si="3"/>
        <v>Key-INFRA-39</v>
      </c>
      <c r="Y39" s="72" t="s">
        <v>1</v>
      </c>
      <c r="Z39" s="99" t="s">
        <v>1</v>
      </c>
      <c r="AA39" s="74" t="s">
        <v>2062</v>
      </c>
      <c r="AB39" s="99" t="s">
        <v>1</v>
      </c>
      <c r="AC39" s="74" t="s">
        <v>1</v>
      </c>
    </row>
    <row r="40" spans="1:29" customFormat="1" ht="6.6" customHeight="1" x14ac:dyDescent="0.25">
      <c r="A40" s="64">
        <v>40</v>
      </c>
      <c r="B40" s="69" t="s">
        <v>2140</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2245</v>
      </c>
      <c r="S40" s="72" t="s">
        <v>1</v>
      </c>
      <c r="T40" s="72" t="str">
        <f t="shared" si="10"/>
        <v>Fronteiras</v>
      </c>
      <c r="U40" s="72" t="str">
        <f t="shared" si="10"/>
        <v>Demarcadas</v>
      </c>
      <c r="V40" s="72" t="str">
        <f t="shared" si="5"/>
        <v>Marcos</v>
      </c>
      <c r="W40" s="72" t="s">
        <v>2136</v>
      </c>
      <c r="X40" s="73" t="str">
        <f t="shared" si="3"/>
        <v>Key-INFRA-40</v>
      </c>
      <c r="Y40" s="72" t="s">
        <v>1</v>
      </c>
      <c r="Z40" s="99" t="s">
        <v>1</v>
      </c>
      <c r="AA40" s="74" t="s">
        <v>2063</v>
      </c>
      <c r="AB40" s="99" t="s">
        <v>1</v>
      </c>
      <c r="AC40" s="74" t="s">
        <v>1</v>
      </c>
    </row>
    <row r="41" spans="1:29" customFormat="1" ht="6.6" customHeight="1" x14ac:dyDescent="0.25">
      <c r="A41" s="64">
        <v>41</v>
      </c>
      <c r="B41" s="69" t="s">
        <v>2140</v>
      </c>
      <c r="C41" s="29" t="s">
        <v>2165</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2246</v>
      </c>
      <c r="S41" s="72"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99" t="s">
        <v>1</v>
      </c>
      <c r="AA41" s="72" t="s">
        <v>2063</v>
      </c>
      <c r="AB41" s="99" t="s">
        <v>1</v>
      </c>
      <c r="AC41" s="74" t="s">
        <v>1</v>
      </c>
    </row>
    <row r="42" spans="1:29" customFormat="1" ht="6.6" customHeight="1" x14ac:dyDescent="0.25">
      <c r="A42" s="64">
        <v>42</v>
      </c>
      <c r="B42" s="69" t="s">
        <v>2140</v>
      </c>
      <c r="C42" s="29" t="s">
        <v>2165</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2247</v>
      </c>
      <c r="S42" s="72" t="s">
        <v>1</v>
      </c>
      <c r="T42" s="72" t="str">
        <f t="shared" si="13"/>
        <v>Topográficos</v>
      </c>
      <c r="U42" s="72" t="str">
        <f t="shared" si="13"/>
        <v>Altimetrias</v>
      </c>
      <c r="V42" s="72" t="str">
        <f t="shared" si="5"/>
        <v>Pontos Cotados</v>
      </c>
      <c r="W42" s="72" t="s">
        <v>2136</v>
      </c>
      <c r="X42" s="73" t="str">
        <f t="shared" si="3"/>
        <v>Key-INFRA-42</v>
      </c>
      <c r="Y42" s="72" t="s">
        <v>2021</v>
      </c>
      <c r="Z42" s="99" t="s">
        <v>1</v>
      </c>
      <c r="AA42" s="72" t="s">
        <v>2064</v>
      </c>
      <c r="AB42" s="99" t="s">
        <v>1</v>
      </c>
      <c r="AC42" s="74" t="s">
        <v>1</v>
      </c>
    </row>
    <row r="43" spans="1:29" customFormat="1" ht="6.6" customHeight="1" x14ac:dyDescent="0.25">
      <c r="A43" s="64">
        <v>43</v>
      </c>
      <c r="B43" s="69" t="s">
        <v>2140</v>
      </c>
      <c r="C43" s="29" t="s">
        <v>2165</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2248</v>
      </c>
      <c r="S43" s="72" t="s">
        <v>1</v>
      </c>
      <c r="T43" s="72" t="str">
        <f t="shared" si="13"/>
        <v>Topográficos</v>
      </c>
      <c r="U43" s="72" t="str">
        <f t="shared" si="13"/>
        <v>Altimetrias</v>
      </c>
      <c r="V43" s="72" t="str">
        <f t="shared" si="5"/>
        <v>Terrenos</v>
      </c>
      <c r="W43" s="72" t="s">
        <v>2136</v>
      </c>
      <c r="X43" s="73" t="str">
        <f t="shared" si="3"/>
        <v>Key-INFRA-43</v>
      </c>
      <c r="Y43" s="72" t="s">
        <v>2022</v>
      </c>
      <c r="Z43" s="99" t="s">
        <v>1</v>
      </c>
      <c r="AA43" s="72" t="s">
        <v>2064</v>
      </c>
      <c r="AB43" s="99" t="s">
        <v>1</v>
      </c>
      <c r="AC43" s="74" t="s">
        <v>1</v>
      </c>
    </row>
    <row r="44" spans="1:29" customFormat="1" ht="6.6" customHeight="1" x14ac:dyDescent="0.25">
      <c r="A44" s="64">
        <v>44</v>
      </c>
      <c r="B44" s="69" t="s">
        <v>2140</v>
      </c>
      <c r="C44" s="29" t="s">
        <v>2165</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2249</v>
      </c>
      <c r="S44" s="72" t="s">
        <v>1</v>
      </c>
      <c r="T44" s="72" t="str">
        <f t="shared" si="5"/>
        <v>Topográficos</v>
      </c>
      <c r="U44" s="72" t="str">
        <f t="shared" si="5"/>
        <v>Altimetrias</v>
      </c>
      <c r="V44" s="72" t="str">
        <f t="shared" si="5"/>
        <v>Terrenos</v>
      </c>
      <c r="W44" s="72" t="s">
        <v>2136</v>
      </c>
      <c r="X44" s="73" t="str">
        <f t="shared" si="3"/>
        <v>Key-INFRA-44</v>
      </c>
      <c r="Y44" s="72" t="s">
        <v>2023</v>
      </c>
      <c r="Z44" s="99" t="s">
        <v>1</v>
      </c>
      <c r="AA44" s="72" t="s">
        <v>2064</v>
      </c>
      <c r="AB44" s="99" t="s">
        <v>1</v>
      </c>
      <c r="AC44" s="74" t="s">
        <v>1</v>
      </c>
    </row>
    <row r="45" spans="1:29" customFormat="1" ht="6.6" customHeight="1" x14ac:dyDescent="0.25">
      <c r="A45" s="64">
        <v>45</v>
      </c>
      <c r="B45" s="69" t="s">
        <v>2140</v>
      </c>
      <c r="C45" s="29" t="s">
        <v>2165</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2250</v>
      </c>
      <c r="S45" s="72" t="s">
        <v>1</v>
      </c>
      <c r="T45" s="72" t="str">
        <f t="shared" si="5"/>
        <v>Topográficos</v>
      </c>
      <c r="U45" s="72" t="str">
        <f t="shared" si="5"/>
        <v>Altimetrias</v>
      </c>
      <c r="V45" s="72" t="str">
        <f t="shared" si="5"/>
        <v>Terrenos</v>
      </c>
      <c r="W45" s="72" t="s">
        <v>2136</v>
      </c>
      <c r="X45" s="73" t="str">
        <f t="shared" si="3"/>
        <v>Key-INFRA-45</v>
      </c>
      <c r="Y45" s="72" t="s">
        <v>2024</v>
      </c>
      <c r="Z45" s="99" t="s">
        <v>1</v>
      </c>
      <c r="AA45" s="72" t="s">
        <v>2064</v>
      </c>
      <c r="AB45" s="99" t="s">
        <v>1</v>
      </c>
      <c r="AC45" s="74" t="s">
        <v>1</v>
      </c>
    </row>
    <row r="46" spans="1:29" customFormat="1" ht="6.6" customHeight="1" x14ac:dyDescent="0.25">
      <c r="A46" s="64">
        <v>46</v>
      </c>
      <c r="B46" s="69" t="s">
        <v>2140</v>
      </c>
      <c r="C46" s="29" t="s">
        <v>2165</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2251</v>
      </c>
      <c r="S46" s="72" t="s">
        <v>1</v>
      </c>
      <c r="T46" s="72" t="str">
        <f t="shared" si="5"/>
        <v>Topográficos</v>
      </c>
      <c r="U46" s="72" t="str">
        <f t="shared" si="5"/>
        <v>Altimetrias</v>
      </c>
      <c r="V46" s="72" t="str">
        <f t="shared" si="5"/>
        <v>Terrenos</v>
      </c>
      <c r="W46" s="72" t="s">
        <v>2136</v>
      </c>
      <c r="X46" s="73" t="str">
        <f t="shared" si="3"/>
        <v>Key-INFRA-46</v>
      </c>
      <c r="Y46" s="72" t="s">
        <v>2025</v>
      </c>
      <c r="Z46" s="99" t="s">
        <v>1</v>
      </c>
      <c r="AA46" s="72" t="s">
        <v>2064</v>
      </c>
      <c r="AB46" s="99" t="s">
        <v>1</v>
      </c>
      <c r="AC46" s="74" t="s">
        <v>1</v>
      </c>
    </row>
    <row r="47" spans="1:29" customFormat="1" ht="6.6" customHeight="1" x14ac:dyDescent="0.25">
      <c r="A47" s="64">
        <v>47</v>
      </c>
      <c r="B47" s="69" t="s">
        <v>2140</v>
      </c>
      <c r="C47" s="29" t="s">
        <v>2165</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2252</v>
      </c>
      <c r="S47" s="72" t="s">
        <v>1</v>
      </c>
      <c r="T47" s="72" t="str">
        <f t="shared" si="5"/>
        <v>Topográficos</v>
      </c>
      <c r="U47" s="72" t="str">
        <f t="shared" si="5"/>
        <v>Altimetrias</v>
      </c>
      <c r="V47" s="72" t="str">
        <f t="shared" si="5"/>
        <v>Terrenos</v>
      </c>
      <c r="W47" s="72" t="s">
        <v>2136</v>
      </c>
      <c r="X47" s="73" t="str">
        <f t="shared" si="3"/>
        <v>Key-INFRA-47</v>
      </c>
      <c r="Y47" s="72" t="s">
        <v>2107</v>
      </c>
      <c r="Z47" s="99" t="s">
        <v>1</v>
      </c>
      <c r="AA47" s="72" t="s">
        <v>2064</v>
      </c>
      <c r="AB47" s="99" t="s">
        <v>1</v>
      </c>
      <c r="AC47" s="74" t="s">
        <v>1</v>
      </c>
    </row>
    <row r="48" spans="1:29" customFormat="1" ht="6.6" customHeight="1" x14ac:dyDescent="0.25">
      <c r="A48" s="64">
        <v>48</v>
      </c>
      <c r="B48" s="69" t="s">
        <v>2140</v>
      </c>
      <c r="C48" s="29" t="s">
        <v>2165</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2253</v>
      </c>
      <c r="S48" s="72" t="s">
        <v>1</v>
      </c>
      <c r="T48" s="72" t="str">
        <f t="shared" si="5"/>
        <v>Topográficos</v>
      </c>
      <c r="U48" s="72" t="str">
        <f t="shared" si="5"/>
        <v>Altimetrias</v>
      </c>
      <c r="V48" s="72" t="str">
        <f t="shared" si="5"/>
        <v>Terrenos</v>
      </c>
      <c r="W48" s="72" t="s">
        <v>2136</v>
      </c>
      <c r="X48" s="73" t="str">
        <f t="shared" si="3"/>
        <v>Key-INFRA-48</v>
      </c>
      <c r="Y48" s="72" t="s">
        <v>2026</v>
      </c>
      <c r="Z48" s="99" t="s">
        <v>1</v>
      </c>
      <c r="AA48" s="72" t="s">
        <v>2064</v>
      </c>
      <c r="AB48" s="99" t="s">
        <v>1</v>
      </c>
      <c r="AC48" s="74" t="s">
        <v>1</v>
      </c>
    </row>
    <row r="49" spans="1:29" customFormat="1" ht="6.6" customHeight="1" x14ac:dyDescent="0.25">
      <c r="A49" s="64">
        <v>49</v>
      </c>
      <c r="B49" s="69" t="s">
        <v>2140</v>
      </c>
      <c r="C49" s="29" t="s">
        <v>2165</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2254</v>
      </c>
      <c r="S49" s="72" t="s">
        <v>1</v>
      </c>
      <c r="T49" s="72" t="str">
        <f t="shared" si="5"/>
        <v>Topográficos</v>
      </c>
      <c r="U49" s="72" t="str">
        <f t="shared" si="5"/>
        <v>Altimetrias</v>
      </c>
      <c r="V49" s="72" t="str">
        <f t="shared" si="5"/>
        <v>Terrenos</v>
      </c>
      <c r="W49" s="72" t="s">
        <v>2136</v>
      </c>
      <c r="X49" s="73" t="str">
        <f t="shared" si="3"/>
        <v>Key-INFRA-49</v>
      </c>
      <c r="Y49" s="72" t="s">
        <v>2027</v>
      </c>
      <c r="Z49" s="99" t="s">
        <v>1</v>
      </c>
      <c r="AA49" s="72" t="s">
        <v>2065</v>
      </c>
      <c r="AB49" s="99" t="s">
        <v>1</v>
      </c>
      <c r="AC49" s="74" t="s">
        <v>1</v>
      </c>
    </row>
    <row r="50" spans="1:29" customFormat="1" ht="6.6" customHeight="1" x14ac:dyDescent="0.25">
      <c r="A50" s="64">
        <v>50</v>
      </c>
      <c r="B50" s="69" t="s">
        <v>2140</v>
      </c>
      <c r="C50" s="29" t="s">
        <v>2165</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2255</v>
      </c>
      <c r="S50" s="72" t="s">
        <v>1</v>
      </c>
      <c r="T50" s="72" t="str">
        <f t="shared" si="5"/>
        <v>Topográficos</v>
      </c>
      <c r="U50" s="72" t="str">
        <f t="shared" si="5"/>
        <v>Altimetrias</v>
      </c>
      <c r="V50" s="72" t="str">
        <f t="shared" si="5"/>
        <v>Curvas de Nível</v>
      </c>
      <c r="W50" s="72" t="s">
        <v>2136</v>
      </c>
      <c r="X50" s="73" t="str">
        <f t="shared" si="3"/>
        <v>Key-INFRA-50</v>
      </c>
      <c r="Y50" s="72" t="s">
        <v>2188</v>
      </c>
      <c r="Z50" s="99" t="s">
        <v>1</v>
      </c>
      <c r="AA50" s="72" t="s">
        <v>2065</v>
      </c>
      <c r="AB50" s="99" t="s">
        <v>1</v>
      </c>
      <c r="AC50" s="74" t="s">
        <v>1</v>
      </c>
    </row>
    <row r="51" spans="1:29" customFormat="1" ht="6.6" customHeight="1" x14ac:dyDescent="0.25">
      <c r="A51" s="64">
        <v>51</v>
      </c>
      <c r="B51" s="69" t="s">
        <v>2140</v>
      </c>
      <c r="C51" s="29" t="s">
        <v>2165</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2256</v>
      </c>
      <c r="S51" s="72" t="s">
        <v>1</v>
      </c>
      <c r="T51" s="72" t="str">
        <f t="shared" si="5"/>
        <v>Topográficos</v>
      </c>
      <c r="U51" s="72" t="str">
        <f t="shared" si="5"/>
        <v>Altimetrias</v>
      </c>
      <c r="V51" s="72" t="str">
        <f t="shared" si="5"/>
        <v>Curvas de Nível</v>
      </c>
      <c r="W51" s="72" t="s">
        <v>2136</v>
      </c>
      <c r="X51" s="73" t="str">
        <f t="shared" si="3"/>
        <v>Key-INFRA-51</v>
      </c>
      <c r="Y51" s="72" t="s">
        <v>2188</v>
      </c>
      <c r="Z51" s="99" t="s">
        <v>1</v>
      </c>
      <c r="AA51" s="72" t="s">
        <v>2065</v>
      </c>
      <c r="AB51" s="99" t="s">
        <v>1</v>
      </c>
      <c r="AC51" s="74" t="s">
        <v>1</v>
      </c>
    </row>
    <row r="52" spans="1:29" customFormat="1" ht="6.6" customHeight="1" x14ac:dyDescent="0.25">
      <c r="A52" s="64">
        <v>52</v>
      </c>
      <c r="B52" s="69" t="s">
        <v>2140</v>
      </c>
      <c r="C52" s="29" t="s">
        <v>2165</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2257</v>
      </c>
      <c r="S52" s="72" t="s">
        <v>1</v>
      </c>
      <c r="T52" s="72" t="str">
        <f t="shared" si="5"/>
        <v>Topográficos</v>
      </c>
      <c r="U52" s="72" t="str">
        <f t="shared" si="5"/>
        <v>Altimetrias</v>
      </c>
      <c r="V52" s="72" t="str">
        <f t="shared" si="5"/>
        <v>Curvas de Nível</v>
      </c>
      <c r="W52" s="72" t="s">
        <v>2136</v>
      </c>
      <c r="X52" s="73" t="str">
        <f t="shared" si="3"/>
        <v>Key-INFRA-52</v>
      </c>
      <c r="Y52" s="72" t="s">
        <v>2188</v>
      </c>
      <c r="Z52" s="99" t="s">
        <v>1</v>
      </c>
      <c r="AA52" s="72" t="s">
        <v>2065</v>
      </c>
      <c r="AB52" s="99" t="s">
        <v>1</v>
      </c>
      <c r="AC52" s="74" t="s">
        <v>1</v>
      </c>
    </row>
    <row r="53" spans="1:29" customFormat="1" ht="6.6" customHeight="1" x14ac:dyDescent="0.25">
      <c r="A53" s="64">
        <v>53</v>
      </c>
      <c r="B53" s="69" t="s">
        <v>2140</v>
      </c>
      <c r="C53" s="29" t="s">
        <v>2165</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2258</v>
      </c>
      <c r="S53" s="72" t="s">
        <v>1</v>
      </c>
      <c r="T53" s="72" t="str">
        <f t="shared" si="5"/>
        <v>Topográficos</v>
      </c>
      <c r="U53" s="72" t="str">
        <f t="shared" si="5"/>
        <v>Altimetrias</v>
      </c>
      <c r="V53" s="72" t="str">
        <f t="shared" si="5"/>
        <v>Curvas de Nível</v>
      </c>
      <c r="W53" s="72" t="s">
        <v>2136</v>
      </c>
      <c r="X53" s="73" t="str">
        <f t="shared" si="3"/>
        <v>Key-INFRA-53</v>
      </c>
      <c r="Y53" s="72" t="s">
        <v>2188</v>
      </c>
      <c r="Z53" s="99" t="s">
        <v>1</v>
      </c>
      <c r="AA53" s="72" t="s">
        <v>2063</v>
      </c>
      <c r="AB53" s="99" t="s">
        <v>1</v>
      </c>
      <c r="AC53" s="74" t="s">
        <v>1</v>
      </c>
    </row>
    <row r="54" spans="1:29" customFormat="1" ht="6.6" customHeight="1" x14ac:dyDescent="0.25">
      <c r="A54" s="64">
        <v>54</v>
      </c>
      <c r="B54" s="69" t="s">
        <v>2140</v>
      </c>
      <c r="C54" s="29" t="s">
        <v>2165</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2259</v>
      </c>
      <c r="S54" s="72" t="s">
        <v>1</v>
      </c>
      <c r="T54" s="72" t="str">
        <f t="shared" si="5"/>
        <v>Topográficos</v>
      </c>
      <c r="U54" s="72" t="str">
        <f t="shared" si="5"/>
        <v>Altimetrias</v>
      </c>
      <c r="V54" s="72" t="str">
        <f t="shared" si="5"/>
        <v>Sondagens</v>
      </c>
      <c r="W54" s="72" t="s">
        <v>2136</v>
      </c>
      <c r="X54" s="73" t="str">
        <f t="shared" si="3"/>
        <v>Key-INFRA-54</v>
      </c>
      <c r="Y54" s="72" t="s">
        <v>2020</v>
      </c>
      <c r="Z54" s="99" t="s">
        <v>1</v>
      </c>
      <c r="AA54" s="72" t="s">
        <v>2018</v>
      </c>
      <c r="AB54" s="99" t="s">
        <v>1</v>
      </c>
      <c r="AC54" s="74" t="s">
        <v>1</v>
      </c>
    </row>
    <row r="55" spans="1:29" customFormat="1" ht="6.6" customHeight="1" x14ac:dyDescent="0.25">
      <c r="A55" s="64">
        <v>55</v>
      </c>
      <c r="B55" s="69" t="s">
        <v>2140</v>
      </c>
      <c r="C55" s="29" t="s">
        <v>1566</v>
      </c>
      <c r="D55" s="29" t="s">
        <v>2166</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2260</v>
      </c>
      <c r="S55" s="72" t="s">
        <v>1</v>
      </c>
      <c r="T55" s="72" t="str">
        <f t="shared" si="5"/>
        <v>Urbanísticos</v>
      </c>
      <c r="U55" s="72" t="str">
        <f t="shared" si="5"/>
        <v>De Planejamento</v>
      </c>
      <c r="V55" s="72" t="str">
        <f t="shared" si="5"/>
        <v>Zonificações</v>
      </c>
      <c r="W55" s="72" t="s">
        <v>2136</v>
      </c>
      <c r="X55" s="73" t="str">
        <f t="shared" si="3"/>
        <v>Key-INFRA-55</v>
      </c>
      <c r="Y55" s="72" t="s">
        <v>2019</v>
      </c>
      <c r="Z55" s="99" t="s">
        <v>1</v>
      </c>
      <c r="AA55" s="72" t="s">
        <v>2018</v>
      </c>
      <c r="AB55" s="99" t="s">
        <v>1</v>
      </c>
      <c r="AC55" s="74" t="s">
        <v>1</v>
      </c>
    </row>
    <row r="56" spans="1:29" customFormat="1" ht="6.6" customHeight="1" x14ac:dyDescent="0.25">
      <c r="A56" s="64">
        <v>56</v>
      </c>
      <c r="B56" s="69" t="s">
        <v>2140</v>
      </c>
      <c r="C56" s="29" t="s">
        <v>1566</v>
      </c>
      <c r="D56" s="29" t="s">
        <v>2166</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2261</v>
      </c>
      <c r="S56" s="72" t="s">
        <v>1</v>
      </c>
      <c r="T56" s="72" t="str">
        <f t="shared" si="5"/>
        <v>Urbanísticos</v>
      </c>
      <c r="U56" s="72" t="str">
        <f t="shared" si="5"/>
        <v>De Planejamento</v>
      </c>
      <c r="V56" s="72" t="str">
        <f t="shared" si="5"/>
        <v>Zonificações</v>
      </c>
      <c r="W56" s="72" t="s">
        <v>2136</v>
      </c>
      <c r="X56" s="73" t="str">
        <f t="shared" si="3"/>
        <v>Key-INFRA-56</v>
      </c>
      <c r="Y56" s="72" t="s">
        <v>2019</v>
      </c>
      <c r="Z56" s="99" t="s">
        <v>1</v>
      </c>
      <c r="AA56" s="72" t="s">
        <v>2018</v>
      </c>
      <c r="AB56" s="99" t="s">
        <v>1</v>
      </c>
      <c r="AC56" s="74" t="s">
        <v>1</v>
      </c>
    </row>
    <row r="57" spans="1:29" customFormat="1" ht="6.6" customHeight="1" x14ac:dyDescent="0.25">
      <c r="A57" s="64">
        <v>57</v>
      </c>
      <c r="B57" s="69" t="s">
        <v>2140</v>
      </c>
      <c r="C57" s="29" t="s">
        <v>1566</v>
      </c>
      <c r="D57" s="29" t="s">
        <v>2166</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2262</v>
      </c>
      <c r="S57" s="72" t="s">
        <v>1</v>
      </c>
      <c r="T57" s="72" t="str">
        <f t="shared" si="5"/>
        <v>Urbanísticos</v>
      </c>
      <c r="U57" s="72" t="str">
        <f t="shared" si="5"/>
        <v>De Planejamento</v>
      </c>
      <c r="V57" s="72" t="str">
        <f t="shared" si="5"/>
        <v>Zonificações</v>
      </c>
      <c r="W57" s="72" t="s">
        <v>2136</v>
      </c>
      <c r="X57" s="73" t="str">
        <f t="shared" si="3"/>
        <v>Key-INFRA-57</v>
      </c>
      <c r="Y57" s="72" t="s">
        <v>2019</v>
      </c>
      <c r="Z57" s="99" t="s">
        <v>1</v>
      </c>
      <c r="AA57" s="72" t="s">
        <v>2018</v>
      </c>
      <c r="AB57" s="99" t="s">
        <v>1</v>
      </c>
      <c r="AC57" s="74" t="s">
        <v>1</v>
      </c>
    </row>
    <row r="58" spans="1:29" customFormat="1" ht="6.6" customHeight="1" x14ac:dyDescent="0.25">
      <c r="A58" s="64">
        <v>58</v>
      </c>
      <c r="B58" s="69" t="s">
        <v>2140</v>
      </c>
      <c r="C58" s="29" t="s">
        <v>1566</v>
      </c>
      <c r="D58" s="29" t="s">
        <v>2166</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2263</v>
      </c>
      <c r="S58" s="72" t="s">
        <v>1</v>
      </c>
      <c r="T58" s="72" t="str">
        <f t="shared" si="5"/>
        <v>Urbanísticos</v>
      </c>
      <c r="U58" s="72" t="str">
        <f t="shared" si="5"/>
        <v>De Planejamento</v>
      </c>
      <c r="V58" s="72" t="str">
        <f t="shared" si="5"/>
        <v>Zonificações</v>
      </c>
      <c r="W58" s="72" t="s">
        <v>2136</v>
      </c>
      <c r="X58" s="73" t="str">
        <f t="shared" si="3"/>
        <v>Key-INFRA-58</v>
      </c>
      <c r="Y58" s="72" t="s">
        <v>2019</v>
      </c>
      <c r="Z58" s="99" t="s">
        <v>1</v>
      </c>
      <c r="AA58" s="72" t="s">
        <v>2018</v>
      </c>
      <c r="AB58" s="99" t="s">
        <v>1</v>
      </c>
      <c r="AC58" s="74" t="s">
        <v>1</v>
      </c>
    </row>
    <row r="59" spans="1:29" customFormat="1" ht="6.6" customHeight="1" x14ac:dyDescent="0.25">
      <c r="A59" s="64">
        <v>59</v>
      </c>
      <c r="B59" s="69" t="s">
        <v>2140</v>
      </c>
      <c r="C59" s="29" t="s">
        <v>1566</v>
      </c>
      <c r="D59" s="29" t="s">
        <v>2166</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2264</v>
      </c>
      <c r="S59" s="72" t="s">
        <v>1</v>
      </c>
      <c r="T59" s="72" t="str">
        <f t="shared" si="5"/>
        <v>Urbanísticos</v>
      </c>
      <c r="U59" s="72" t="str">
        <f t="shared" si="5"/>
        <v>De Planejamento</v>
      </c>
      <c r="V59" s="72" t="str">
        <f t="shared" si="5"/>
        <v>Zonificações</v>
      </c>
      <c r="W59" s="72" t="s">
        <v>2136</v>
      </c>
      <c r="X59" s="73" t="str">
        <f t="shared" si="3"/>
        <v>Key-INFRA-59</v>
      </c>
      <c r="Y59" s="72" t="s">
        <v>2019</v>
      </c>
      <c r="Z59" s="99" t="s">
        <v>1</v>
      </c>
      <c r="AA59" s="72" t="s">
        <v>2018</v>
      </c>
      <c r="AB59" s="99" t="s">
        <v>1</v>
      </c>
      <c r="AC59" s="74" t="s">
        <v>1</v>
      </c>
    </row>
    <row r="60" spans="1:29" customFormat="1" ht="6.6" customHeight="1" x14ac:dyDescent="0.25">
      <c r="A60" s="64">
        <v>60</v>
      </c>
      <c r="B60" s="69" t="s">
        <v>2140</v>
      </c>
      <c r="C60" s="29" t="s">
        <v>1566</v>
      </c>
      <c r="D60" s="29" t="s">
        <v>2166</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2265</v>
      </c>
      <c r="S60" s="72" t="s">
        <v>1</v>
      </c>
      <c r="T60" s="72" t="str">
        <f t="shared" si="5"/>
        <v>Urbanísticos</v>
      </c>
      <c r="U60" s="72" t="str">
        <f t="shared" si="5"/>
        <v>De Planejamento</v>
      </c>
      <c r="V60" s="72" t="str">
        <f t="shared" si="5"/>
        <v>Zonificações</v>
      </c>
      <c r="W60" s="72" t="s">
        <v>2136</v>
      </c>
      <c r="X60" s="73" t="str">
        <f t="shared" si="3"/>
        <v>Key-INFRA-60</v>
      </c>
      <c r="Y60" s="72" t="s">
        <v>2019</v>
      </c>
      <c r="Z60" s="99" t="s">
        <v>1</v>
      </c>
      <c r="AA60" s="72" t="s">
        <v>2018</v>
      </c>
      <c r="AB60" s="99" t="s">
        <v>1</v>
      </c>
      <c r="AC60" s="74" t="s">
        <v>1</v>
      </c>
    </row>
    <row r="61" spans="1:29" customFormat="1" ht="6.6" customHeight="1" x14ac:dyDescent="0.25">
      <c r="A61" s="64">
        <v>61</v>
      </c>
      <c r="B61" s="69" t="s">
        <v>2140</v>
      </c>
      <c r="C61" s="29" t="s">
        <v>1566</v>
      </c>
      <c r="D61" s="29" t="s">
        <v>2166</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2266</v>
      </c>
      <c r="S61" s="72" t="s">
        <v>1</v>
      </c>
      <c r="T61" s="72" t="str">
        <f t="shared" si="5"/>
        <v>Urbanísticos</v>
      </c>
      <c r="U61" s="72" t="str">
        <f t="shared" si="5"/>
        <v>De Planejamento</v>
      </c>
      <c r="V61" s="72" t="str">
        <f t="shared" si="5"/>
        <v>Zonificações</v>
      </c>
      <c r="W61" s="72" t="s">
        <v>2136</v>
      </c>
      <c r="X61" s="73" t="str">
        <f t="shared" si="3"/>
        <v>Key-INFRA-61</v>
      </c>
      <c r="Y61" s="72" t="s">
        <v>2019</v>
      </c>
      <c r="Z61" s="99" t="s">
        <v>1</v>
      </c>
      <c r="AA61" s="72" t="s">
        <v>2018</v>
      </c>
      <c r="AB61" s="99" t="s">
        <v>1</v>
      </c>
      <c r="AC61" s="74" t="s">
        <v>1</v>
      </c>
    </row>
    <row r="62" spans="1:29" customFormat="1" ht="6.6" customHeight="1" x14ac:dyDescent="0.25">
      <c r="A62" s="64">
        <v>62</v>
      </c>
      <c r="B62" s="69" t="s">
        <v>2140</v>
      </c>
      <c r="C62" s="29" t="s">
        <v>1566</v>
      </c>
      <c r="D62" s="29" t="s">
        <v>2166</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2265</v>
      </c>
      <c r="S62" s="72" t="s">
        <v>1</v>
      </c>
      <c r="T62" s="72" t="str">
        <f t="shared" si="5"/>
        <v>Urbanísticos</v>
      </c>
      <c r="U62" s="72" t="str">
        <f t="shared" si="5"/>
        <v>De Planejamento</v>
      </c>
      <c r="V62" s="72" t="str">
        <f t="shared" si="5"/>
        <v>Zonificações</v>
      </c>
      <c r="W62" s="72" t="s">
        <v>2136</v>
      </c>
      <c r="X62" s="73" t="str">
        <f t="shared" si="3"/>
        <v>Key-INFRA-62</v>
      </c>
      <c r="Y62" s="72" t="s">
        <v>2019</v>
      </c>
      <c r="Z62" s="99" t="s">
        <v>1</v>
      </c>
      <c r="AA62" s="72" t="s">
        <v>2066</v>
      </c>
      <c r="AB62" s="99" t="s">
        <v>1</v>
      </c>
      <c r="AC62" s="74" t="s">
        <v>1</v>
      </c>
    </row>
    <row r="63" spans="1:29" customFormat="1" ht="6.6" customHeight="1" x14ac:dyDescent="0.25">
      <c r="A63" s="64">
        <v>63</v>
      </c>
      <c r="B63" s="69" t="s">
        <v>2140</v>
      </c>
      <c r="C63" s="29" t="s">
        <v>1566</v>
      </c>
      <c r="D63" s="29" t="s">
        <v>2166</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2267</v>
      </c>
      <c r="S63" s="72" t="s">
        <v>1</v>
      </c>
      <c r="T63" s="72" t="str">
        <f t="shared" si="5"/>
        <v>Urbanísticos</v>
      </c>
      <c r="U63" s="72" t="str">
        <f t="shared" si="5"/>
        <v>De Planejamento</v>
      </c>
      <c r="V63" s="72" t="str">
        <f t="shared" si="5"/>
        <v>Frações</v>
      </c>
      <c r="W63" s="72" t="s">
        <v>2136</v>
      </c>
      <c r="X63" s="73" t="str">
        <f t="shared" si="3"/>
        <v>Key-INFRA-63</v>
      </c>
      <c r="Y63" s="72" t="s">
        <v>2028</v>
      </c>
      <c r="Z63" s="99" t="s">
        <v>1</v>
      </c>
      <c r="AA63" s="72" t="s">
        <v>2066</v>
      </c>
      <c r="AB63" s="99" t="s">
        <v>1</v>
      </c>
      <c r="AC63" s="74" t="s">
        <v>1</v>
      </c>
    </row>
    <row r="64" spans="1:29" customFormat="1" ht="6.6" customHeight="1" x14ac:dyDescent="0.25">
      <c r="A64" s="64">
        <v>64</v>
      </c>
      <c r="B64" s="69" t="s">
        <v>2140</v>
      </c>
      <c r="C64" s="29" t="s">
        <v>1566</v>
      </c>
      <c r="D64" s="29" t="s">
        <v>2166</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2268</v>
      </c>
      <c r="S64" s="72" t="s">
        <v>1</v>
      </c>
      <c r="T64" s="72" t="str">
        <f t="shared" si="5"/>
        <v>Urbanísticos</v>
      </c>
      <c r="U64" s="72" t="str">
        <f t="shared" si="5"/>
        <v>De Planejamento</v>
      </c>
      <c r="V64" s="72" t="str">
        <f t="shared" si="5"/>
        <v>Frações</v>
      </c>
      <c r="W64" s="72" t="s">
        <v>2136</v>
      </c>
      <c r="X64" s="73" t="str">
        <f t="shared" si="3"/>
        <v>Key-INFRA-64</v>
      </c>
      <c r="Y64" s="72" t="s">
        <v>2028</v>
      </c>
      <c r="Z64" s="99" t="s">
        <v>1</v>
      </c>
      <c r="AA64" s="72" t="s">
        <v>2067</v>
      </c>
      <c r="AB64" s="99" t="s">
        <v>1</v>
      </c>
      <c r="AC64" s="74" t="s">
        <v>1</v>
      </c>
    </row>
    <row r="65" spans="1:29" customFormat="1" ht="6.6" customHeight="1" x14ac:dyDescent="0.25">
      <c r="A65" s="64">
        <v>65</v>
      </c>
      <c r="B65" s="69" t="s">
        <v>2140</v>
      </c>
      <c r="C65" s="29" t="s">
        <v>1566</v>
      </c>
      <c r="D65" s="29" t="s">
        <v>2166</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2269</v>
      </c>
      <c r="S65" s="72" t="s">
        <v>1</v>
      </c>
      <c r="T65" s="72" t="str">
        <f t="shared" si="5"/>
        <v>Urbanísticos</v>
      </c>
      <c r="U65" s="72" t="str">
        <f t="shared" si="5"/>
        <v>De Planejamento</v>
      </c>
      <c r="V65" s="72" t="str">
        <f t="shared" si="5"/>
        <v>Frações</v>
      </c>
      <c r="W65" s="72" t="s">
        <v>2136</v>
      </c>
      <c r="X65" s="73" t="str">
        <f t="shared" si="3"/>
        <v>Key-INFRA-65</v>
      </c>
      <c r="Y65" s="72" t="s">
        <v>2189</v>
      </c>
      <c r="Z65" s="99" t="s">
        <v>1</v>
      </c>
      <c r="AA65" s="72" t="s">
        <v>2067</v>
      </c>
      <c r="AB65" s="99" t="s">
        <v>1</v>
      </c>
      <c r="AC65" s="74" t="s">
        <v>1</v>
      </c>
    </row>
    <row r="66" spans="1:29" customFormat="1" ht="6.6" customHeight="1" x14ac:dyDescent="0.25">
      <c r="A66" s="64">
        <v>66</v>
      </c>
      <c r="B66" s="69" t="s">
        <v>2140</v>
      </c>
      <c r="C66" s="29" t="s">
        <v>1566</v>
      </c>
      <c r="D66" s="29" t="s">
        <v>2166</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2270</v>
      </c>
      <c r="S66" s="72" t="s">
        <v>1</v>
      </c>
      <c r="T66" s="72" t="str">
        <f t="shared" si="5"/>
        <v>Urbanísticos</v>
      </c>
      <c r="U66" s="72" t="str">
        <f t="shared" si="5"/>
        <v>De Planejamento</v>
      </c>
      <c r="V66" s="72" t="str">
        <f t="shared" si="5"/>
        <v>Frações</v>
      </c>
      <c r="W66" s="72" t="s">
        <v>2136</v>
      </c>
      <c r="X66" s="73" t="str">
        <f t="shared" si="3"/>
        <v>Key-INFRA-66</v>
      </c>
      <c r="Y66" s="72" t="s">
        <v>2189</v>
      </c>
      <c r="Z66" s="99" t="s">
        <v>1</v>
      </c>
      <c r="AA66" s="72" t="s">
        <v>2067</v>
      </c>
      <c r="AB66" s="99" t="s">
        <v>1</v>
      </c>
      <c r="AC66" s="74" t="s">
        <v>1</v>
      </c>
    </row>
    <row r="67" spans="1:29" customFormat="1" ht="6.6" customHeight="1" x14ac:dyDescent="0.25">
      <c r="A67" s="64">
        <v>67</v>
      </c>
      <c r="B67" s="69" t="s">
        <v>2140</v>
      </c>
      <c r="C67" s="29" t="s">
        <v>1566</v>
      </c>
      <c r="D67" s="29" t="s">
        <v>2166</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2271</v>
      </c>
      <c r="S67" s="72" t="s">
        <v>1</v>
      </c>
      <c r="T67" s="72" t="str">
        <f t="shared" si="5"/>
        <v>Urbanísticos</v>
      </c>
      <c r="U67" s="72" t="str">
        <f t="shared" si="5"/>
        <v>De Planejamento</v>
      </c>
      <c r="V67" s="72" t="str">
        <f t="shared" si="5"/>
        <v>Frações</v>
      </c>
      <c r="W67" s="72" t="s">
        <v>2136</v>
      </c>
      <c r="X67" s="73" t="str">
        <f t="shared" ref="X67:X130" si="15">CONCATENATE("Key-INFRA-",A67)</f>
        <v>Key-INFRA-67</v>
      </c>
      <c r="Y67" s="72" t="s">
        <v>2189</v>
      </c>
      <c r="Z67" s="99" t="s">
        <v>1</v>
      </c>
      <c r="AA67" s="72" t="s">
        <v>2018</v>
      </c>
      <c r="AB67" s="99" t="s">
        <v>1</v>
      </c>
      <c r="AC67" s="74" t="s">
        <v>1</v>
      </c>
    </row>
    <row r="68" spans="1:29" customFormat="1" ht="6.6" customHeight="1" x14ac:dyDescent="0.25">
      <c r="A68" s="64">
        <v>68</v>
      </c>
      <c r="B68" s="69" t="s">
        <v>2140</v>
      </c>
      <c r="C68" s="29" t="s">
        <v>2167</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2272</v>
      </c>
      <c r="S68" s="72" t="s">
        <v>1</v>
      </c>
      <c r="T68" s="72" t="str">
        <f t="shared" si="5"/>
        <v>Arquitetônicos</v>
      </c>
      <c r="U68" s="72" t="str">
        <f t="shared" si="5"/>
        <v>Prediais</v>
      </c>
      <c r="V68" s="72" t="str">
        <f t="shared" si="5"/>
        <v>Construídas</v>
      </c>
      <c r="W68" s="72" t="s">
        <v>2136</v>
      </c>
      <c r="X68" s="73" t="str">
        <f t="shared" si="15"/>
        <v>Key-INFRA-68</v>
      </c>
      <c r="Y68" s="72" t="s">
        <v>2019</v>
      </c>
      <c r="Z68" s="99" t="s">
        <v>1</v>
      </c>
      <c r="AA68" s="72" t="s">
        <v>2018</v>
      </c>
      <c r="AB68" s="99" t="s">
        <v>1</v>
      </c>
      <c r="AC68" s="74" t="s">
        <v>1</v>
      </c>
    </row>
    <row r="69" spans="1:29" customFormat="1" ht="6.6" customHeight="1" x14ac:dyDescent="0.25">
      <c r="A69" s="64">
        <v>69</v>
      </c>
      <c r="B69" s="69" t="s">
        <v>2140</v>
      </c>
      <c r="C69" s="29" t="s">
        <v>2167</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2273</v>
      </c>
      <c r="S69" s="72" t="s">
        <v>1</v>
      </c>
      <c r="T69" s="72" t="str">
        <f t="shared" si="5"/>
        <v>Arquitetônicos</v>
      </c>
      <c r="U69" s="72" t="str">
        <f t="shared" si="5"/>
        <v>Prediais</v>
      </c>
      <c r="V69" s="72" t="str">
        <f t="shared" si="5"/>
        <v>Construídas</v>
      </c>
      <c r="W69" s="72" t="s">
        <v>2136</v>
      </c>
      <c r="X69" s="73" t="str">
        <f t="shared" si="15"/>
        <v>Key-INFRA-69</v>
      </c>
      <c r="Y69" s="72" t="s">
        <v>2019</v>
      </c>
      <c r="Z69" s="99" t="s">
        <v>1</v>
      </c>
      <c r="AA69" s="72" t="s">
        <v>2018</v>
      </c>
      <c r="AB69" s="99" t="s">
        <v>1</v>
      </c>
      <c r="AC69" s="74" t="s">
        <v>1</v>
      </c>
    </row>
    <row r="70" spans="1:29" customFormat="1" ht="6.6" customHeight="1" x14ac:dyDescent="0.25">
      <c r="A70" s="64">
        <v>70</v>
      </c>
      <c r="B70" s="69" t="s">
        <v>2140</v>
      </c>
      <c r="C70" s="29" t="s">
        <v>2167</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2272</v>
      </c>
      <c r="S70" s="72" t="s">
        <v>1</v>
      </c>
      <c r="T70" s="72" t="str">
        <f t="shared" si="5"/>
        <v>Arquitetônicos</v>
      </c>
      <c r="U70" s="72" t="str">
        <f t="shared" si="5"/>
        <v>Prediais</v>
      </c>
      <c r="V70" s="72" t="str">
        <f t="shared" si="5"/>
        <v>Construídas</v>
      </c>
      <c r="W70" s="72" t="s">
        <v>2136</v>
      </c>
      <c r="X70" s="73" t="str">
        <f t="shared" si="15"/>
        <v>Key-INFRA-70</v>
      </c>
      <c r="Y70" s="72" t="s">
        <v>2019</v>
      </c>
      <c r="Z70" s="99" t="s">
        <v>1</v>
      </c>
      <c r="AA70" s="72" t="s">
        <v>2018</v>
      </c>
      <c r="AB70" s="99" t="s">
        <v>1</v>
      </c>
      <c r="AC70" s="74" t="s">
        <v>1</v>
      </c>
    </row>
    <row r="71" spans="1:29" customFormat="1" ht="6.6" customHeight="1" x14ac:dyDescent="0.25">
      <c r="A71" s="64">
        <v>71</v>
      </c>
      <c r="B71" s="69" t="s">
        <v>2140</v>
      </c>
      <c r="C71" s="29" t="s">
        <v>2167</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2274</v>
      </c>
      <c r="S71" s="72" t="s">
        <v>1</v>
      </c>
      <c r="T71" s="72" t="str">
        <f t="shared" si="5"/>
        <v>Arquitetônicos</v>
      </c>
      <c r="U71" s="72" t="str">
        <f t="shared" si="5"/>
        <v>Prediais</v>
      </c>
      <c r="V71" s="72" t="str">
        <f t="shared" si="5"/>
        <v>Construídas</v>
      </c>
      <c r="W71" s="72" t="s">
        <v>2136</v>
      </c>
      <c r="X71" s="73" t="str">
        <f t="shared" si="15"/>
        <v>Key-INFRA-71</v>
      </c>
      <c r="Y71" s="72" t="s">
        <v>2019</v>
      </c>
      <c r="Z71" s="99" t="s">
        <v>1</v>
      </c>
      <c r="AA71" s="72" t="s">
        <v>2018</v>
      </c>
      <c r="AB71" s="99" t="s">
        <v>1</v>
      </c>
      <c r="AC71" s="74" t="s">
        <v>1</v>
      </c>
    </row>
    <row r="72" spans="1:29" customFormat="1" ht="6.6" customHeight="1" x14ac:dyDescent="0.25">
      <c r="A72" s="64">
        <v>72</v>
      </c>
      <c r="B72" s="69" t="s">
        <v>2140</v>
      </c>
      <c r="C72" s="29" t="s">
        <v>2167</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2275</v>
      </c>
      <c r="S72" s="72" t="s">
        <v>1</v>
      </c>
      <c r="T72" s="72" t="str">
        <f t="shared" si="5"/>
        <v>Arquitetônicos</v>
      </c>
      <c r="U72" s="72" t="str">
        <f t="shared" si="5"/>
        <v>Prediais</v>
      </c>
      <c r="V72" s="72" t="str">
        <f t="shared" si="5"/>
        <v>Construídas</v>
      </c>
      <c r="W72" s="72" t="s">
        <v>2136</v>
      </c>
      <c r="X72" s="73" t="str">
        <f t="shared" si="15"/>
        <v>Key-INFRA-72</v>
      </c>
      <c r="Y72" s="72" t="s">
        <v>2019</v>
      </c>
      <c r="Z72" s="99" t="s">
        <v>1</v>
      </c>
      <c r="AA72" s="72" t="s">
        <v>2018</v>
      </c>
      <c r="AB72" s="99" t="s">
        <v>1</v>
      </c>
      <c r="AC72" s="74" t="s">
        <v>1</v>
      </c>
    </row>
    <row r="73" spans="1:29" customFormat="1" ht="6.6" customHeight="1" x14ac:dyDescent="0.25">
      <c r="A73" s="64">
        <v>73</v>
      </c>
      <c r="B73" s="69" t="s">
        <v>2140</v>
      </c>
      <c r="C73" s="29" t="s">
        <v>2167</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2276</v>
      </c>
      <c r="S73" s="72" t="s">
        <v>1</v>
      </c>
      <c r="T73" s="72" t="str">
        <f t="shared" si="5"/>
        <v>Arquitetônicos</v>
      </c>
      <c r="U73" s="72" t="str">
        <f t="shared" si="5"/>
        <v>Prediais</v>
      </c>
      <c r="V73" s="72" t="str">
        <f t="shared" si="5"/>
        <v>Construídas</v>
      </c>
      <c r="W73" s="72" t="s">
        <v>2136</v>
      </c>
      <c r="X73" s="73" t="str">
        <f t="shared" si="15"/>
        <v>Key-INFRA-73</v>
      </c>
      <c r="Y73" s="72" t="s">
        <v>2019</v>
      </c>
      <c r="Z73" s="99" t="s">
        <v>1</v>
      </c>
      <c r="AA73" s="72" t="s">
        <v>2018</v>
      </c>
      <c r="AB73" s="99" t="s">
        <v>1</v>
      </c>
      <c r="AC73" s="74" t="s">
        <v>1</v>
      </c>
    </row>
    <row r="74" spans="1:29" customFormat="1" ht="6.6" customHeight="1" x14ac:dyDescent="0.25">
      <c r="A74" s="64">
        <v>74</v>
      </c>
      <c r="B74" s="69" t="s">
        <v>2140</v>
      </c>
      <c r="C74" s="29" t="s">
        <v>2167</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2277</v>
      </c>
      <c r="S74" s="72" t="s">
        <v>1</v>
      </c>
      <c r="T74" s="72" t="str">
        <f t="shared" si="5"/>
        <v>Arquitetônicos</v>
      </c>
      <c r="U74" s="72" t="str">
        <f t="shared" si="5"/>
        <v>Prediais</v>
      </c>
      <c r="V74" s="72" t="str">
        <f t="shared" si="5"/>
        <v>Construídas</v>
      </c>
      <c r="W74" s="72" t="s">
        <v>2136</v>
      </c>
      <c r="X74" s="73" t="str">
        <f t="shared" si="15"/>
        <v>Key-INFRA-74</v>
      </c>
      <c r="Y74" s="72" t="s">
        <v>2019</v>
      </c>
      <c r="Z74" s="99" t="s">
        <v>1</v>
      </c>
      <c r="AA74" s="72" t="s">
        <v>2067</v>
      </c>
      <c r="AB74" s="99" t="s">
        <v>1</v>
      </c>
      <c r="AC74" s="74" t="s">
        <v>1</v>
      </c>
    </row>
    <row r="75" spans="1:29" customFormat="1" ht="6.6" customHeight="1" x14ac:dyDescent="0.25">
      <c r="A75" s="64">
        <v>75</v>
      </c>
      <c r="B75" s="69" t="s">
        <v>2140</v>
      </c>
      <c r="C75" s="29" t="s">
        <v>2167</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2278</v>
      </c>
      <c r="S75" s="72" t="s">
        <v>1</v>
      </c>
      <c r="T75" s="72" t="str">
        <f t="shared" si="5"/>
        <v>Arquitetônicos</v>
      </c>
      <c r="U75" s="72" t="str">
        <f t="shared" si="5"/>
        <v>Funcionais</v>
      </c>
      <c r="V75" s="72" t="str">
        <f t="shared" si="5"/>
        <v>Organizativas</v>
      </c>
      <c r="W75" s="72" t="s">
        <v>2136</v>
      </c>
      <c r="X75" s="73" t="str">
        <f t="shared" si="15"/>
        <v>Key-INFRA-75</v>
      </c>
      <c r="Y75" s="72" t="s">
        <v>2019</v>
      </c>
      <c r="Z75" s="99" t="s">
        <v>1</v>
      </c>
      <c r="AA75" s="72" t="s">
        <v>2067</v>
      </c>
      <c r="AB75" s="99" t="s">
        <v>1</v>
      </c>
      <c r="AC75" s="74" t="s">
        <v>1</v>
      </c>
    </row>
    <row r="76" spans="1:29" customFormat="1" ht="6.6" customHeight="1" x14ac:dyDescent="0.25">
      <c r="A76" s="64">
        <v>76</v>
      </c>
      <c r="B76" s="69" t="s">
        <v>2140</v>
      </c>
      <c r="C76" s="29" t="s">
        <v>2167</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2279</v>
      </c>
      <c r="S76" s="72" t="s">
        <v>1</v>
      </c>
      <c r="T76" s="72" t="str">
        <f t="shared" si="5"/>
        <v>Arquitetônicos</v>
      </c>
      <c r="U76" s="72" t="str">
        <f t="shared" si="5"/>
        <v>Funcionais</v>
      </c>
      <c r="V76" s="72" t="str">
        <f t="shared" si="5"/>
        <v>Organizativas</v>
      </c>
      <c r="W76" s="72" t="s">
        <v>2136</v>
      </c>
      <c r="X76" s="73" t="str">
        <f t="shared" si="15"/>
        <v>Key-INFRA-76</v>
      </c>
      <c r="Y76" s="72" t="s">
        <v>2190</v>
      </c>
      <c r="Z76" s="99" t="s">
        <v>1</v>
      </c>
      <c r="AA76" s="72" t="s">
        <v>2067</v>
      </c>
      <c r="AB76" s="99" t="s">
        <v>1</v>
      </c>
      <c r="AC76" s="74" t="s">
        <v>1</v>
      </c>
    </row>
    <row r="77" spans="1:29" customFormat="1" ht="6.6" customHeight="1" x14ac:dyDescent="0.25">
      <c r="A77" s="64">
        <v>77</v>
      </c>
      <c r="B77" s="69" t="s">
        <v>2140</v>
      </c>
      <c r="C77" s="29" t="s">
        <v>2167</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2280</v>
      </c>
      <c r="S77" s="72" t="s">
        <v>1</v>
      </c>
      <c r="T77" s="72" t="str">
        <f t="shared" si="5"/>
        <v>Arquitetônicos</v>
      </c>
      <c r="U77" s="72" t="str">
        <f t="shared" si="5"/>
        <v>Funcionais</v>
      </c>
      <c r="V77" s="72" t="str">
        <f t="shared" si="5"/>
        <v>Organizativas</v>
      </c>
      <c r="W77" s="72" t="s">
        <v>2136</v>
      </c>
      <c r="X77" s="73" t="str">
        <f t="shared" si="15"/>
        <v>Key-INFRA-77</v>
      </c>
      <c r="Y77" s="72" t="s">
        <v>2190</v>
      </c>
      <c r="Z77" s="99" t="s">
        <v>1</v>
      </c>
      <c r="AA77" s="72" t="s">
        <v>2067</v>
      </c>
      <c r="AB77" s="99" t="s">
        <v>1</v>
      </c>
      <c r="AC77" s="74" t="s">
        <v>1</v>
      </c>
    </row>
    <row r="78" spans="1:29" customFormat="1" ht="6.6" customHeight="1" x14ac:dyDescent="0.25">
      <c r="A78" s="64">
        <v>78</v>
      </c>
      <c r="B78" s="69" t="s">
        <v>2140</v>
      </c>
      <c r="C78" s="29" t="s">
        <v>2167</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2281</v>
      </c>
      <c r="S78" s="72" t="s">
        <v>1</v>
      </c>
      <c r="T78" s="72" t="str">
        <f t="shared" si="5"/>
        <v>Arquitetônicos</v>
      </c>
      <c r="U78" s="72" t="str">
        <f t="shared" si="5"/>
        <v>Funcionais</v>
      </c>
      <c r="V78" s="72" t="str">
        <f t="shared" si="5"/>
        <v>Organizativas</v>
      </c>
      <c r="W78" s="72" t="s">
        <v>2136</v>
      </c>
      <c r="X78" s="73" t="str">
        <f t="shared" si="15"/>
        <v>Key-INFRA-78</v>
      </c>
      <c r="Y78" s="72" t="s">
        <v>2190</v>
      </c>
      <c r="Z78" s="99" t="s">
        <v>1</v>
      </c>
      <c r="AA78" s="72" t="s">
        <v>2068</v>
      </c>
      <c r="AB78" s="99" t="s">
        <v>1</v>
      </c>
      <c r="AC78" s="74" t="s">
        <v>1</v>
      </c>
    </row>
    <row r="79" spans="1:29" customFormat="1" ht="6.6" customHeight="1" x14ac:dyDescent="0.25">
      <c r="A79" s="64">
        <v>79</v>
      </c>
      <c r="B79" s="69" t="s">
        <v>2140</v>
      </c>
      <c r="C79" s="29" t="s">
        <v>2167</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2282</v>
      </c>
      <c r="S79" s="72" t="s">
        <v>1</v>
      </c>
      <c r="T79" s="72" t="str">
        <f t="shared" si="5"/>
        <v>Arquitetônicos</v>
      </c>
      <c r="U79" s="72" t="str">
        <f t="shared" si="5"/>
        <v>Funcionais</v>
      </c>
      <c r="V79" s="72" t="str">
        <f t="shared" si="5"/>
        <v>Distribuição</v>
      </c>
      <c r="W79" s="72" t="s">
        <v>2136</v>
      </c>
      <c r="X79" s="73" t="str">
        <f t="shared" si="15"/>
        <v>Key-INFRA-79</v>
      </c>
      <c r="Y79" s="72" t="s">
        <v>2029</v>
      </c>
      <c r="Z79" s="99" t="s">
        <v>1</v>
      </c>
      <c r="AA79" s="72" t="s">
        <v>2067</v>
      </c>
      <c r="AB79" s="99" t="s">
        <v>1</v>
      </c>
      <c r="AC79" s="74" t="s">
        <v>1</v>
      </c>
    </row>
    <row r="80" spans="1:29" customFormat="1" ht="6.6" customHeight="1" x14ac:dyDescent="0.25">
      <c r="A80" s="64">
        <v>80</v>
      </c>
      <c r="B80" s="69" t="s">
        <v>2140</v>
      </c>
      <c r="C80" s="29" t="s">
        <v>2167</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2283</v>
      </c>
      <c r="S80" s="72" t="s">
        <v>1</v>
      </c>
      <c r="T80" s="72" t="str">
        <f t="shared" si="5"/>
        <v>Arquitetônicos</v>
      </c>
      <c r="U80" s="72" t="str">
        <f t="shared" si="5"/>
        <v>Funcionais</v>
      </c>
      <c r="V80" s="72" t="str">
        <f t="shared" si="5"/>
        <v>Distribuição</v>
      </c>
      <c r="W80" s="72" t="s">
        <v>2136</v>
      </c>
      <c r="X80" s="73" t="str">
        <f t="shared" si="15"/>
        <v>Key-INFRA-80</v>
      </c>
      <c r="Y80" s="72" t="s">
        <v>2190</v>
      </c>
      <c r="Z80" s="99" t="s">
        <v>1</v>
      </c>
      <c r="AA80" s="72" t="s">
        <v>2067</v>
      </c>
      <c r="AB80" s="99" t="s">
        <v>1</v>
      </c>
      <c r="AC80" s="74" t="s">
        <v>1</v>
      </c>
    </row>
    <row r="81" spans="1:29" customFormat="1" ht="6.6" customHeight="1" x14ac:dyDescent="0.25">
      <c r="A81" s="64">
        <v>81</v>
      </c>
      <c r="B81" s="69" t="s">
        <v>2140</v>
      </c>
      <c r="C81" s="29" t="s">
        <v>2167</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2284</v>
      </c>
      <c r="S81" s="72" t="s">
        <v>1</v>
      </c>
      <c r="T81" s="72" t="str">
        <f t="shared" si="5"/>
        <v>Arquitetônicos</v>
      </c>
      <c r="U81" s="72" t="str">
        <f t="shared" si="5"/>
        <v>Funcionais</v>
      </c>
      <c r="V81" s="72" t="str">
        <f t="shared" si="5"/>
        <v>Distribuição</v>
      </c>
      <c r="W81" s="72" t="s">
        <v>2136</v>
      </c>
      <c r="X81" s="73" t="str">
        <f t="shared" si="15"/>
        <v>Key-INFRA-81</v>
      </c>
      <c r="Y81" s="72" t="s">
        <v>2190</v>
      </c>
      <c r="Z81" s="99" t="s">
        <v>1</v>
      </c>
      <c r="AA81" s="72" t="s">
        <v>2069</v>
      </c>
      <c r="AB81" s="99" t="s">
        <v>1</v>
      </c>
      <c r="AC81" s="74" t="s">
        <v>1</v>
      </c>
    </row>
    <row r="82" spans="1:29" customFormat="1" ht="6.6" customHeight="1" x14ac:dyDescent="0.25">
      <c r="A82" s="64">
        <v>82</v>
      </c>
      <c r="B82" s="69" t="s">
        <v>2140</v>
      </c>
      <c r="C82" s="29" t="s">
        <v>2168</v>
      </c>
      <c r="D82" s="29" t="s">
        <v>2169</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2285</v>
      </c>
      <c r="S82" s="72" t="s">
        <v>1</v>
      </c>
      <c r="T82" s="72" t="str">
        <f t="shared" si="5"/>
        <v>Institucionais</v>
      </c>
      <c r="U82" s="72" t="str">
        <f t="shared" si="5"/>
        <v>Serviços Públicos</v>
      </c>
      <c r="V82" s="72" t="str">
        <f t="shared" si="5"/>
        <v>Saúde</v>
      </c>
      <c r="W82" s="72" t="s">
        <v>2136</v>
      </c>
      <c r="X82" s="73" t="str">
        <f t="shared" si="15"/>
        <v>Key-INFRA-82</v>
      </c>
      <c r="Y82" s="72" t="s">
        <v>2030</v>
      </c>
      <c r="Z82" s="99" t="s">
        <v>1</v>
      </c>
      <c r="AA82" s="72" t="s">
        <v>2069</v>
      </c>
      <c r="AB82" s="99" t="s">
        <v>1</v>
      </c>
      <c r="AC82" s="74" t="s">
        <v>1</v>
      </c>
    </row>
    <row r="83" spans="1:29" customFormat="1" ht="6.6" customHeight="1" x14ac:dyDescent="0.25">
      <c r="A83" s="64">
        <v>83</v>
      </c>
      <c r="B83" s="69" t="s">
        <v>2140</v>
      </c>
      <c r="C83" s="29" t="s">
        <v>2168</v>
      </c>
      <c r="D83" s="29" t="s">
        <v>2169</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2286</v>
      </c>
      <c r="S83" s="72" t="s">
        <v>1</v>
      </c>
      <c r="T83" s="72" t="str">
        <f t="shared" si="5"/>
        <v>Institucionais</v>
      </c>
      <c r="U83" s="72" t="str">
        <f t="shared" si="5"/>
        <v>Serviços Públicos</v>
      </c>
      <c r="V83" s="72" t="str">
        <f t="shared" si="5"/>
        <v>Saúde</v>
      </c>
      <c r="W83" s="72" t="s">
        <v>2136</v>
      </c>
      <c r="X83" s="73" t="str">
        <f t="shared" si="15"/>
        <v>Key-INFRA-83</v>
      </c>
      <c r="Y83" s="72" t="s">
        <v>2030</v>
      </c>
      <c r="Z83" s="99" t="s">
        <v>1</v>
      </c>
      <c r="AA83" s="72" t="s">
        <v>2069</v>
      </c>
      <c r="AB83" s="99" t="s">
        <v>1</v>
      </c>
      <c r="AC83" s="74" t="s">
        <v>1</v>
      </c>
    </row>
    <row r="84" spans="1:29" customFormat="1" ht="6.6" customHeight="1" x14ac:dyDescent="0.25">
      <c r="A84" s="64">
        <v>84</v>
      </c>
      <c r="B84" s="69" t="s">
        <v>2140</v>
      </c>
      <c r="C84" s="29" t="s">
        <v>2168</v>
      </c>
      <c r="D84" s="29" t="s">
        <v>2169</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2287</v>
      </c>
      <c r="S84" s="72" t="s">
        <v>1</v>
      </c>
      <c r="T84" s="72" t="str">
        <f t="shared" si="5"/>
        <v>Institucionais</v>
      </c>
      <c r="U84" s="72" t="str">
        <f t="shared" si="5"/>
        <v>Serviços Públicos</v>
      </c>
      <c r="V84" s="72" t="str">
        <f t="shared" si="5"/>
        <v>Saúde</v>
      </c>
      <c r="W84" s="72" t="s">
        <v>2136</v>
      </c>
      <c r="X84" s="73" t="str">
        <f t="shared" si="15"/>
        <v>Key-INFRA-84</v>
      </c>
      <c r="Y84" s="72" t="s">
        <v>2030</v>
      </c>
      <c r="Z84" s="99" t="s">
        <v>1</v>
      </c>
      <c r="AA84" s="72" t="s">
        <v>2069</v>
      </c>
      <c r="AB84" s="99" t="s">
        <v>1</v>
      </c>
      <c r="AC84" s="74" t="s">
        <v>1</v>
      </c>
    </row>
    <row r="85" spans="1:29" customFormat="1" ht="6.6" customHeight="1" x14ac:dyDescent="0.25">
      <c r="A85" s="64">
        <v>85</v>
      </c>
      <c r="B85" s="69" t="s">
        <v>2140</v>
      </c>
      <c r="C85" s="29" t="s">
        <v>2168</v>
      </c>
      <c r="D85" s="29" t="s">
        <v>2169</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2288</v>
      </c>
      <c r="S85" s="72" t="s">
        <v>1</v>
      </c>
      <c r="T85" s="72" t="str">
        <f t="shared" si="5"/>
        <v>Institucionais</v>
      </c>
      <c r="U85" s="72" t="str">
        <f t="shared" si="5"/>
        <v>Serviços Públicos</v>
      </c>
      <c r="V85" s="72" t="str">
        <f t="shared" si="5"/>
        <v>Saúde</v>
      </c>
      <c r="W85" s="72" t="s">
        <v>2136</v>
      </c>
      <c r="X85" s="73" t="str">
        <f t="shared" si="15"/>
        <v>Key-INFRA-85</v>
      </c>
      <c r="Y85" s="72" t="s">
        <v>2030</v>
      </c>
      <c r="Z85" s="99" t="s">
        <v>1</v>
      </c>
      <c r="AA85" s="72" t="s">
        <v>2069</v>
      </c>
      <c r="AB85" s="99" t="s">
        <v>1</v>
      </c>
      <c r="AC85" s="74" t="s">
        <v>1</v>
      </c>
    </row>
    <row r="86" spans="1:29" customFormat="1" ht="6.6" customHeight="1" x14ac:dyDescent="0.25">
      <c r="A86" s="64">
        <v>86</v>
      </c>
      <c r="B86" s="69" t="s">
        <v>2140</v>
      </c>
      <c r="C86" s="29" t="s">
        <v>2168</v>
      </c>
      <c r="D86" s="29" t="s">
        <v>2169</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2289</v>
      </c>
      <c r="S86" s="72" t="s">
        <v>1</v>
      </c>
      <c r="T86" s="72" t="str">
        <f t="shared" si="5"/>
        <v>Institucionais</v>
      </c>
      <c r="U86" s="72" t="str">
        <f t="shared" si="5"/>
        <v>Serviços Públicos</v>
      </c>
      <c r="V86" s="72" t="str">
        <f t="shared" si="5"/>
        <v>Saúde</v>
      </c>
      <c r="W86" s="72" t="s">
        <v>2136</v>
      </c>
      <c r="X86" s="73" t="str">
        <f t="shared" si="15"/>
        <v>Key-INFRA-86</v>
      </c>
      <c r="Y86" s="72" t="s">
        <v>2030</v>
      </c>
      <c r="Z86" s="99" t="s">
        <v>1</v>
      </c>
      <c r="AA86" s="72" t="s">
        <v>2069</v>
      </c>
      <c r="AB86" s="99" t="s">
        <v>1</v>
      </c>
      <c r="AC86" s="74" t="s">
        <v>1</v>
      </c>
    </row>
    <row r="87" spans="1:29" customFormat="1" ht="6.6" customHeight="1" x14ac:dyDescent="0.25">
      <c r="A87" s="64">
        <v>87</v>
      </c>
      <c r="B87" s="69" t="s">
        <v>2140</v>
      </c>
      <c r="C87" s="29" t="s">
        <v>2168</v>
      </c>
      <c r="D87" s="29" t="s">
        <v>2169</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2290</v>
      </c>
      <c r="S87" s="72" t="s">
        <v>1</v>
      </c>
      <c r="T87" s="72" t="str">
        <f t="shared" si="5"/>
        <v>Institucionais</v>
      </c>
      <c r="U87" s="72" t="str">
        <f t="shared" si="5"/>
        <v>Serviços Públicos</v>
      </c>
      <c r="V87" s="72" t="str">
        <f t="shared" si="5"/>
        <v>Educacionais</v>
      </c>
      <c r="W87" s="72" t="s">
        <v>2136</v>
      </c>
      <c r="X87" s="73" t="str">
        <f t="shared" si="15"/>
        <v>Key-INFRA-87</v>
      </c>
      <c r="Y87" s="72" t="s">
        <v>2030</v>
      </c>
      <c r="Z87" s="99" t="s">
        <v>1</v>
      </c>
      <c r="AA87" s="72" t="s">
        <v>2069</v>
      </c>
      <c r="AB87" s="99" t="s">
        <v>1</v>
      </c>
      <c r="AC87" s="74" t="s">
        <v>1</v>
      </c>
    </row>
    <row r="88" spans="1:29" customFormat="1" ht="6.6" customHeight="1" x14ac:dyDescent="0.25">
      <c r="A88" s="64">
        <v>88</v>
      </c>
      <c r="B88" s="69" t="s">
        <v>2140</v>
      </c>
      <c r="C88" s="29" t="s">
        <v>2168</v>
      </c>
      <c r="D88" s="29" t="s">
        <v>2169</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2291</v>
      </c>
      <c r="S88" s="72" t="s">
        <v>1</v>
      </c>
      <c r="T88" s="72" t="str">
        <f t="shared" si="5"/>
        <v>Institucionais</v>
      </c>
      <c r="U88" s="72" t="str">
        <f t="shared" si="5"/>
        <v>Serviços Públicos</v>
      </c>
      <c r="V88" s="72" t="str">
        <f t="shared" si="5"/>
        <v>Educacionais</v>
      </c>
      <c r="W88" s="72" t="s">
        <v>2136</v>
      </c>
      <c r="X88" s="73" t="str">
        <f t="shared" si="15"/>
        <v>Key-INFRA-88</v>
      </c>
      <c r="Y88" s="72" t="s">
        <v>2030</v>
      </c>
      <c r="Z88" s="99" t="s">
        <v>1</v>
      </c>
      <c r="AA88" s="72" t="s">
        <v>2069</v>
      </c>
      <c r="AB88" s="99" t="s">
        <v>1</v>
      </c>
      <c r="AC88" s="74" t="s">
        <v>1</v>
      </c>
    </row>
    <row r="89" spans="1:29" customFormat="1" ht="6.6" customHeight="1" x14ac:dyDescent="0.25">
      <c r="A89" s="64">
        <v>89</v>
      </c>
      <c r="B89" s="69" t="s">
        <v>2140</v>
      </c>
      <c r="C89" s="29" t="s">
        <v>2168</v>
      </c>
      <c r="D89" s="29" t="s">
        <v>2169</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2292</v>
      </c>
      <c r="S89" s="72" t="s">
        <v>1</v>
      </c>
      <c r="T89" s="72" t="str">
        <f t="shared" si="5"/>
        <v>Institucionais</v>
      </c>
      <c r="U89" s="72" t="str">
        <f t="shared" si="5"/>
        <v>Serviços Públicos</v>
      </c>
      <c r="V89" s="72" t="str">
        <f t="shared" si="5"/>
        <v>Educacionais</v>
      </c>
      <c r="W89" s="72" t="s">
        <v>2136</v>
      </c>
      <c r="X89" s="73" t="str">
        <f t="shared" si="15"/>
        <v>Key-INFRA-89</v>
      </c>
      <c r="Y89" s="72" t="s">
        <v>2030</v>
      </c>
      <c r="Z89" s="99" t="s">
        <v>1</v>
      </c>
      <c r="AA89" s="72" t="s">
        <v>2069</v>
      </c>
      <c r="AB89" s="99" t="s">
        <v>1</v>
      </c>
      <c r="AC89" s="74" t="s">
        <v>1</v>
      </c>
    </row>
    <row r="90" spans="1:29" customFormat="1" ht="6.6" customHeight="1" x14ac:dyDescent="0.25">
      <c r="A90" s="64">
        <v>90</v>
      </c>
      <c r="B90" s="69" t="s">
        <v>2140</v>
      </c>
      <c r="C90" s="29" t="s">
        <v>2168</v>
      </c>
      <c r="D90" s="29" t="s">
        <v>2169</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2293</v>
      </c>
      <c r="S90" s="72" t="s">
        <v>1</v>
      </c>
      <c r="T90" s="72" t="str">
        <f t="shared" si="5"/>
        <v>Institucionais</v>
      </c>
      <c r="U90" s="72" t="str">
        <f t="shared" si="5"/>
        <v>Serviços Públicos</v>
      </c>
      <c r="V90" s="72" t="str">
        <f t="shared" si="5"/>
        <v>Educacionais</v>
      </c>
      <c r="W90" s="72" t="s">
        <v>2136</v>
      </c>
      <c r="X90" s="73" t="str">
        <f t="shared" si="15"/>
        <v>Key-INFRA-90</v>
      </c>
      <c r="Y90" s="72" t="s">
        <v>2030</v>
      </c>
      <c r="Z90" s="99" t="s">
        <v>1</v>
      </c>
      <c r="AA90" s="72" t="s">
        <v>2069</v>
      </c>
      <c r="AB90" s="99" t="s">
        <v>1</v>
      </c>
      <c r="AC90" s="74" t="s">
        <v>1</v>
      </c>
    </row>
    <row r="91" spans="1:29" customFormat="1" ht="6.6" customHeight="1" x14ac:dyDescent="0.25">
      <c r="A91" s="64">
        <v>91</v>
      </c>
      <c r="B91" s="69" t="s">
        <v>2140</v>
      </c>
      <c r="C91" s="29" t="s">
        <v>2168</v>
      </c>
      <c r="D91" s="29" t="s">
        <v>2169</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2294</v>
      </c>
      <c r="S91" s="72" t="s">
        <v>1</v>
      </c>
      <c r="T91" s="72" t="str">
        <f t="shared" si="5"/>
        <v>Institucionais</v>
      </c>
      <c r="U91" s="72" t="str">
        <f t="shared" si="5"/>
        <v>Serviços Públicos</v>
      </c>
      <c r="V91" s="72" t="str">
        <f t="shared" si="5"/>
        <v>Educacionais</v>
      </c>
      <c r="W91" s="72" t="s">
        <v>2136</v>
      </c>
      <c r="X91" s="73" t="str">
        <f t="shared" si="15"/>
        <v>Key-INFRA-91</v>
      </c>
      <c r="Y91" s="72" t="s">
        <v>2030</v>
      </c>
      <c r="Z91" s="99" t="s">
        <v>1</v>
      </c>
      <c r="AA91" s="72" t="s">
        <v>2069</v>
      </c>
      <c r="AB91" s="99" t="s">
        <v>1</v>
      </c>
      <c r="AC91" s="74" t="s">
        <v>1</v>
      </c>
    </row>
    <row r="92" spans="1:29" customFormat="1" ht="6.6" customHeight="1" x14ac:dyDescent="0.25">
      <c r="A92" s="64">
        <v>92</v>
      </c>
      <c r="B92" s="69" t="s">
        <v>2140</v>
      </c>
      <c r="C92" s="29" t="s">
        <v>2168</v>
      </c>
      <c r="D92" s="29" t="s">
        <v>2169</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2295</v>
      </c>
      <c r="S92" s="72" t="s">
        <v>1</v>
      </c>
      <c r="T92" s="72" t="str">
        <f t="shared" si="5"/>
        <v>Institucionais</v>
      </c>
      <c r="U92" s="72" t="str">
        <f t="shared" si="5"/>
        <v>Serviços Públicos</v>
      </c>
      <c r="V92" s="72" t="str">
        <f t="shared" si="5"/>
        <v>Educacionais</v>
      </c>
      <c r="W92" s="72" t="s">
        <v>2136</v>
      </c>
      <c r="X92" s="73" t="str">
        <f t="shared" si="15"/>
        <v>Key-INFRA-92</v>
      </c>
      <c r="Y92" s="72" t="s">
        <v>2030</v>
      </c>
      <c r="Z92" s="99" t="s">
        <v>1</v>
      </c>
      <c r="AA92" s="72" t="s">
        <v>2063</v>
      </c>
      <c r="AB92" s="99" t="s">
        <v>1</v>
      </c>
      <c r="AC92" s="74" t="s">
        <v>1</v>
      </c>
    </row>
    <row r="93" spans="1:29" customFormat="1" ht="6.6" customHeight="1" x14ac:dyDescent="0.25">
      <c r="A93" s="64">
        <v>93</v>
      </c>
      <c r="B93" s="69" t="s">
        <v>2140</v>
      </c>
      <c r="C93" s="29" t="s">
        <v>2168</v>
      </c>
      <c r="D93" s="29" t="s">
        <v>2169</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2296</v>
      </c>
      <c r="S93" s="72" t="s">
        <v>1</v>
      </c>
      <c r="T93" s="72" t="str">
        <f t="shared" si="5"/>
        <v>Institucionais</v>
      </c>
      <c r="U93" s="72" t="str">
        <f t="shared" si="5"/>
        <v>Serviços Públicos</v>
      </c>
      <c r="V93" s="72" t="str">
        <f t="shared" si="5"/>
        <v>INMET</v>
      </c>
      <c r="W93" s="72" t="s">
        <v>2136</v>
      </c>
      <c r="X93" s="73" t="str">
        <f t="shared" si="15"/>
        <v>Key-INFRA-93</v>
      </c>
      <c r="Y93" s="72" t="s">
        <v>2031</v>
      </c>
      <c r="Z93" s="99" t="s">
        <v>1</v>
      </c>
      <c r="AA93" s="72" t="s">
        <v>2063</v>
      </c>
      <c r="AB93" s="99" t="s">
        <v>1</v>
      </c>
      <c r="AC93" s="74" t="s">
        <v>1</v>
      </c>
    </row>
    <row r="94" spans="1:29" customFormat="1" ht="6.6" customHeight="1" x14ac:dyDescent="0.25">
      <c r="A94" s="64">
        <v>94</v>
      </c>
      <c r="B94" s="69" t="s">
        <v>2140</v>
      </c>
      <c r="C94" s="29" t="s">
        <v>2168</v>
      </c>
      <c r="D94" s="29" t="s">
        <v>2169</v>
      </c>
      <c r="E94" s="29" t="s">
        <v>718</v>
      </c>
      <c r="F94" s="29" t="s">
        <v>2170</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2171</v>
      </c>
      <c r="Q94" s="71" t="s">
        <v>2172</v>
      </c>
      <c r="R94" s="72" t="s">
        <v>2297</v>
      </c>
      <c r="S94" s="72" t="s">
        <v>1</v>
      </c>
      <c r="T94" s="72" t="str">
        <f t="shared" si="5"/>
        <v>Institucionais</v>
      </c>
      <c r="U94" s="72" t="str">
        <f t="shared" si="5"/>
        <v>Serviços Públicos</v>
      </c>
      <c r="V94" s="72" t="str">
        <f t="shared" si="5"/>
        <v>INMET</v>
      </c>
      <c r="W94" s="72" t="s">
        <v>2136</v>
      </c>
      <c r="X94" s="73" t="str">
        <f t="shared" si="15"/>
        <v>Key-INFRA-94</v>
      </c>
      <c r="Y94" s="72" t="s">
        <v>2031</v>
      </c>
      <c r="Z94" s="99" t="s">
        <v>1</v>
      </c>
      <c r="AA94" s="72" t="s">
        <v>2063</v>
      </c>
      <c r="AB94" s="99" t="s">
        <v>1</v>
      </c>
      <c r="AC94" s="74" t="s">
        <v>1</v>
      </c>
    </row>
    <row r="95" spans="1:29" customFormat="1" ht="6.6" customHeight="1" x14ac:dyDescent="0.25">
      <c r="A95" s="64">
        <v>95</v>
      </c>
      <c r="B95" s="69" t="s">
        <v>2140</v>
      </c>
      <c r="C95" s="29" t="s">
        <v>2168</v>
      </c>
      <c r="D95" s="29" t="s">
        <v>2169</v>
      </c>
      <c r="E95" s="29" t="s">
        <v>718</v>
      </c>
      <c r="F95" s="29" t="s">
        <v>2173</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2174</v>
      </c>
      <c r="Q95" s="71" t="s">
        <v>2175</v>
      </c>
      <c r="R95" s="72" t="s">
        <v>2298</v>
      </c>
      <c r="S95" s="72" t="s">
        <v>1</v>
      </c>
      <c r="T95" s="72" t="str">
        <f t="shared" si="5"/>
        <v>Institucionais</v>
      </c>
      <c r="U95" s="72" t="str">
        <f t="shared" si="5"/>
        <v>Serviços Públicos</v>
      </c>
      <c r="V95" s="72" t="str">
        <f t="shared" si="5"/>
        <v>INMET</v>
      </c>
      <c r="W95" s="72" t="s">
        <v>2136</v>
      </c>
      <c r="X95" s="73" t="str">
        <f t="shared" si="15"/>
        <v>Key-INFRA-95</v>
      </c>
      <c r="Y95" s="72" t="s">
        <v>2031</v>
      </c>
      <c r="Z95" s="99" t="s">
        <v>1</v>
      </c>
      <c r="AA95" s="72" t="s">
        <v>2063</v>
      </c>
      <c r="AB95" s="99" t="s">
        <v>1</v>
      </c>
      <c r="AC95" s="74" t="s">
        <v>1</v>
      </c>
    </row>
    <row r="96" spans="1:29" customFormat="1" ht="6.6" customHeight="1" x14ac:dyDescent="0.25">
      <c r="A96" s="64">
        <v>96</v>
      </c>
      <c r="B96" s="69" t="s">
        <v>2140</v>
      </c>
      <c r="C96" s="29" t="s">
        <v>2168</v>
      </c>
      <c r="D96" s="29" t="s">
        <v>2169</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2299</v>
      </c>
      <c r="S96" s="72" t="s">
        <v>1</v>
      </c>
      <c r="T96" s="72" t="str">
        <f t="shared" si="5"/>
        <v>Institucionais</v>
      </c>
      <c r="U96" s="72" t="str">
        <f t="shared" si="5"/>
        <v>Serviços Públicos</v>
      </c>
      <c r="V96" s="72" t="str">
        <f t="shared" si="5"/>
        <v>IBGE</v>
      </c>
      <c r="W96" s="72" t="s">
        <v>2136</v>
      </c>
      <c r="X96" s="73" t="str">
        <f t="shared" si="15"/>
        <v>Key-INFRA-96</v>
      </c>
      <c r="Y96" s="72" t="s">
        <v>1</v>
      </c>
      <c r="Z96" s="99" t="s">
        <v>1</v>
      </c>
      <c r="AA96" s="72" t="s">
        <v>1</v>
      </c>
      <c r="AB96" s="99" t="s">
        <v>1</v>
      </c>
      <c r="AC96" s="74" t="s">
        <v>1</v>
      </c>
    </row>
    <row r="97" spans="1:29" customFormat="1" ht="6.6" customHeight="1" x14ac:dyDescent="0.25">
      <c r="A97" s="64">
        <v>97</v>
      </c>
      <c r="B97" s="69" t="s">
        <v>2140</v>
      </c>
      <c r="C97" s="29" t="s">
        <v>2168</v>
      </c>
      <c r="D97" s="29" t="s">
        <v>2169</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2299</v>
      </c>
      <c r="S97" s="72" t="s">
        <v>1</v>
      </c>
      <c r="T97" s="72" t="str">
        <f t="shared" si="5"/>
        <v>Institucionais</v>
      </c>
      <c r="U97" s="72" t="str">
        <f t="shared" si="5"/>
        <v>Serviços Públicos</v>
      </c>
      <c r="V97" s="72" t="str">
        <f t="shared" si="5"/>
        <v>IBGE</v>
      </c>
      <c r="W97" s="72" t="s">
        <v>2136</v>
      </c>
      <c r="X97" s="73" t="str">
        <f t="shared" si="15"/>
        <v>Key-INFRA-97</v>
      </c>
      <c r="Y97" s="72" t="s">
        <v>1</v>
      </c>
      <c r="Z97" s="99" t="s">
        <v>1</v>
      </c>
      <c r="AA97" s="72" t="s">
        <v>1</v>
      </c>
      <c r="AB97" s="99" t="s">
        <v>1</v>
      </c>
      <c r="AC97" s="74" t="s">
        <v>1</v>
      </c>
    </row>
    <row r="98" spans="1:29" customFormat="1" ht="6.6" customHeight="1" x14ac:dyDescent="0.25">
      <c r="A98" s="64">
        <v>98</v>
      </c>
      <c r="B98" s="69" t="s">
        <v>2140</v>
      </c>
      <c r="C98" s="29" t="s">
        <v>2168</v>
      </c>
      <c r="D98" s="29" t="s">
        <v>2169</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2300</v>
      </c>
      <c r="S98" s="72" t="s">
        <v>1</v>
      </c>
      <c r="T98" s="72" t="str">
        <f t="shared" si="5"/>
        <v>Institucionais</v>
      </c>
      <c r="U98" s="72" t="str">
        <f t="shared" si="5"/>
        <v>Serviços Públicos</v>
      </c>
      <c r="V98" s="72" t="str">
        <f t="shared" si="5"/>
        <v>IBGE</v>
      </c>
      <c r="W98" s="72" t="s">
        <v>2136</v>
      </c>
      <c r="X98" s="73" t="str">
        <f t="shared" si="15"/>
        <v>Key-INFRA-98</v>
      </c>
      <c r="Y98" s="72" t="s">
        <v>1</v>
      </c>
      <c r="Z98" s="99" t="s">
        <v>1</v>
      </c>
      <c r="AA98" s="72" t="s">
        <v>1</v>
      </c>
      <c r="AB98" s="99" t="s">
        <v>1</v>
      </c>
      <c r="AC98" s="74" t="s">
        <v>1</v>
      </c>
    </row>
    <row r="99" spans="1:29" customFormat="1" ht="6.6" customHeight="1" x14ac:dyDescent="0.25">
      <c r="A99" s="64">
        <v>99</v>
      </c>
      <c r="B99" s="69" t="s">
        <v>2140</v>
      </c>
      <c r="C99" s="29" t="s">
        <v>2168</v>
      </c>
      <c r="D99" s="29" t="s">
        <v>2169</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2301</v>
      </c>
      <c r="S99" s="72" t="s">
        <v>1</v>
      </c>
      <c r="T99" s="72" t="str">
        <f t="shared" si="5"/>
        <v>Institucionais</v>
      </c>
      <c r="U99" s="72" t="str">
        <f t="shared" si="5"/>
        <v>Serviços Públicos</v>
      </c>
      <c r="V99" s="72" t="str">
        <f t="shared" si="5"/>
        <v>IBGE</v>
      </c>
      <c r="W99" s="72" t="s">
        <v>2136</v>
      </c>
      <c r="X99" s="73" t="str">
        <f t="shared" si="15"/>
        <v>Key-INFRA-99</v>
      </c>
      <c r="Y99" s="72" t="s">
        <v>1</v>
      </c>
      <c r="Z99" s="99" t="s">
        <v>1</v>
      </c>
      <c r="AA99" s="72" t="s">
        <v>1</v>
      </c>
      <c r="AB99" s="99" t="s">
        <v>1</v>
      </c>
      <c r="AC99" s="74" t="s">
        <v>1</v>
      </c>
    </row>
    <row r="100" spans="1:29" customFormat="1" ht="6.6" customHeight="1" x14ac:dyDescent="0.25">
      <c r="A100" s="64">
        <v>100</v>
      </c>
      <c r="B100" s="69" t="s">
        <v>2140</v>
      </c>
      <c r="C100" s="29" t="s">
        <v>2168</v>
      </c>
      <c r="D100" s="29" t="s">
        <v>2169</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2302</v>
      </c>
      <c r="S100" s="72" t="s">
        <v>1</v>
      </c>
      <c r="T100" s="72" t="str">
        <f t="shared" si="5"/>
        <v>Institucionais</v>
      </c>
      <c r="U100" s="72" t="str">
        <f t="shared" si="5"/>
        <v>Serviços Públicos</v>
      </c>
      <c r="V100" s="72" t="str">
        <f t="shared" si="5"/>
        <v>IBGE</v>
      </c>
      <c r="W100" s="72" t="s">
        <v>2136</v>
      </c>
      <c r="X100" s="73" t="str">
        <f t="shared" si="15"/>
        <v>Key-INFRA-100</v>
      </c>
      <c r="Y100" s="72" t="s">
        <v>1</v>
      </c>
      <c r="Z100" s="99" t="s">
        <v>1</v>
      </c>
      <c r="AA100" s="72" t="s">
        <v>1</v>
      </c>
      <c r="AB100" s="99" t="s">
        <v>1</v>
      </c>
      <c r="AC100" s="74" t="s">
        <v>1</v>
      </c>
    </row>
    <row r="101" spans="1:29" customFormat="1" ht="6.6" customHeight="1" x14ac:dyDescent="0.25">
      <c r="A101" s="64">
        <v>101</v>
      </c>
      <c r="B101" s="69" t="s">
        <v>2140</v>
      </c>
      <c r="C101" s="78" t="s">
        <v>2176</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2303</v>
      </c>
      <c r="S101" s="72" t="s">
        <v>1</v>
      </c>
      <c r="T101" s="72" t="str">
        <f t="shared" si="5"/>
        <v>De Transportes</v>
      </c>
      <c r="U101" s="72" t="str">
        <f t="shared" si="5"/>
        <v>Ferroviários</v>
      </c>
      <c r="V101" s="72" t="str">
        <f t="shared" si="5"/>
        <v>Trens</v>
      </c>
      <c r="W101" s="72" t="s">
        <v>2136</v>
      </c>
      <c r="X101" s="73" t="str">
        <f t="shared" si="15"/>
        <v>Key-INFRA-101</v>
      </c>
      <c r="Y101" s="72" t="s">
        <v>2032</v>
      </c>
      <c r="Z101" s="99" t="s">
        <v>1</v>
      </c>
      <c r="AA101" s="72" t="s">
        <v>2070</v>
      </c>
      <c r="AB101" s="99" t="s">
        <v>1</v>
      </c>
      <c r="AC101" s="74" t="s">
        <v>1</v>
      </c>
    </row>
    <row r="102" spans="1:29" customFormat="1" ht="6.6" customHeight="1" x14ac:dyDescent="0.25">
      <c r="A102" s="64">
        <v>102</v>
      </c>
      <c r="B102" s="69" t="s">
        <v>2140</v>
      </c>
      <c r="C102" s="78" t="s">
        <v>2176</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2304</v>
      </c>
      <c r="S102" s="72" t="s">
        <v>1</v>
      </c>
      <c r="T102" s="72" t="str">
        <f t="shared" si="5"/>
        <v>De Transportes</v>
      </c>
      <c r="U102" s="72" t="str">
        <f t="shared" si="5"/>
        <v>Ferroviários</v>
      </c>
      <c r="V102" s="72" t="str">
        <f t="shared" si="5"/>
        <v>Trens</v>
      </c>
      <c r="W102" s="72" t="s">
        <v>2136</v>
      </c>
      <c r="X102" s="73" t="str">
        <f t="shared" si="15"/>
        <v>Key-INFRA-102</v>
      </c>
      <c r="Y102" s="72" t="s">
        <v>2032</v>
      </c>
      <c r="Z102" s="99" t="s">
        <v>1</v>
      </c>
      <c r="AA102" s="72" t="s">
        <v>2070</v>
      </c>
      <c r="AB102" s="99" t="s">
        <v>1</v>
      </c>
      <c r="AC102" s="74" t="s">
        <v>1</v>
      </c>
    </row>
    <row r="103" spans="1:29" customFormat="1" ht="6.6" customHeight="1" x14ac:dyDescent="0.25">
      <c r="A103" s="64">
        <v>103</v>
      </c>
      <c r="B103" s="69" t="s">
        <v>2140</v>
      </c>
      <c r="C103" s="78" t="s">
        <v>2176</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2305</v>
      </c>
      <c r="S103" s="72" t="s">
        <v>1</v>
      </c>
      <c r="T103" s="72" t="str">
        <f t="shared" si="5"/>
        <v>De Transportes</v>
      </c>
      <c r="U103" s="72" t="str">
        <f t="shared" si="5"/>
        <v>Ferroviários</v>
      </c>
      <c r="V103" s="72" t="str">
        <f t="shared" si="5"/>
        <v>Trens</v>
      </c>
      <c r="W103" s="72" t="s">
        <v>2136</v>
      </c>
      <c r="X103" s="73" t="str">
        <f t="shared" si="15"/>
        <v>Key-INFRA-103</v>
      </c>
      <c r="Y103" s="72" t="s">
        <v>2032</v>
      </c>
      <c r="Z103" s="99" t="s">
        <v>1</v>
      </c>
      <c r="AA103" s="72" t="s">
        <v>2070</v>
      </c>
      <c r="AB103" s="99" t="s">
        <v>1</v>
      </c>
      <c r="AC103" s="74" t="s">
        <v>1</v>
      </c>
    </row>
    <row r="104" spans="1:29" customFormat="1" ht="6.6" customHeight="1" x14ac:dyDescent="0.25">
      <c r="A104" s="64">
        <v>104</v>
      </c>
      <c r="B104" s="69" t="s">
        <v>2140</v>
      </c>
      <c r="C104" s="78" t="s">
        <v>2176</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2306</v>
      </c>
      <c r="S104" s="72" t="s">
        <v>1</v>
      </c>
      <c r="T104" s="72" t="str">
        <f t="shared" si="5"/>
        <v>De Transportes</v>
      </c>
      <c r="U104" s="72" t="str">
        <f t="shared" si="5"/>
        <v>Ferroviários</v>
      </c>
      <c r="V104" s="72" t="str">
        <f t="shared" si="5"/>
        <v>Trens</v>
      </c>
      <c r="W104" s="72" t="s">
        <v>2136</v>
      </c>
      <c r="X104" s="73" t="str">
        <f t="shared" si="15"/>
        <v>Key-INFRA-104</v>
      </c>
      <c r="Y104" s="72" t="s">
        <v>2032</v>
      </c>
      <c r="Z104" s="99" t="s">
        <v>1</v>
      </c>
      <c r="AA104" s="72" t="s">
        <v>2070</v>
      </c>
      <c r="AB104" s="99" t="s">
        <v>1</v>
      </c>
      <c r="AC104" s="74" t="s">
        <v>1</v>
      </c>
    </row>
    <row r="105" spans="1:29" customFormat="1" ht="6.6" customHeight="1" x14ac:dyDescent="0.25">
      <c r="A105" s="64">
        <v>105</v>
      </c>
      <c r="B105" s="69" t="s">
        <v>2140</v>
      </c>
      <c r="C105" s="78" t="s">
        <v>2176</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2307</v>
      </c>
      <c r="S105" s="72" t="s">
        <v>1</v>
      </c>
      <c r="T105" s="72" t="str">
        <f t="shared" si="5"/>
        <v>De Transportes</v>
      </c>
      <c r="U105" s="72" t="str">
        <f t="shared" si="5"/>
        <v>Ferroviários</v>
      </c>
      <c r="V105" s="72" t="str">
        <f t="shared" si="5"/>
        <v>Trens</v>
      </c>
      <c r="W105" s="72" t="s">
        <v>2136</v>
      </c>
      <c r="X105" s="73" t="str">
        <f t="shared" si="15"/>
        <v>Key-INFRA-105</v>
      </c>
      <c r="Y105" s="72" t="s">
        <v>2032</v>
      </c>
      <c r="Z105" s="99" t="s">
        <v>1</v>
      </c>
      <c r="AA105" s="72" t="s">
        <v>2070</v>
      </c>
      <c r="AB105" s="99" t="s">
        <v>1</v>
      </c>
      <c r="AC105" s="74" t="s">
        <v>1</v>
      </c>
    </row>
    <row r="106" spans="1:29" customFormat="1" ht="6.6" customHeight="1" x14ac:dyDescent="0.25">
      <c r="A106" s="64">
        <v>106</v>
      </c>
      <c r="B106" s="69" t="s">
        <v>2140</v>
      </c>
      <c r="C106" s="78" t="s">
        <v>2176</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2307</v>
      </c>
      <c r="S106" s="72" t="s">
        <v>1</v>
      </c>
      <c r="T106" s="72" t="str">
        <f t="shared" si="5"/>
        <v>De Transportes</v>
      </c>
      <c r="U106" s="72" t="str">
        <f t="shared" si="5"/>
        <v>Ferroviários</v>
      </c>
      <c r="V106" s="72" t="str">
        <f t="shared" si="5"/>
        <v>Trens</v>
      </c>
      <c r="W106" s="72" t="s">
        <v>2136</v>
      </c>
      <c r="X106" s="73" t="str">
        <f t="shared" si="15"/>
        <v>Key-INFRA-106</v>
      </c>
      <c r="Y106" s="72" t="s">
        <v>2032</v>
      </c>
      <c r="Z106" s="99" t="s">
        <v>1</v>
      </c>
      <c r="AA106" s="72" t="s">
        <v>2070</v>
      </c>
      <c r="AB106" s="99" t="s">
        <v>1</v>
      </c>
      <c r="AC106" s="74" t="s">
        <v>1</v>
      </c>
    </row>
    <row r="107" spans="1:29" customFormat="1" ht="6.6" customHeight="1" x14ac:dyDescent="0.25">
      <c r="A107" s="64">
        <v>107</v>
      </c>
      <c r="B107" s="69" t="s">
        <v>2140</v>
      </c>
      <c r="C107" s="78" t="s">
        <v>2176</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2308</v>
      </c>
      <c r="S107" s="72"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99" t="s">
        <v>1</v>
      </c>
      <c r="AA107" s="72" t="s">
        <v>2070</v>
      </c>
      <c r="AB107" s="99" t="s">
        <v>1</v>
      </c>
      <c r="AC107" s="74" t="s">
        <v>1</v>
      </c>
    </row>
    <row r="108" spans="1:29" customFormat="1" ht="6.6" customHeight="1" x14ac:dyDescent="0.25">
      <c r="A108" s="64">
        <v>108</v>
      </c>
      <c r="B108" s="69" t="s">
        <v>2140</v>
      </c>
      <c r="C108" s="78" t="s">
        <v>2176</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2309</v>
      </c>
      <c r="S108" s="72"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99" t="s">
        <v>1</v>
      </c>
      <c r="AA108" s="72" t="s">
        <v>2070</v>
      </c>
      <c r="AB108" s="99" t="s">
        <v>1</v>
      </c>
      <c r="AC108" s="74" t="s">
        <v>1</v>
      </c>
    </row>
    <row r="109" spans="1:29" customFormat="1" ht="6.6" customHeight="1" x14ac:dyDescent="0.25">
      <c r="A109" s="64">
        <v>109</v>
      </c>
      <c r="B109" s="69" t="s">
        <v>2140</v>
      </c>
      <c r="C109" s="78" t="s">
        <v>2176</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2309</v>
      </c>
      <c r="S109" s="72" t="s">
        <v>1</v>
      </c>
      <c r="T109" s="72" t="str">
        <f t="shared" si="23"/>
        <v>De Transportes</v>
      </c>
      <c r="U109" s="72" t="str">
        <f t="shared" si="22"/>
        <v>Ferroviários</v>
      </c>
      <c r="V109" s="72" t="str">
        <f t="shared" si="22"/>
        <v>Trens</v>
      </c>
      <c r="W109" s="72" t="s">
        <v>2136</v>
      </c>
      <c r="X109" s="73" t="str">
        <f t="shared" si="15"/>
        <v>Key-INFRA-109</v>
      </c>
      <c r="Y109" s="72" t="s">
        <v>2032</v>
      </c>
      <c r="Z109" s="99" t="s">
        <v>1</v>
      </c>
      <c r="AA109" s="72" t="s">
        <v>2070</v>
      </c>
      <c r="AB109" s="99" t="s">
        <v>1</v>
      </c>
      <c r="AC109" s="74" t="s">
        <v>1</v>
      </c>
    </row>
    <row r="110" spans="1:29" customFormat="1" ht="6.6" customHeight="1" x14ac:dyDescent="0.25">
      <c r="A110" s="64">
        <v>110</v>
      </c>
      <c r="B110" s="69" t="s">
        <v>2140</v>
      </c>
      <c r="C110" s="78" t="s">
        <v>2176</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2310</v>
      </c>
      <c r="S110" s="72" t="s">
        <v>1</v>
      </c>
      <c r="T110" s="72" t="str">
        <f t="shared" si="23"/>
        <v>De Transportes</v>
      </c>
      <c r="U110" s="72" t="str">
        <f t="shared" si="22"/>
        <v>Ferroviários</v>
      </c>
      <c r="V110" s="72" t="str">
        <f t="shared" si="22"/>
        <v>Trens</v>
      </c>
      <c r="W110" s="72" t="s">
        <v>2136</v>
      </c>
      <c r="X110" s="73" t="str">
        <f t="shared" si="15"/>
        <v>Key-INFRA-110</v>
      </c>
      <c r="Y110" s="72" t="s">
        <v>2032</v>
      </c>
      <c r="Z110" s="99" t="s">
        <v>1</v>
      </c>
      <c r="AA110" s="72" t="s">
        <v>2071</v>
      </c>
      <c r="AB110" s="99" t="s">
        <v>1</v>
      </c>
      <c r="AC110" s="74" t="s">
        <v>1</v>
      </c>
    </row>
    <row r="111" spans="1:29" customFormat="1" ht="6.6" customHeight="1" x14ac:dyDescent="0.25">
      <c r="A111" s="64">
        <v>111</v>
      </c>
      <c r="B111" s="69" t="s">
        <v>2140</v>
      </c>
      <c r="C111" s="78" t="s">
        <v>2176</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2311</v>
      </c>
      <c r="S111" s="72" t="s">
        <v>1</v>
      </c>
      <c r="T111" s="72" t="str">
        <f t="shared" si="23"/>
        <v>De Transportes</v>
      </c>
      <c r="U111" s="72" t="str">
        <f t="shared" si="22"/>
        <v>Terrestres</v>
      </c>
      <c r="V111" s="72" t="str">
        <f t="shared" si="22"/>
        <v>Veículos Maquinária</v>
      </c>
      <c r="W111" s="72" t="s">
        <v>2136</v>
      </c>
      <c r="X111" s="73" t="str">
        <f t="shared" si="15"/>
        <v>Key-INFRA-111</v>
      </c>
      <c r="Y111" s="72" t="s">
        <v>2032</v>
      </c>
      <c r="Z111" s="99" t="s">
        <v>1</v>
      </c>
      <c r="AA111" s="72" t="s">
        <v>2071</v>
      </c>
      <c r="AB111" s="99" t="s">
        <v>1</v>
      </c>
      <c r="AC111" s="74" t="s">
        <v>1</v>
      </c>
    </row>
    <row r="112" spans="1:29" customFormat="1" ht="6.6" customHeight="1" x14ac:dyDescent="0.25">
      <c r="A112" s="64">
        <v>112</v>
      </c>
      <c r="B112" s="69" t="s">
        <v>2140</v>
      </c>
      <c r="C112" s="78" t="s">
        <v>2176</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2312</v>
      </c>
      <c r="S112" s="72" t="s">
        <v>1</v>
      </c>
      <c r="T112" s="72" t="str">
        <f t="shared" si="23"/>
        <v>De Transportes</v>
      </c>
      <c r="U112" s="72" t="str">
        <f t="shared" si="22"/>
        <v>Terrestres</v>
      </c>
      <c r="V112" s="72" t="str">
        <f t="shared" si="22"/>
        <v>Veículos Maquinária</v>
      </c>
      <c r="W112" s="72" t="s">
        <v>2136</v>
      </c>
      <c r="X112" s="73" t="str">
        <f t="shared" si="15"/>
        <v>Key-INFRA-112</v>
      </c>
      <c r="Y112" s="72" t="s">
        <v>2032</v>
      </c>
      <c r="Z112" s="99" t="s">
        <v>1</v>
      </c>
      <c r="AA112" s="72" t="s">
        <v>2071</v>
      </c>
      <c r="AB112" s="99" t="s">
        <v>1</v>
      </c>
      <c r="AC112" s="74" t="s">
        <v>1</v>
      </c>
    </row>
    <row r="113" spans="1:29" customFormat="1" ht="6.6" customHeight="1" x14ac:dyDescent="0.25">
      <c r="A113" s="64">
        <v>113</v>
      </c>
      <c r="B113" s="69" t="s">
        <v>2140</v>
      </c>
      <c r="C113" s="78" t="s">
        <v>2176</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2313</v>
      </c>
      <c r="S113" s="72" t="s">
        <v>1</v>
      </c>
      <c r="T113" s="72" t="str">
        <f t="shared" si="23"/>
        <v>De Transportes</v>
      </c>
      <c r="U113" s="72" t="str">
        <f t="shared" si="22"/>
        <v>Terrestres</v>
      </c>
      <c r="V113" s="72" t="str">
        <f t="shared" si="22"/>
        <v>Veículos Maquinária</v>
      </c>
      <c r="W113" s="72" t="s">
        <v>2136</v>
      </c>
      <c r="X113" s="73" t="str">
        <f t="shared" si="15"/>
        <v>Key-INFRA-113</v>
      </c>
      <c r="Y113" s="72" t="s">
        <v>2032</v>
      </c>
      <c r="Z113" s="99" t="s">
        <v>1</v>
      </c>
      <c r="AA113" s="72" t="s">
        <v>2071</v>
      </c>
      <c r="AB113" s="99" t="s">
        <v>1</v>
      </c>
      <c r="AC113" s="74" t="s">
        <v>1</v>
      </c>
    </row>
    <row r="114" spans="1:29" customFormat="1" ht="6.6" customHeight="1" x14ac:dyDescent="0.25">
      <c r="A114" s="64">
        <v>114</v>
      </c>
      <c r="B114" s="69" t="s">
        <v>2140</v>
      </c>
      <c r="C114" s="78" t="s">
        <v>2176</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2314</v>
      </c>
      <c r="S114" s="72" t="s">
        <v>1</v>
      </c>
      <c r="T114" s="72" t="str">
        <f t="shared" si="23"/>
        <v>De Transportes</v>
      </c>
      <c r="U114" s="72" t="str">
        <f t="shared" si="22"/>
        <v>Terrestres</v>
      </c>
      <c r="V114" s="72" t="str">
        <f t="shared" si="22"/>
        <v>Veículos Maquinária</v>
      </c>
      <c r="W114" s="72" t="s">
        <v>2136</v>
      </c>
      <c r="X114" s="73" t="str">
        <f t="shared" si="15"/>
        <v>Key-INFRA-114</v>
      </c>
      <c r="Y114" s="72" t="s">
        <v>2032</v>
      </c>
      <c r="Z114" s="99" t="s">
        <v>1</v>
      </c>
      <c r="AA114" s="72" t="s">
        <v>2071</v>
      </c>
      <c r="AB114" s="99" t="s">
        <v>1</v>
      </c>
      <c r="AC114" s="74" t="s">
        <v>1</v>
      </c>
    </row>
    <row r="115" spans="1:29" customFormat="1" ht="6.6" customHeight="1" x14ac:dyDescent="0.25">
      <c r="A115" s="64">
        <v>115</v>
      </c>
      <c r="B115" s="69" t="s">
        <v>2140</v>
      </c>
      <c r="C115" s="78" t="s">
        <v>2176</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2315</v>
      </c>
      <c r="S115" s="72" t="s">
        <v>1</v>
      </c>
      <c r="T115" s="72" t="str">
        <f t="shared" si="23"/>
        <v>De Transportes</v>
      </c>
      <c r="U115" s="72" t="str">
        <f t="shared" si="22"/>
        <v>Terrestres</v>
      </c>
      <c r="V115" s="72" t="str">
        <f t="shared" si="22"/>
        <v>Veículos Maquinária</v>
      </c>
      <c r="W115" s="72" t="s">
        <v>2136</v>
      </c>
      <c r="X115" s="73" t="str">
        <f t="shared" si="15"/>
        <v>Key-INFRA-115</v>
      </c>
      <c r="Y115" s="72" t="s">
        <v>2032</v>
      </c>
      <c r="Z115" s="99" t="s">
        <v>1</v>
      </c>
      <c r="AA115" s="72" t="s">
        <v>2071</v>
      </c>
      <c r="AB115" s="99" t="s">
        <v>1</v>
      </c>
      <c r="AC115" s="74" t="s">
        <v>1</v>
      </c>
    </row>
    <row r="116" spans="1:29" customFormat="1" ht="6.6" customHeight="1" x14ac:dyDescent="0.25">
      <c r="A116" s="64">
        <v>116</v>
      </c>
      <c r="B116" s="69" t="s">
        <v>2140</v>
      </c>
      <c r="C116" s="78" t="s">
        <v>2176</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2316</v>
      </c>
      <c r="S116" s="72" t="s">
        <v>1</v>
      </c>
      <c r="T116" s="72" t="str">
        <f t="shared" si="23"/>
        <v>De Transportes</v>
      </c>
      <c r="U116" s="72" t="str">
        <f t="shared" si="22"/>
        <v>Terrestres</v>
      </c>
      <c r="V116" s="72" t="str">
        <f t="shared" si="22"/>
        <v>Veículos Maquinária</v>
      </c>
      <c r="W116" s="72" t="s">
        <v>2136</v>
      </c>
      <c r="X116" s="73" t="str">
        <f t="shared" si="15"/>
        <v>Key-INFRA-116</v>
      </c>
      <c r="Y116" s="72" t="s">
        <v>2032</v>
      </c>
      <c r="Z116" s="99" t="s">
        <v>1</v>
      </c>
      <c r="AA116" s="72" t="s">
        <v>2071</v>
      </c>
      <c r="AB116" s="99" t="s">
        <v>1</v>
      </c>
      <c r="AC116" s="74" t="s">
        <v>1</v>
      </c>
    </row>
    <row r="117" spans="1:29" customFormat="1" ht="6.6" customHeight="1" x14ac:dyDescent="0.25">
      <c r="A117" s="64">
        <v>117</v>
      </c>
      <c r="B117" s="69" t="s">
        <v>2140</v>
      </c>
      <c r="C117" s="78" t="s">
        <v>2176</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2317</v>
      </c>
      <c r="S117" s="72" t="s">
        <v>1</v>
      </c>
      <c r="T117" s="72" t="str">
        <f t="shared" si="23"/>
        <v>De Transportes</v>
      </c>
      <c r="U117" s="72" t="str">
        <f t="shared" si="22"/>
        <v>Terrestres</v>
      </c>
      <c r="V117" s="72" t="str">
        <f t="shared" si="22"/>
        <v>Guindastes</v>
      </c>
      <c r="W117" s="72" t="s">
        <v>2136</v>
      </c>
      <c r="X117" s="73" t="str">
        <f t="shared" si="15"/>
        <v>Key-INFRA-117</v>
      </c>
      <c r="Y117" s="72" t="s">
        <v>2032</v>
      </c>
      <c r="Z117" s="99" t="s">
        <v>1</v>
      </c>
      <c r="AA117" s="72" t="s">
        <v>2186</v>
      </c>
      <c r="AB117" s="99" t="s">
        <v>1</v>
      </c>
      <c r="AC117" s="74" t="s">
        <v>1</v>
      </c>
    </row>
    <row r="118" spans="1:29" customFormat="1" ht="6.6" customHeight="1" x14ac:dyDescent="0.25">
      <c r="A118" s="64">
        <v>118</v>
      </c>
      <c r="B118" s="69" t="s">
        <v>2140</v>
      </c>
      <c r="C118" s="78" t="s">
        <v>2176</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2318</v>
      </c>
      <c r="S118" s="72" t="s">
        <v>1</v>
      </c>
      <c r="T118" s="72" t="str">
        <f t="shared" si="23"/>
        <v>De Transportes</v>
      </c>
      <c r="U118" s="72" t="str">
        <f t="shared" si="22"/>
        <v>Terrestres</v>
      </c>
      <c r="V118" s="72" t="str">
        <f t="shared" si="22"/>
        <v>Guindastes</v>
      </c>
      <c r="W118" s="72" t="s">
        <v>2136</v>
      </c>
      <c r="X118" s="73" t="str">
        <f t="shared" si="15"/>
        <v>Key-INFRA-118</v>
      </c>
      <c r="Y118" s="72" t="s">
        <v>2031</v>
      </c>
      <c r="Z118" s="99" t="s">
        <v>1</v>
      </c>
      <c r="AA118" s="72" t="s">
        <v>2186</v>
      </c>
      <c r="AB118" s="99" t="s">
        <v>1</v>
      </c>
      <c r="AC118" s="74" t="s">
        <v>1</v>
      </c>
    </row>
    <row r="119" spans="1:29" customFormat="1" ht="6.6" customHeight="1" x14ac:dyDescent="0.25">
      <c r="A119" s="64">
        <v>119</v>
      </c>
      <c r="B119" s="69" t="s">
        <v>2140</v>
      </c>
      <c r="C119" s="78" t="s">
        <v>2176</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2319</v>
      </c>
      <c r="S119" s="72" t="s">
        <v>1</v>
      </c>
      <c r="T119" s="72" t="str">
        <f t="shared" si="23"/>
        <v>De Transportes</v>
      </c>
      <c r="U119" s="72" t="str">
        <f t="shared" si="22"/>
        <v>Terrestres</v>
      </c>
      <c r="V119" s="72" t="str">
        <f t="shared" si="22"/>
        <v>Guindastes</v>
      </c>
      <c r="W119" s="72" t="s">
        <v>2136</v>
      </c>
      <c r="X119" s="73" t="str">
        <f t="shared" si="15"/>
        <v>Key-INFRA-119</v>
      </c>
      <c r="Y119" s="72" t="s">
        <v>2031</v>
      </c>
      <c r="Z119" s="99" t="s">
        <v>1</v>
      </c>
      <c r="AA119" s="72" t="s">
        <v>2186</v>
      </c>
      <c r="AB119" s="99" t="s">
        <v>1</v>
      </c>
      <c r="AC119" s="74" t="s">
        <v>1</v>
      </c>
    </row>
    <row r="120" spans="1:29" customFormat="1" ht="6.6" customHeight="1" x14ac:dyDescent="0.25">
      <c r="A120" s="64">
        <v>120</v>
      </c>
      <c r="B120" s="69" t="s">
        <v>2140</v>
      </c>
      <c r="C120" s="78" t="s">
        <v>2176</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2320</v>
      </c>
      <c r="S120" s="72" t="s">
        <v>1</v>
      </c>
      <c r="T120" s="72" t="str">
        <f t="shared" si="23"/>
        <v>De Transportes</v>
      </c>
      <c r="U120" s="72" t="str">
        <f t="shared" si="22"/>
        <v>Terrestres</v>
      </c>
      <c r="V120" s="72" t="str">
        <f t="shared" si="22"/>
        <v>Guindastes</v>
      </c>
      <c r="W120" s="72" t="s">
        <v>2136</v>
      </c>
      <c r="X120" s="73" t="str">
        <f t="shared" si="15"/>
        <v>Key-INFRA-120</v>
      </c>
      <c r="Y120" s="72" t="s">
        <v>2031</v>
      </c>
      <c r="Z120" s="99" t="s">
        <v>1</v>
      </c>
      <c r="AA120" s="72" t="s">
        <v>2186</v>
      </c>
      <c r="AB120" s="99" t="s">
        <v>1</v>
      </c>
      <c r="AC120" s="74" t="s">
        <v>1</v>
      </c>
    </row>
    <row r="121" spans="1:29" customFormat="1" ht="6.6" customHeight="1" x14ac:dyDescent="0.25">
      <c r="A121" s="64">
        <v>121</v>
      </c>
      <c r="B121" s="69" t="s">
        <v>2140</v>
      </c>
      <c r="C121" s="78" t="s">
        <v>2176</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2321</v>
      </c>
      <c r="S121" s="72" t="s">
        <v>1</v>
      </c>
      <c r="T121" s="72" t="str">
        <f t="shared" si="23"/>
        <v>De Transportes</v>
      </c>
      <c r="U121" s="72" t="str">
        <f t="shared" si="22"/>
        <v>Terrestres</v>
      </c>
      <c r="V121" s="72" t="str">
        <f t="shared" si="22"/>
        <v>Guindastes</v>
      </c>
      <c r="W121" s="72" t="s">
        <v>2136</v>
      </c>
      <c r="X121" s="73" t="str">
        <f t="shared" si="15"/>
        <v>Key-INFRA-121</v>
      </c>
      <c r="Y121" s="72" t="s">
        <v>2031</v>
      </c>
      <c r="Z121" s="99" t="s">
        <v>1</v>
      </c>
      <c r="AA121" s="72" t="s">
        <v>2072</v>
      </c>
      <c r="AB121" s="99" t="s">
        <v>1</v>
      </c>
      <c r="AC121" s="74" t="s">
        <v>1</v>
      </c>
    </row>
    <row r="122" spans="1:29" customFormat="1" ht="6.6" customHeight="1" x14ac:dyDescent="0.25">
      <c r="A122" s="64">
        <v>122</v>
      </c>
      <c r="B122" s="69" t="s">
        <v>2140</v>
      </c>
      <c r="C122" s="78" t="s">
        <v>2176</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2322</v>
      </c>
      <c r="S122" s="72" t="s">
        <v>1</v>
      </c>
      <c r="T122" s="72" t="str">
        <f t="shared" si="23"/>
        <v>De Transportes</v>
      </c>
      <c r="U122" s="72" t="str">
        <f t="shared" si="22"/>
        <v>Terrestres</v>
      </c>
      <c r="V122" s="72" t="str">
        <f t="shared" si="22"/>
        <v>Veículos Pesados</v>
      </c>
      <c r="W122" s="72" t="s">
        <v>2136</v>
      </c>
      <c r="X122" s="73" t="str">
        <f t="shared" si="15"/>
        <v>Key-INFRA-122</v>
      </c>
      <c r="Y122" s="72" t="s">
        <v>2032</v>
      </c>
      <c r="Z122" s="99" t="s">
        <v>1</v>
      </c>
      <c r="AA122" s="72" t="s">
        <v>2072</v>
      </c>
      <c r="AB122" s="99" t="s">
        <v>1</v>
      </c>
      <c r="AC122" s="74" t="s">
        <v>1</v>
      </c>
    </row>
    <row r="123" spans="1:29" customFormat="1" ht="6.6" customHeight="1" x14ac:dyDescent="0.25">
      <c r="A123" s="64">
        <v>123</v>
      </c>
      <c r="B123" s="69" t="s">
        <v>2140</v>
      </c>
      <c r="C123" s="78" t="s">
        <v>2176</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2323</v>
      </c>
      <c r="S123" s="72" t="s">
        <v>1</v>
      </c>
      <c r="T123" s="72" t="str">
        <f t="shared" si="23"/>
        <v>De Transportes</v>
      </c>
      <c r="U123" s="72" t="str">
        <f t="shared" si="23"/>
        <v>Terrestres</v>
      </c>
      <c r="V123" s="72" t="str">
        <f t="shared" si="23"/>
        <v>Veículos Pesados</v>
      </c>
      <c r="W123" s="72" t="s">
        <v>2136</v>
      </c>
      <c r="X123" s="73" t="str">
        <f t="shared" si="15"/>
        <v>Key-INFRA-123</v>
      </c>
      <c r="Y123" s="72" t="s">
        <v>2032</v>
      </c>
      <c r="Z123" s="99" t="s">
        <v>1</v>
      </c>
      <c r="AA123" s="72" t="s">
        <v>2072</v>
      </c>
      <c r="AB123" s="99" t="s">
        <v>1</v>
      </c>
      <c r="AC123" s="74" t="s">
        <v>1</v>
      </c>
    </row>
    <row r="124" spans="1:29" customFormat="1" ht="6.6" customHeight="1" x14ac:dyDescent="0.25">
      <c r="A124" s="64">
        <v>124</v>
      </c>
      <c r="B124" s="69" t="s">
        <v>2140</v>
      </c>
      <c r="C124" s="78" t="s">
        <v>2176</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2324</v>
      </c>
      <c r="S124" s="72"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99" t="s">
        <v>1</v>
      </c>
      <c r="AA124" s="72" t="s">
        <v>2072</v>
      </c>
      <c r="AB124" s="99" t="s">
        <v>1</v>
      </c>
      <c r="AC124" s="74" t="s">
        <v>1</v>
      </c>
    </row>
    <row r="125" spans="1:29" customFormat="1" ht="6.6" customHeight="1" x14ac:dyDescent="0.25">
      <c r="A125" s="64">
        <v>125</v>
      </c>
      <c r="B125" s="69" t="s">
        <v>2140</v>
      </c>
      <c r="C125" s="78" t="s">
        <v>2176</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2325</v>
      </c>
      <c r="S125" s="72" t="s">
        <v>1</v>
      </c>
      <c r="T125" s="72" t="str">
        <f t="shared" si="24"/>
        <v>De Transportes</v>
      </c>
      <c r="U125" s="72" t="str">
        <f t="shared" si="24"/>
        <v>Terrestres</v>
      </c>
      <c r="V125" s="72" t="str">
        <f t="shared" si="24"/>
        <v>Veículos Pesados</v>
      </c>
      <c r="W125" s="72" t="s">
        <v>2136</v>
      </c>
      <c r="X125" s="73" t="str">
        <f t="shared" si="15"/>
        <v>Key-INFRA-125</v>
      </c>
      <c r="Y125" s="72" t="s">
        <v>2032</v>
      </c>
      <c r="Z125" s="99" t="s">
        <v>1</v>
      </c>
      <c r="AA125" s="72" t="s">
        <v>2072</v>
      </c>
      <c r="AB125" s="99" t="s">
        <v>1</v>
      </c>
      <c r="AC125" s="74" t="s">
        <v>1</v>
      </c>
    </row>
    <row r="126" spans="1:29" customFormat="1" ht="6.6" customHeight="1" x14ac:dyDescent="0.25">
      <c r="A126" s="64">
        <v>126</v>
      </c>
      <c r="B126" s="69" t="s">
        <v>2140</v>
      </c>
      <c r="C126" s="78" t="s">
        <v>2176</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2326</v>
      </c>
      <c r="S126" s="72" t="s">
        <v>1</v>
      </c>
      <c r="T126" s="72" t="str">
        <f t="shared" si="24"/>
        <v>De Transportes</v>
      </c>
      <c r="U126" s="72" t="str">
        <f t="shared" si="24"/>
        <v>Terrestres</v>
      </c>
      <c r="V126" s="72" t="str">
        <f t="shared" si="24"/>
        <v>Veículos Pesados</v>
      </c>
      <c r="W126" s="72" t="s">
        <v>2136</v>
      </c>
      <c r="X126" s="73" t="str">
        <f t="shared" si="15"/>
        <v>Key-INFRA-126</v>
      </c>
      <c r="Y126" s="72" t="s">
        <v>2032</v>
      </c>
      <c r="Z126" s="99" t="s">
        <v>1</v>
      </c>
      <c r="AA126" s="72" t="s">
        <v>2072</v>
      </c>
      <c r="AB126" s="99" t="s">
        <v>1</v>
      </c>
      <c r="AC126" s="74" t="s">
        <v>1</v>
      </c>
    </row>
    <row r="127" spans="1:29" customFormat="1" ht="6.6" customHeight="1" x14ac:dyDescent="0.25">
      <c r="A127" s="64">
        <v>127</v>
      </c>
      <c r="B127" s="69" t="s">
        <v>2140</v>
      </c>
      <c r="C127" s="78" t="s">
        <v>2176</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2327</v>
      </c>
      <c r="S127" s="72" t="s">
        <v>1</v>
      </c>
      <c r="T127" s="72" t="str">
        <f t="shared" si="24"/>
        <v>De Transportes</v>
      </c>
      <c r="U127" s="72" t="str">
        <f t="shared" si="24"/>
        <v>Terrestres</v>
      </c>
      <c r="V127" s="72" t="str">
        <f t="shared" si="24"/>
        <v>Veículos Pesados</v>
      </c>
      <c r="W127" s="72" t="s">
        <v>2136</v>
      </c>
      <c r="X127" s="73" t="str">
        <f t="shared" si="15"/>
        <v>Key-INFRA-127</v>
      </c>
      <c r="Y127" s="72" t="s">
        <v>2032</v>
      </c>
      <c r="Z127" s="99" t="s">
        <v>1</v>
      </c>
      <c r="AA127" s="72" t="s">
        <v>2072</v>
      </c>
      <c r="AB127" s="99" t="s">
        <v>1</v>
      </c>
      <c r="AC127" s="74" t="s">
        <v>1</v>
      </c>
    </row>
    <row r="128" spans="1:29" customFormat="1" ht="6.6" customHeight="1" x14ac:dyDescent="0.25">
      <c r="A128" s="64">
        <v>128</v>
      </c>
      <c r="B128" s="69" t="s">
        <v>2140</v>
      </c>
      <c r="C128" s="78" t="s">
        <v>2176</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2328</v>
      </c>
      <c r="S128" s="72" t="s">
        <v>1</v>
      </c>
      <c r="T128" s="72" t="str">
        <f t="shared" si="24"/>
        <v>De Transportes</v>
      </c>
      <c r="U128" s="72" t="str">
        <f t="shared" si="24"/>
        <v>Terrestres</v>
      </c>
      <c r="V128" s="72" t="str">
        <f t="shared" si="24"/>
        <v>Veículos Pesados</v>
      </c>
      <c r="W128" s="72" t="s">
        <v>2136</v>
      </c>
      <c r="X128" s="73" t="str">
        <f t="shared" si="15"/>
        <v>Key-INFRA-128</v>
      </c>
      <c r="Y128" s="72" t="s">
        <v>2032</v>
      </c>
      <c r="Z128" s="99" t="s">
        <v>1</v>
      </c>
      <c r="AA128" s="72" t="s">
        <v>2072</v>
      </c>
      <c r="AB128" s="99" t="s">
        <v>1</v>
      </c>
      <c r="AC128" s="74" t="s">
        <v>1</v>
      </c>
    </row>
    <row r="129" spans="1:29" customFormat="1" ht="6.6" customHeight="1" x14ac:dyDescent="0.25">
      <c r="A129" s="64">
        <v>129</v>
      </c>
      <c r="B129" s="69" t="s">
        <v>2140</v>
      </c>
      <c r="C129" s="78" t="s">
        <v>2176</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2329</v>
      </c>
      <c r="S129" s="72" t="s">
        <v>1</v>
      </c>
      <c r="T129" s="72" t="str">
        <f t="shared" si="24"/>
        <v>De Transportes</v>
      </c>
      <c r="U129" s="72" t="str">
        <f t="shared" si="24"/>
        <v>Terrestres</v>
      </c>
      <c r="V129" s="72" t="str">
        <f t="shared" si="24"/>
        <v>Veículos Pesados</v>
      </c>
      <c r="W129" s="72" t="s">
        <v>2136</v>
      </c>
      <c r="X129" s="73" t="str">
        <f t="shared" si="15"/>
        <v>Key-INFRA-129</v>
      </c>
      <c r="Y129" s="72" t="s">
        <v>2032</v>
      </c>
      <c r="Z129" s="99" t="s">
        <v>1</v>
      </c>
      <c r="AA129" s="72" t="s">
        <v>2072</v>
      </c>
      <c r="AB129" s="99" t="s">
        <v>1</v>
      </c>
      <c r="AC129" s="74" t="s">
        <v>1</v>
      </c>
    </row>
    <row r="130" spans="1:29" customFormat="1" ht="6.6" customHeight="1" x14ac:dyDescent="0.25">
      <c r="A130" s="64">
        <v>130</v>
      </c>
      <c r="B130" s="69" t="s">
        <v>2140</v>
      </c>
      <c r="C130" s="78" t="s">
        <v>2176</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2330</v>
      </c>
      <c r="S130" s="72" t="s">
        <v>1</v>
      </c>
      <c r="T130" s="72" t="str">
        <f t="shared" si="24"/>
        <v>De Transportes</v>
      </c>
      <c r="U130" s="72" t="str">
        <f t="shared" si="24"/>
        <v>Terrestres</v>
      </c>
      <c r="V130" s="72" t="str">
        <f t="shared" si="24"/>
        <v>Veículos Pesados</v>
      </c>
      <c r="W130" s="72" t="s">
        <v>2136</v>
      </c>
      <c r="X130" s="73" t="str">
        <f t="shared" si="15"/>
        <v>Key-INFRA-130</v>
      </c>
      <c r="Y130" s="72" t="s">
        <v>2032</v>
      </c>
      <c r="Z130" s="99" t="s">
        <v>1</v>
      </c>
      <c r="AA130" s="72" t="s">
        <v>2072</v>
      </c>
      <c r="AB130" s="99" t="s">
        <v>1</v>
      </c>
      <c r="AC130" s="74" t="s">
        <v>1</v>
      </c>
    </row>
    <row r="131" spans="1:29" customFormat="1" ht="6.6" customHeight="1" x14ac:dyDescent="0.25">
      <c r="A131" s="64">
        <v>131</v>
      </c>
      <c r="B131" s="69" t="s">
        <v>2140</v>
      </c>
      <c r="C131" s="78" t="s">
        <v>2176</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2331</v>
      </c>
      <c r="S131" s="72"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99" t="s">
        <v>1</v>
      </c>
      <c r="AA131" s="72" t="s">
        <v>2072</v>
      </c>
      <c r="AB131" s="99" t="s">
        <v>1</v>
      </c>
      <c r="AC131" s="74" t="s">
        <v>1</v>
      </c>
    </row>
    <row r="132" spans="1:29" customFormat="1" ht="6.6" customHeight="1" x14ac:dyDescent="0.25">
      <c r="A132" s="64">
        <v>132</v>
      </c>
      <c r="B132" s="69" t="s">
        <v>2140</v>
      </c>
      <c r="C132" s="78" t="s">
        <v>2176</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2332</v>
      </c>
      <c r="S132" s="72" t="s">
        <v>1</v>
      </c>
      <c r="T132" s="72" t="str">
        <f t="shared" si="24"/>
        <v>De Transportes</v>
      </c>
      <c r="U132" s="72" t="str">
        <f t="shared" si="24"/>
        <v>Terrestres</v>
      </c>
      <c r="V132" s="72" t="str">
        <f t="shared" si="24"/>
        <v>Veículos Pesados</v>
      </c>
      <c r="W132" s="72" t="s">
        <v>2136</v>
      </c>
      <c r="X132" s="73" t="str">
        <f t="shared" si="25"/>
        <v>Key-INFRA-132</v>
      </c>
      <c r="Y132" s="72" t="s">
        <v>2032</v>
      </c>
      <c r="Z132" s="99" t="s">
        <v>1</v>
      </c>
      <c r="AA132" s="72" t="s">
        <v>2072</v>
      </c>
      <c r="AB132" s="99" t="s">
        <v>1</v>
      </c>
      <c r="AC132" s="74" t="s">
        <v>1</v>
      </c>
    </row>
    <row r="133" spans="1:29" customFormat="1" ht="6.6" customHeight="1" x14ac:dyDescent="0.25">
      <c r="A133" s="64">
        <v>133</v>
      </c>
      <c r="B133" s="69" t="s">
        <v>2140</v>
      </c>
      <c r="C133" s="78" t="s">
        <v>2176</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2333</v>
      </c>
      <c r="S133" s="72" t="s">
        <v>1</v>
      </c>
      <c r="T133" s="72" t="str">
        <f t="shared" si="24"/>
        <v>De Transportes</v>
      </c>
      <c r="U133" s="72" t="str">
        <f t="shared" si="24"/>
        <v>Terrestres</v>
      </c>
      <c r="V133" s="72" t="str">
        <f t="shared" si="24"/>
        <v>Veículos Pesados</v>
      </c>
      <c r="W133" s="72" t="s">
        <v>2136</v>
      </c>
      <c r="X133" s="73" t="str">
        <f t="shared" si="25"/>
        <v>Key-INFRA-133</v>
      </c>
      <c r="Y133" s="72" t="s">
        <v>2032</v>
      </c>
      <c r="Z133" s="99" t="s">
        <v>1</v>
      </c>
      <c r="AA133" s="72" t="s">
        <v>2072</v>
      </c>
      <c r="AB133" s="99" t="s">
        <v>1</v>
      </c>
      <c r="AC133" s="74" t="s">
        <v>1</v>
      </c>
    </row>
    <row r="134" spans="1:29" customFormat="1" ht="6.6" customHeight="1" x14ac:dyDescent="0.25">
      <c r="A134" s="64">
        <v>134</v>
      </c>
      <c r="B134" s="69" t="s">
        <v>2140</v>
      </c>
      <c r="C134" s="78" t="s">
        <v>2176</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2333</v>
      </c>
      <c r="S134" s="72" t="s">
        <v>1</v>
      </c>
      <c r="T134" s="72" t="str">
        <f t="shared" si="24"/>
        <v>De Transportes</v>
      </c>
      <c r="U134" s="72" t="str">
        <f t="shared" si="24"/>
        <v>Terrestres</v>
      </c>
      <c r="V134" s="72" t="str">
        <f t="shared" si="24"/>
        <v>Veículos Pesados</v>
      </c>
      <c r="W134" s="72" t="s">
        <v>2136</v>
      </c>
      <c r="X134" s="73" t="str">
        <f t="shared" si="25"/>
        <v>Key-INFRA-134</v>
      </c>
      <c r="Y134" s="72" t="s">
        <v>2032</v>
      </c>
      <c r="Z134" s="99" t="s">
        <v>1</v>
      </c>
      <c r="AA134" s="72" t="s">
        <v>2073</v>
      </c>
      <c r="AB134" s="99" t="s">
        <v>1</v>
      </c>
      <c r="AC134" s="74" t="s">
        <v>1</v>
      </c>
    </row>
    <row r="135" spans="1:29" customFormat="1" ht="6.6" customHeight="1" x14ac:dyDescent="0.25">
      <c r="A135" s="64">
        <v>135</v>
      </c>
      <c r="B135" s="69" t="s">
        <v>2140</v>
      </c>
      <c r="C135" s="78" t="s">
        <v>2176</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2334</v>
      </c>
      <c r="S135" s="72" t="s">
        <v>1</v>
      </c>
      <c r="T135" s="72" t="str">
        <f t="shared" si="24"/>
        <v>De Transportes</v>
      </c>
      <c r="U135" s="72" t="str">
        <f t="shared" si="24"/>
        <v>Terrestres</v>
      </c>
      <c r="V135" s="72" t="str">
        <f t="shared" si="24"/>
        <v>Veículos Pesados</v>
      </c>
      <c r="W135" s="72" t="s">
        <v>2136</v>
      </c>
      <c r="X135" s="73" t="str">
        <f t="shared" si="25"/>
        <v>Key-INFRA-135</v>
      </c>
      <c r="Y135" s="72" t="s">
        <v>2032</v>
      </c>
      <c r="Z135" s="99" t="s">
        <v>1</v>
      </c>
      <c r="AA135" s="72" t="s">
        <v>2073</v>
      </c>
      <c r="AB135" s="99" t="s">
        <v>1</v>
      </c>
      <c r="AC135" s="74" t="s">
        <v>1</v>
      </c>
    </row>
    <row r="136" spans="1:29" customFormat="1" ht="6.6" customHeight="1" x14ac:dyDescent="0.25">
      <c r="A136" s="64">
        <v>136</v>
      </c>
      <c r="B136" s="69" t="s">
        <v>2140</v>
      </c>
      <c r="C136" s="78" t="s">
        <v>2176</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2335</v>
      </c>
      <c r="S136" s="72" t="s">
        <v>1</v>
      </c>
      <c r="T136" s="72" t="str">
        <f t="shared" si="24"/>
        <v>De Transportes</v>
      </c>
      <c r="U136" s="72" t="str">
        <f t="shared" si="24"/>
        <v>Terrestres</v>
      </c>
      <c r="V136" s="72" t="str">
        <f t="shared" si="24"/>
        <v>Veículos Pesados</v>
      </c>
      <c r="W136" s="72" t="s">
        <v>2136</v>
      </c>
      <c r="X136" s="73" t="str">
        <f t="shared" si="25"/>
        <v>Key-INFRA-136</v>
      </c>
      <c r="Y136" s="72" t="s">
        <v>2032</v>
      </c>
      <c r="Z136" s="99" t="s">
        <v>1</v>
      </c>
      <c r="AA136" s="72" t="s">
        <v>2073</v>
      </c>
      <c r="AB136" s="99" t="s">
        <v>1</v>
      </c>
      <c r="AC136" s="74" t="s">
        <v>1</v>
      </c>
    </row>
    <row r="137" spans="1:29" customFormat="1" ht="6.6" customHeight="1" x14ac:dyDescent="0.25">
      <c r="A137" s="64">
        <v>137</v>
      </c>
      <c r="B137" s="69" t="s">
        <v>2140</v>
      </c>
      <c r="C137" s="78" t="s">
        <v>2176</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2336</v>
      </c>
      <c r="S137" s="72" t="s">
        <v>1</v>
      </c>
      <c r="T137" s="72" t="str">
        <f t="shared" si="24"/>
        <v>De Transportes</v>
      </c>
      <c r="U137" s="72" t="str">
        <f t="shared" si="24"/>
        <v>Terrestres</v>
      </c>
      <c r="V137" s="72" t="str">
        <f t="shared" si="24"/>
        <v>Veículos Leves</v>
      </c>
      <c r="W137" s="72" t="s">
        <v>2136</v>
      </c>
      <c r="X137" s="73" t="str">
        <f t="shared" si="25"/>
        <v>Key-INFRA-137</v>
      </c>
      <c r="Y137" s="72" t="s">
        <v>2032</v>
      </c>
      <c r="Z137" s="99" t="s">
        <v>1</v>
      </c>
      <c r="AA137" s="72" t="s">
        <v>2073</v>
      </c>
      <c r="AB137" s="99" t="s">
        <v>1</v>
      </c>
      <c r="AC137" s="74" t="s">
        <v>1</v>
      </c>
    </row>
    <row r="138" spans="1:29" customFormat="1" ht="6.6" customHeight="1" x14ac:dyDescent="0.25">
      <c r="A138" s="64">
        <v>138</v>
      </c>
      <c r="B138" s="69" t="s">
        <v>2140</v>
      </c>
      <c r="C138" s="78" t="s">
        <v>2176</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2337</v>
      </c>
      <c r="S138" s="72" t="s">
        <v>1</v>
      </c>
      <c r="T138" s="72" t="str">
        <f t="shared" si="24"/>
        <v>De Transportes</v>
      </c>
      <c r="U138" s="72" t="str">
        <f t="shared" si="24"/>
        <v>Terrestres</v>
      </c>
      <c r="V138" s="72" t="str">
        <f t="shared" si="24"/>
        <v>Veículos Leves</v>
      </c>
      <c r="W138" s="72" t="s">
        <v>2136</v>
      </c>
      <c r="X138" s="73" t="str">
        <f t="shared" si="25"/>
        <v>Key-INFRA-138</v>
      </c>
      <c r="Y138" s="72" t="s">
        <v>2032</v>
      </c>
      <c r="Z138" s="99" t="s">
        <v>1</v>
      </c>
      <c r="AA138" s="72" t="s">
        <v>2073</v>
      </c>
      <c r="AB138" s="99" t="s">
        <v>1</v>
      </c>
      <c r="AC138" s="74" t="s">
        <v>1</v>
      </c>
    </row>
    <row r="139" spans="1:29" customFormat="1" ht="6.6" customHeight="1" x14ac:dyDescent="0.25">
      <c r="A139" s="64">
        <v>139</v>
      </c>
      <c r="B139" s="69" t="s">
        <v>2140</v>
      </c>
      <c r="C139" s="78" t="s">
        <v>2176</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2338</v>
      </c>
      <c r="S139" s="72" t="s">
        <v>1</v>
      </c>
      <c r="T139" s="72" t="str">
        <f t="shared" si="24"/>
        <v>De Transportes</v>
      </c>
      <c r="U139" s="72" t="str">
        <f t="shared" si="24"/>
        <v>Terrestres</v>
      </c>
      <c r="V139" s="72" t="str">
        <f t="shared" si="24"/>
        <v>Veículos Leves</v>
      </c>
      <c r="W139" s="72" t="s">
        <v>2136</v>
      </c>
      <c r="X139" s="73" t="str">
        <f t="shared" si="25"/>
        <v>Key-INFRA-139</v>
      </c>
      <c r="Y139" s="72" t="s">
        <v>2032</v>
      </c>
      <c r="Z139" s="99" t="s">
        <v>1</v>
      </c>
      <c r="AA139" s="72" t="s">
        <v>2073</v>
      </c>
      <c r="AB139" s="99" t="s">
        <v>1</v>
      </c>
      <c r="AC139" s="74" t="s">
        <v>1</v>
      </c>
    </row>
    <row r="140" spans="1:29" customFormat="1" ht="6.6" customHeight="1" x14ac:dyDescent="0.25">
      <c r="A140" s="64">
        <v>140</v>
      </c>
      <c r="B140" s="69" t="s">
        <v>2140</v>
      </c>
      <c r="C140" s="78" t="s">
        <v>2176</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2339</v>
      </c>
      <c r="S140" s="72"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99" t="s">
        <v>1</v>
      </c>
      <c r="AA140" s="72" t="s">
        <v>2073</v>
      </c>
      <c r="AB140" s="99" t="s">
        <v>1</v>
      </c>
      <c r="AC140" s="74" t="s">
        <v>1</v>
      </c>
    </row>
    <row r="141" spans="1:29" customFormat="1" ht="6.6" customHeight="1" x14ac:dyDescent="0.25">
      <c r="A141" s="64">
        <v>141</v>
      </c>
      <c r="B141" s="69" t="s">
        <v>2140</v>
      </c>
      <c r="C141" s="78" t="s">
        <v>2176</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2339</v>
      </c>
      <c r="S141" s="72" t="s">
        <v>1</v>
      </c>
      <c r="T141" s="72" t="str">
        <f t="shared" si="26"/>
        <v>De Transportes</v>
      </c>
      <c r="U141" s="72" t="str">
        <f t="shared" si="26"/>
        <v>Terrestres</v>
      </c>
      <c r="V141" s="72" t="str">
        <f t="shared" si="26"/>
        <v>Veículos Leves</v>
      </c>
      <c r="W141" s="72" t="s">
        <v>2136</v>
      </c>
      <c r="X141" s="73" t="str">
        <f t="shared" si="25"/>
        <v>Key-INFRA-141</v>
      </c>
      <c r="Y141" s="72" t="s">
        <v>2032</v>
      </c>
      <c r="Z141" s="99" t="s">
        <v>1</v>
      </c>
      <c r="AA141" s="72" t="s">
        <v>2073</v>
      </c>
      <c r="AB141" s="99" t="s">
        <v>1</v>
      </c>
      <c r="AC141" s="74" t="s">
        <v>1</v>
      </c>
    </row>
    <row r="142" spans="1:29" customFormat="1" ht="6.6" customHeight="1" x14ac:dyDescent="0.25">
      <c r="A142" s="64">
        <v>142</v>
      </c>
      <c r="B142" s="69" t="s">
        <v>2140</v>
      </c>
      <c r="C142" s="78" t="s">
        <v>2176</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2340</v>
      </c>
      <c r="S142" s="72" t="s">
        <v>1</v>
      </c>
      <c r="T142" s="72" t="str">
        <f t="shared" si="26"/>
        <v>De Transportes</v>
      </c>
      <c r="U142" s="72" t="str">
        <f t="shared" si="26"/>
        <v>Terrestres</v>
      </c>
      <c r="V142" s="72" t="str">
        <f t="shared" si="26"/>
        <v>Veículos Leves</v>
      </c>
      <c r="W142" s="72" t="s">
        <v>2136</v>
      </c>
      <c r="X142" s="73" t="str">
        <f t="shared" si="25"/>
        <v>Key-INFRA-142</v>
      </c>
      <c r="Y142" s="72" t="s">
        <v>2032</v>
      </c>
      <c r="Z142" s="99" t="s">
        <v>1</v>
      </c>
      <c r="AA142" s="72" t="s">
        <v>2073</v>
      </c>
      <c r="AB142" s="99" t="s">
        <v>1</v>
      </c>
      <c r="AC142" s="74" t="s">
        <v>1</v>
      </c>
    </row>
    <row r="143" spans="1:29" customFormat="1" ht="6.6" customHeight="1" x14ac:dyDescent="0.25">
      <c r="A143" s="64">
        <v>143</v>
      </c>
      <c r="B143" s="69" t="s">
        <v>2140</v>
      </c>
      <c r="C143" s="78" t="s">
        <v>2176</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2341</v>
      </c>
      <c r="S143" s="72" t="s">
        <v>1</v>
      </c>
      <c r="T143" s="72" t="str">
        <f t="shared" si="26"/>
        <v>De Transportes</v>
      </c>
      <c r="U143" s="72" t="str">
        <f t="shared" si="26"/>
        <v>Terrestres</v>
      </c>
      <c r="V143" s="72" t="str">
        <f t="shared" si="26"/>
        <v>Veículos Leves</v>
      </c>
      <c r="W143" s="72" t="s">
        <v>2136</v>
      </c>
      <c r="X143" s="73" t="str">
        <f t="shared" si="25"/>
        <v>Key-INFRA-143</v>
      </c>
      <c r="Y143" s="72" t="s">
        <v>2032</v>
      </c>
      <c r="Z143" s="99" t="s">
        <v>1</v>
      </c>
      <c r="AA143" s="72" t="s">
        <v>2073</v>
      </c>
      <c r="AB143" s="99" t="s">
        <v>1</v>
      </c>
      <c r="AC143" s="74" t="s">
        <v>1</v>
      </c>
    </row>
    <row r="144" spans="1:29" customFormat="1" ht="6.6" customHeight="1" x14ac:dyDescent="0.25">
      <c r="A144" s="64">
        <v>144</v>
      </c>
      <c r="B144" s="69" t="s">
        <v>2140</v>
      </c>
      <c r="C144" s="78" t="s">
        <v>2176</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2342</v>
      </c>
      <c r="S144" s="72" t="s">
        <v>1</v>
      </c>
      <c r="T144" s="72" t="str">
        <f t="shared" si="26"/>
        <v>De Transportes</v>
      </c>
      <c r="U144" s="72" t="str">
        <f t="shared" si="26"/>
        <v>Terrestres</v>
      </c>
      <c r="V144" s="72" t="str">
        <f t="shared" si="26"/>
        <v>Veículos Leves</v>
      </c>
      <c r="W144" s="72" t="s">
        <v>2136</v>
      </c>
      <c r="X144" s="73" t="str">
        <f t="shared" si="25"/>
        <v>Key-INFRA-144</v>
      </c>
      <c r="Y144" s="72" t="s">
        <v>2032</v>
      </c>
      <c r="Z144" s="99" t="s">
        <v>1</v>
      </c>
      <c r="AA144" s="72" t="s">
        <v>2074</v>
      </c>
      <c r="AB144" s="99" t="s">
        <v>1</v>
      </c>
      <c r="AC144" s="74" t="s">
        <v>1</v>
      </c>
    </row>
    <row r="145" spans="1:29" customFormat="1" ht="6.6" customHeight="1" x14ac:dyDescent="0.25">
      <c r="A145" s="64">
        <v>145</v>
      </c>
      <c r="B145" s="69" t="s">
        <v>2140</v>
      </c>
      <c r="C145" s="78" t="s">
        <v>2176</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2343</v>
      </c>
      <c r="S145" s="72" t="s">
        <v>1</v>
      </c>
      <c r="T145" s="72" t="str">
        <f t="shared" si="26"/>
        <v>De Transportes</v>
      </c>
      <c r="U145" s="72" t="str">
        <f t="shared" si="26"/>
        <v>Aquáticos</v>
      </c>
      <c r="V145" s="72" t="str">
        <f t="shared" si="26"/>
        <v>Navios</v>
      </c>
      <c r="W145" s="72" t="s">
        <v>2136</v>
      </c>
      <c r="X145" s="73" t="str">
        <f t="shared" si="25"/>
        <v>Key-INFRA-145</v>
      </c>
      <c r="Y145" s="72" t="s">
        <v>2032</v>
      </c>
      <c r="Z145" s="99" t="s">
        <v>1</v>
      </c>
      <c r="AA145" s="72" t="s">
        <v>2074</v>
      </c>
      <c r="AB145" s="99" t="s">
        <v>1</v>
      </c>
      <c r="AC145" s="74" t="s">
        <v>1</v>
      </c>
    </row>
    <row r="146" spans="1:29" customFormat="1" ht="6.6" customHeight="1" x14ac:dyDescent="0.25">
      <c r="A146" s="64">
        <v>146</v>
      </c>
      <c r="B146" s="69" t="s">
        <v>2140</v>
      </c>
      <c r="C146" s="78" t="s">
        <v>2176</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2344</v>
      </c>
      <c r="S146" s="72" t="s">
        <v>1</v>
      </c>
      <c r="T146" s="72" t="str">
        <f t="shared" si="26"/>
        <v>De Transportes</v>
      </c>
      <c r="U146" s="72" t="str">
        <f t="shared" si="26"/>
        <v>Aquáticos</v>
      </c>
      <c r="V146" s="72" t="str">
        <f t="shared" si="26"/>
        <v>Navios</v>
      </c>
      <c r="W146" s="72" t="s">
        <v>2136</v>
      </c>
      <c r="X146" s="73" t="str">
        <f t="shared" si="25"/>
        <v>Key-INFRA-146</v>
      </c>
      <c r="Y146" s="72" t="s">
        <v>2032</v>
      </c>
      <c r="Z146" s="99" t="s">
        <v>1</v>
      </c>
      <c r="AA146" s="72" t="s">
        <v>2074</v>
      </c>
      <c r="AB146" s="99" t="s">
        <v>1</v>
      </c>
      <c r="AC146" s="74" t="s">
        <v>1</v>
      </c>
    </row>
    <row r="147" spans="1:29" customFormat="1" ht="6.6" customHeight="1" x14ac:dyDescent="0.25">
      <c r="A147" s="64">
        <v>147</v>
      </c>
      <c r="B147" s="69" t="s">
        <v>2140</v>
      </c>
      <c r="C147" s="78" t="s">
        <v>2176</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2345</v>
      </c>
      <c r="S147" s="72" t="s">
        <v>1</v>
      </c>
      <c r="T147" s="72" t="str">
        <f t="shared" si="26"/>
        <v>De Transportes</v>
      </c>
      <c r="U147" s="72" t="str">
        <f t="shared" si="26"/>
        <v>Aquáticos</v>
      </c>
      <c r="V147" s="72" t="str">
        <f t="shared" si="26"/>
        <v>Navios</v>
      </c>
      <c r="W147" s="72" t="s">
        <v>2136</v>
      </c>
      <c r="X147" s="73" t="str">
        <f t="shared" si="25"/>
        <v>Key-INFRA-147</v>
      </c>
      <c r="Y147" s="72" t="s">
        <v>2032</v>
      </c>
      <c r="Z147" s="99" t="s">
        <v>1</v>
      </c>
      <c r="AA147" s="72" t="s">
        <v>2074</v>
      </c>
      <c r="AB147" s="99" t="s">
        <v>1</v>
      </c>
      <c r="AC147" s="74" t="s">
        <v>1</v>
      </c>
    </row>
    <row r="148" spans="1:29" customFormat="1" ht="6.6" customHeight="1" x14ac:dyDescent="0.25">
      <c r="A148" s="64">
        <v>148</v>
      </c>
      <c r="B148" s="69" t="s">
        <v>2140</v>
      </c>
      <c r="C148" s="78" t="s">
        <v>2176</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2346</v>
      </c>
      <c r="S148" s="72" t="s">
        <v>1</v>
      </c>
      <c r="T148" s="72" t="str">
        <f t="shared" si="26"/>
        <v>De Transportes</v>
      </c>
      <c r="U148" s="72" t="str">
        <f t="shared" si="26"/>
        <v>Aquáticos</v>
      </c>
      <c r="V148" s="72" t="str">
        <f t="shared" si="26"/>
        <v>Navios</v>
      </c>
      <c r="W148" s="72" t="s">
        <v>2136</v>
      </c>
      <c r="X148" s="73" t="str">
        <f t="shared" si="25"/>
        <v>Key-INFRA-148</v>
      </c>
      <c r="Y148" s="72" t="s">
        <v>2032</v>
      </c>
      <c r="Z148" s="99" t="s">
        <v>1</v>
      </c>
      <c r="AA148" s="72" t="s">
        <v>2074</v>
      </c>
      <c r="AB148" s="99" t="s">
        <v>1</v>
      </c>
      <c r="AC148" s="74" t="s">
        <v>1</v>
      </c>
    </row>
    <row r="149" spans="1:29" customFormat="1" ht="6.6" customHeight="1" x14ac:dyDescent="0.25">
      <c r="A149" s="64">
        <v>149</v>
      </c>
      <c r="B149" s="69" t="s">
        <v>2140</v>
      </c>
      <c r="C149" s="78" t="s">
        <v>2176</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2347</v>
      </c>
      <c r="S149" s="72" t="s">
        <v>1</v>
      </c>
      <c r="T149" s="72" t="str">
        <f t="shared" si="26"/>
        <v>De Transportes</v>
      </c>
      <c r="U149" s="72" t="str">
        <f t="shared" si="26"/>
        <v>Aquáticos</v>
      </c>
      <c r="V149" s="72" t="str">
        <f t="shared" si="26"/>
        <v>Navios</v>
      </c>
      <c r="W149" s="72" t="s">
        <v>2136</v>
      </c>
      <c r="X149" s="73" t="str">
        <f t="shared" si="25"/>
        <v>Key-INFRA-149</v>
      </c>
      <c r="Y149" s="72" t="s">
        <v>2032</v>
      </c>
      <c r="Z149" s="99" t="s">
        <v>1</v>
      </c>
      <c r="AA149" s="72" t="s">
        <v>2074</v>
      </c>
      <c r="AB149" s="99" t="s">
        <v>1</v>
      </c>
      <c r="AC149" s="74" t="s">
        <v>1</v>
      </c>
    </row>
    <row r="150" spans="1:29" customFormat="1" ht="6.6" customHeight="1" x14ac:dyDescent="0.25">
      <c r="A150" s="64">
        <v>150</v>
      </c>
      <c r="B150" s="69" t="s">
        <v>2140</v>
      </c>
      <c r="C150" s="78" t="s">
        <v>2176</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2348</v>
      </c>
      <c r="S150" s="72" t="s">
        <v>1</v>
      </c>
      <c r="T150" s="72" t="str">
        <f t="shared" si="26"/>
        <v>De Transportes</v>
      </c>
      <c r="U150" s="72" t="str">
        <f t="shared" si="26"/>
        <v>Aquáticos</v>
      </c>
      <c r="V150" s="72" t="str">
        <f t="shared" si="26"/>
        <v>Navios</v>
      </c>
      <c r="W150" s="72" t="s">
        <v>2136</v>
      </c>
      <c r="X150" s="73" t="str">
        <f t="shared" si="25"/>
        <v>Key-INFRA-150</v>
      </c>
      <c r="Y150" s="72" t="s">
        <v>2032</v>
      </c>
      <c r="Z150" s="99" t="s">
        <v>1</v>
      </c>
      <c r="AA150" s="72" t="s">
        <v>2074</v>
      </c>
      <c r="AB150" s="99" t="s">
        <v>1</v>
      </c>
      <c r="AC150" s="74" t="s">
        <v>1</v>
      </c>
    </row>
    <row r="151" spans="1:29" customFormat="1" ht="6.6" customHeight="1" x14ac:dyDescent="0.25">
      <c r="A151" s="64">
        <v>151</v>
      </c>
      <c r="B151" s="69" t="s">
        <v>2140</v>
      </c>
      <c r="C151" s="78" t="s">
        <v>2176</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2349</v>
      </c>
      <c r="S151" s="72" t="s">
        <v>1</v>
      </c>
      <c r="T151" s="72" t="str">
        <f t="shared" si="26"/>
        <v>De Transportes</v>
      </c>
      <c r="U151" s="72" t="str">
        <f t="shared" si="26"/>
        <v>Aquáticos</v>
      </c>
      <c r="V151" s="72" t="str">
        <f t="shared" si="26"/>
        <v>Navios</v>
      </c>
      <c r="W151" s="72" t="s">
        <v>2136</v>
      </c>
      <c r="X151" s="73" t="str">
        <f t="shared" si="25"/>
        <v>Key-INFRA-151</v>
      </c>
      <c r="Y151" s="72" t="s">
        <v>2032</v>
      </c>
      <c r="Z151" s="99" t="s">
        <v>1</v>
      </c>
      <c r="AA151" s="72" t="s">
        <v>2074</v>
      </c>
      <c r="AB151" s="99" t="s">
        <v>1</v>
      </c>
      <c r="AC151" s="74" t="s">
        <v>1</v>
      </c>
    </row>
    <row r="152" spans="1:29" customFormat="1" ht="6.6" customHeight="1" x14ac:dyDescent="0.25">
      <c r="A152" s="64">
        <v>152</v>
      </c>
      <c r="B152" s="69" t="s">
        <v>2140</v>
      </c>
      <c r="C152" s="78" t="s">
        <v>2176</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2350</v>
      </c>
      <c r="S152" s="72" t="s">
        <v>1</v>
      </c>
      <c r="T152" s="72" t="str">
        <f t="shared" si="26"/>
        <v>De Transportes</v>
      </c>
      <c r="U152" s="72" t="str">
        <f t="shared" si="26"/>
        <v>Aquáticos</v>
      </c>
      <c r="V152" s="72" t="str">
        <f t="shared" si="26"/>
        <v>Navios</v>
      </c>
      <c r="W152" s="72" t="s">
        <v>2136</v>
      </c>
      <c r="X152" s="73" t="str">
        <f t="shared" si="25"/>
        <v>Key-INFRA-152</v>
      </c>
      <c r="Y152" s="72" t="s">
        <v>2032</v>
      </c>
      <c r="Z152" s="99" t="s">
        <v>1</v>
      </c>
      <c r="AA152" s="72" t="s">
        <v>2074</v>
      </c>
      <c r="AB152" s="99" t="s">
        <v>1</v>
      </c>
      <c r="AC152" s="74" t="s">
        <v>1</v>
      </c>
    </row>
    <row r="153" spans="1:29" customFormat="1" ht="6.6" customHeight="1" x14ac:dyDescent="0.25">
      <c r="A153" s="64">
        <v>153</v>
      </c>
      <c r="B153" s="69" t="s">
        <v>2140</v>
      </c>
      <c r="C153" s="78" t="s">
        <v>2176</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2351</v>
      </c>
      <c r="S153" s="72" t="s">
        <v>1</v>
      </c>
      <c r="T153" s="72" t="str">
        <f t="shared" si="26"/>
        <v>De Transportes</v>
      </c>
      <c r="U153" s="72" t="str">
        <f t="shared" si="26"/>
        <v>Aquáticos</v>
      </c>
      <c r="V153" s="72" t="str">
        <f t="shared" si="26"/>
        <v>Navios</v>
      </c>
      <c r="W153" s="72" t="s">
        <v>2136</v>
      </c>
      <c r="X153" s="73" t="str">
        <f t="shared" si="25"/>
        <v>Key-INFRA-153</v>
      </c>
      <c r="Y153" s="72" t="s">
        <v>2032</v>
      </c>
      <c r="Z153" s="99" t="s">
        <v>1</v>
      </c>
      <c r="AA153" s="72" t="s">
        <v>2074</v>
      </c>
      <c r="AB153" s="99" t="s">
        <v>1</v>
      </c>
      <c r="AC153" s="74" t="s">
        <v>1</v>
      </c>
    </row>
    <row r="154" spans="1:29" customFormat="1" ht="6.6" customHeight="1" x14ac:dyDescent="0.25">
      <c r="A154" s="64">
        <v>154</v>
      </c>
      <c r="B154" s="69" t="s">
        <v>2140</v>
      </c>
      <c r="C154" s="78" t="s">
        <v>2176</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2352</v>
      </c>
      <c r="S154" s="72" t="s">
        <v>1</v>
      </c>
      <c r="T154" s="72" t="str">
        <f t="shared" si="26"/>
        <v>De Transportes</v>
      </c>
      <c r="U154" s="72" t="str">
        <f t="shared" si="26"/>
        <v>Aquáticos</v>
      </c>
      <c r="V154" s="72" t="str">
        <f t="shared" si="26"/>
        <v>Navios</v>
      </c>
      <c r="W154" s="72" t="s">
        <v>2136</v>
      </c>
      <c r="X154" s="73" t="str">
        <f t="shared" si="25"/>
        <v>Key-INFRA-154</v>
      </c>
      <c r="Y154" s="72" t="s">
        <v>2032</v>
      </c>
      <c r="Z154" s="99" t="s">
        <v>1</v>
      </c>
      <c r="AA154" s="72" t="s">
        <v>2074</v>
      </c>
      <c r="AB154" s="99" t="s">
        <v>1</v>
      </c>
      <c r="AC154" s="74" t="s">
        <v>1</v>
      </c>
    </row>
    <row r="155" spans="1:29" customFormat="1" ht="6.6" customHeight="1" x14ac:dyDescent="0.25">
      <c r="A155" s="64">
        <v>155</v>
      </c>
      <c r="B155" s="69" t="s">
        <v>2140</v>
      </c>
      <c r="C155" s="78" t="s">
        <v>2176</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2353</v>
      </c>
      <c r="S155" s="72" t="s">
        <v>1</v>
      </c>
      <c r="T155" s="72" t="str">
        <f t="shared" si="26"/>
        <v>De Transportes</v>
      </c>
      <c r="U155" s="72" t="str">
        <f t="shared" si="26"/>
        <v>Aquáticos</v>
      </c>
      <c r="V155" s="72" t="str">
        <f t="shared" si="26"/>
        <v>Navios</v>
      </c>
      <c r="W155" s="72" t="s">
        <v>2136</v>
      </c>
      <c r="X155" s="73" t="str">
        <f t="shared" si="25"/>
        <v>Key-INFRA-155</v>
      </c>
      <c r="Y155" s="72" t="s">
        <v>2032</v>
      </c>
      <c r="Z155" s="99" t="s">
        <v>1</v>
      </c>
      <c r="AA155" s="72" t="s">
        <v>2074</v>
      </c>
      <c r="AB155" s="99" t="s">
        <v>1</v>
      </c>
      <c r="AC155" s="74" t="s">
        <v>1</v>
      </c>
    </row>
    <row r="156" spans="1:29" customFormat="1" ht="6.6" customHeight="1" x14ac:dyDescent="0.25">
      <c r="A156" s="64">
        <v>156</v>
      </c>
      <c r="B156" s="69" t="s">
        <v>2140</v>
      </c>
      <c r="C156" s="78" t="s">
        <v>2176</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2354</v>
      </c>
      <c r="S156" s="72" t="s">
        <v>1</v>
      </c>
      <c r="T156" s="72" t="str">
        <f t="shared" si="26"/>
        <v>De Transportes</v>
      </c>
      <c r="U156" s="72" t="str">
        <f t="shared" si="26"/>
        <v>Aquáticos</v>
      </c>
      <c r="V156" s="72" t="str">
        <f t="shared" si="26"/>
        <v>Navios</v>
      </c>
      <c r="W156" s="72" t="s">
        <v>2136</v>
      </c>
      <c r="X156" s="73" t="str">
        <f t="shared" si="25"/>
        <v>Key-INFRA-156</v>
      </c>
      <c r="Y156" s="72" t="s">
        <v>2032</v>
      </c>
      <c r="Z156" s="99" t="s">
        <v>1</v>
      </c>
      <c r="AA156" s="72" t="s">
        <v>2074</v>
      </c>
      <c r="AB156" s="99" t="s">
        <v>1</v>
      </c>
      <c r="AC156" s="74" t="s">
        <v>1</v>
      </c>
    </row>
    <row r="157" spans="1:29" customFormat="1" ht="6.6" customHeight="1" x14ac:dyDescent="0.25">
      <c r="A157" s="64">
        <v>157</v>
      </c>
      <c r="B157" s="69" t="s">
        <v>2140</v>
      </c>
      <c r="C157" s="78" t="s">
        <v>2176</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2355</v>
      </c>
      <c r="S157" s="72" t="s">
        <v>1</v>
      </c>
      <c r="T157" s="72" t="str">
        <f t="shared" si="26"/>
        <v>De Transportes</v>
      </c>
      <c r="U157" s="72" t="str">
        <f t="shared" si="26"/>
        <v>Aquáticos</v>
      </c>
      <c r="V157" s="72" t="str">
        <f t="shared" si="26"/>
        <v>Navios</v>
      </c>
      <c r="W157" s="72" t="s">
        <v>2136</v>
      </c>
      <c r="X157" s="73" t="str">
        <f t="shared" si="25"/>
        <v>Key-INFRA-157</v>
      </c>
      <c r="Y157" s="72" t="s">
        <v>2032</v>
      </c>
      <c r="Z157" s="99" t="s">
        <v>1</v>
      </c>
      <c r="AA157" s="72" t="s">
        <v>2074</v>
      </c>
      <c r="AB157" s="99" t="s">
        <v>1</v>
      </c>
      <c r="AC157" s="74" t="s">
        <v>1</v>
      </c>
    </row>
    <row r="158" spans="1:29" customFormat="1" ht="6.6" customHeight="1" x14ac:dyDescent="0.25">
      <c r="A158" s="64">
        <v>158</v>
      </c>
      <c r="B158" s="69" t="s">
        <v>2140</v>
      </c>
      <c r="C158" s="78" t="s">
        <v>2176</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2356</v>
      </c>
      <c r="S158" s="72" t="s">
        <v>1</v>
      </c>
      <c r="T158" s="72" t="str">
        <f t="shared" si="26"/>
        <v>De Transportes</v>
      </c>
      <c r="U158" s="72" t="str">
        <f t="shared" si="26"/>
        <v>Aquáticos</v>
      </c>
      <c r="V158" s="72" t="str">
        <f t="shared" si="26"/>
        <v>Navios</v>
      </c>
      <c r="W158" s="72" t="s">
        <v>2136</v>
      </c>
      <c r="X158" s="73" t="str">
        <f t="shared" si="25"/>
        <v>Key-INFRA-158</v>
      </c>
      <c r="Y158" s="72" t="s">
        <v>2032</v>
      </c>
      <c r="Z158" s="99" t="s">
        <v>1</v>
      </c>
      <c r="AA158" s="72" t="s">
        <v>2074</v>
      </c>
      <c r="AB158" s="99" t="s">
        <v>1</v>
      </c>
      <c r="AC158" s="74" t="s">
        <v>1</v>
      </c>
    </row>
    <row r="159" spans="1:29" customFormat="1" ht="6.6" customHeight="1" x14ac:dyDescent="0.25">
      <c r="A159" s="64">
        <v>159</v>
      </c>
      <c r="B159" s="69" t="s">
        <v>2140</v>
      </c>
      <c r="C159" s="78" t="s">
        <v>2176</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2357</v>
      </c>
      <c r="S159" s="72" t="s">
        <v>1</v>
      </c>
      <c r="T159" s="72" t="str">
        <f t="shared" si="26"/>
        <v>De Transportes</v>
      </c>
      <c r="U159" s="72" t="str">
        <f t="shared" si="26"/>
        <v>Aquáticos</v>
      </c>
      <c r="V159" s="72" t="str">
        <f t="shared" si="26"/>
        <v>Navios</v>
      </c>
      <c r="W159" s="72" t="s">
        <v>2136</v>
      </c>
      <c r="X159" s="73" t="str">
        <f t="shared" si="25"/>
        <v>Key-INFRA-159</v>
      </c>
      <c r="Y159" s="72" t="s">
        <v>2032</v>
      </c>
      <c r="Z159" s="99" t="s">
        <v>1</v>
      </c>
      <c r="AA159" s="72" t="s">
        <v>2074</v>
      </c>
      <c r="AB159" s="99" t="s">
        <v>1</v>
      </c>
      <c r="AC159" s="74" t="s">
        <v>1</v>
      </c>
    </row>
    <row r="160" spans="1:29" customFormat="1" ht="6.6" customHeight="1" x14ac:dyDescent="0.25">
      <c r="A160" s="64">
        <v>160</v>
      </c>
      <c r="B160" s="69" t="s">
        <v>2140</v>
      </c>
      <c r="C160" s="78" t="s">
        <v>2176</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2358</v>
      </c>
      <c r="S160" s="72" t="s">
        <v>1</v>
      </c>
      <c r="T160" s="72" t="str">
        <f t="shared" si="26"/>
        <v>De Transportes</v>
      </c>
      <c r="U160" s="72" t="str">
        <f t="shared" si="26"/>
        <v>Aquáticos</v>
      </c>
      <c r="V160" s="72" t="str">
        <f t="shared" si="26"/>
        <v>Navios</v>
      </c>
      <c r="W160" s="72" t="s">
        <v>2136</v>
      </c>
      <c r="X160" s="73" t="str">
        <f t="shared" si="25"/>
        <v>Key-INFRA-160</v>
      </c>
      <c r="Y160" s="72" t="s">
        <v>2032</v>
      </c>
      <c r="Z160" s="99" t="s">
        <v>1</v>
      </c>
      <c r="AA160" s="72" t="s">
        <v>2074</v>
      </c>
      <c r="AB160" s="99" t="s">
        <v>1</v>
      </c>
      <c r="AC160" s="74" t="s">
        <v>1</v>
      </c>
    </row>
    <row r="161" spans="1:29" customFormat="1" ht="6.6" customHeight="1" x14ac:dyDescent="0.25">
      <c r="A161" s="64">
        <v>161</v>
      </c>
      <c r="B161" s="69" t="s">
        <v>2140</v>
      </c>
      <c r="C161" s="78" t="s">
        <v>2176</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2359</v>
      </c>
      <c r="S161" s="72" t="s">
        <v>1</v>
      </c>
      <c r="T161" s="72" t="str">
        <f t="shared" si="26"/>
        <v>De Transportes</v>
      </c>
      <c r="U161" s="72" t="str">
        <f t="shared" si="26"/>
        <v>Aquáticos</v>
      </c>
      <c r="V161" s="72" t="str">
        <f t="shared" si="26"/>
        <v>Navios</v>
      </c>
      <c r="W161" s="72" t="s">
        <v>2136</v>
      </c>
      <c r="X161" s="73" t="str">
        <f t="shared" si="25"/>
        <v>Key-INFRA-161</v>
      </c>
      <c r="Y161" s="72" t="s">
        <v>2032</v>
      </c>
      <c r="Z161" s="99" t="s">
        <v>1</v>
      </c>
      <c r="AA161" s="72" t="s">
        <v>2074</v>
      </c>
      <c r="AB161" s="99" t="s">
        <v>1</v>
      </c>
      <c r="AC161" s="74" t="s">
        <v>1</v>
      </c>
    </row>
    <row r="162" spans="1:29" customFormat="1" ht="6.6" customHeight="1" x14ac:dyDescent="0.25">
      <c r="A162" s="64">
        <v>162</v>
      </c>
      <c r="B162" s="69" t="s">
        <v>2140</v>
      </c>
      <c r="C162" s="78" t="s">
        <v>2176</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2360</v>
      </c>
      <c r="S162" s="72" t="s">
        <v>1</v>
      </c>
      <c r="T162" s="72" t="str">
        <f t="shared" si="26"/>
        <v>De Transportes</v>
      </c>
      <c r="U162" s="72" t="str">
        <f t="shared" si="26"/>
        <v>Aquáticos</v>
      </c>
      <c r="V162" s="72" t="str">
        <f t="shared" si="26"/>
        <v>Embarcações</v>
      </c>
      <c r="W162" s="72" t="s">
        <v>2136</v>
      </c>
      <c r="X162" s="73" t="str">
        <f t="shared" si="25"/>
        <v>Key-INFRA-162</v>
      </c>
      <c r="Y162" s="72" t="s">
        <v>2032</v>
      </c>
      <c r="Z162" s="99" t="s">
        <v>1</v>
      </c>
      <c r="AA162" s="72" t="s">
        <v>2074</v>
      </c>
      <c r="AB162" s="99" t="s">
        <v>1</v>
      </c>
      <c r="AC162" s="74" t="s">
        <v>1</v>
      </c>
    </row>
    <row r="163" spans="1:29" customFormat="1" ht="6.6" customHeight="1" x14ac:dyDescent="0.25">
      <c r="A163" s="64">
        <v>163</v>
      </c>
      <c r="B163" s="69" t="s">
        <v>2140</v>
      </c>
      <c r="C163" s="78" t="s">
        <v>2176</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2361</v>
      </c>
      <c r="S163" s="72" t="s">
        <v>1</v>
      </c>
      <c r="T163" s="72" t="str">
        <f t="shared" si="26"/>
        <v>De Transportes</v>
      </c>
      <c r="U163" s="72" t="str">
        <f t="shared" si="26"/>
        <v>Aquáticos</v>
      </c>
      <c r="V163" s="72" t="str">
        <f t="shared" si="26"/>
        <v>Embarcações</v>
      </c>
      <c r="W163" s="72" t="s">
        <v>2136</v>
      </c>
      <c r="X163" s="73" t="str">
        <f t="shared" si="25"/>
        <v>Key-INFRA-163</v>
      </c>
      <c r="Y163" s="72" t="s">
        <v>2032</v>
      </c>
      <c r="Z163" s="99" t="s">
        <v>1</v>
      </c>
      <c r="AA163" s="72" t="s">
        <v>2074</v>
      </c>
      <c r="AB163" s="99" t="s">
        <v>1</v>
      </c>
      <c r="AC163" s="74" t="s">
        <v>1</v>
      </c>
    </row>
    <row r="164" spans="1:29" customFormat="1" ht="6.6" customHeight="1" x14ac:dyDescent="0.25">
      <c r="A164" s="64">
        <v>164</v>
      </c>
      <c r="B164" s="69" t="s">
        <v>2140</v>
      </c>
      <c r="C164" s="78" t="s">
        <v>2176</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2362</v>
      </c>
      <c r="S164" s="72" t="s">
        <v>1</v>
      </c>
      <c r="T164" s="72" t="str">
        <f t="shared" si="26"/>
        <v>De Transportes</v>
      </c>
      <c r="U164" s="72" t="str">
        <f t="shared" si="26"/>
        <v>Aquáticos</v>
      </c>
      <c r="V164" s="72" t="str">
        <f t="shared" si="26"/>
        <v>Embarcações</v>
      </c>
      <c r="W164" s="72" t="s">
        <v>2136</v>
      </c>
      <c r="X164" s="73" t="str">
        <f t="shared" si="25"/>
        <v>Key-INFRA-164</v>
      </c>
      <c r="Y164" s="72" t="s">
        <v>2032</v>
      </c>
      <c r="Z164" s="99" t="s">
        <v>1</v>
      </c>
      <c r="AA164" s="72" t="s">
        <v>2074</v>
      </c>
      <c r="AB164" s="99" t="s">
        <v>1</v>
      </c>
      <c r="AC164" s="74" t="s">
        <v>1</v>
      </c>
    </row>
    <row r="165" spans="1:29" customFormat="1" ht="6.6" customHeight="1" x14ac:dyDescent="0.25">
      <c r="A165" s="64">
        <v>165</v>
      </c>
      <c r="B165" s="69" t="s">
        <v>2140</v>
      </c>
      <c r="C165" s="78" t="s">
        <v>2176</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2363</v>
      </c>
      <c r="S165" s="72" t="s">
        <v>1</v>
      </c>
      <c r="T165" s="72" t="str">
        <f t="shared" si="26"/>
        <v>De Transportes</v>
      </c>
      <c r="U165" s="72" t="str">
        <f t="shared" si="26"/>
        <v>Aquáticos</v>
      </c>
      <c r="V165" s="72" t="str">
        <f t="shared" si="26"/>
        <v>Embarcações</v>
      </c>
      <c r="W165" s="72" t="s">
        <v>2136</v>
      </c>
      <c r="X165" s="73" t="str">
        <f t="shared" si="25"/>
        <v>Key-INFRA-165</v>
      </c>
      <c r="Y165" s="72" t="s">
        <v>2032</v>
      </c>
      <c r="Z165" s="99" t="s">
        <v>1</v>
      </c>
      <c r="AA165" s="72" t="s">
        <v>2074</v>
      </c>
      <c r="AB165" s="99" t="s">
        <v>1</v>
      </c>
      <c r="AC165" s="74" t="s">
        <v>1</v>
      </c>
    </row>
    <row r="166" spans="1:29" customFormat="1" ht="6.6" customHeight="1" x14ac:dyDescent="0.25">
      <c r="A166" s="64">
        <v>166</v>
      </c>
      <c r="B166" s="69" t="s">
        <v>2140</v>
      </c>
      <c r="C166" s="78" t="s">
        <v>2176</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2364</v>
      </c>
      <c r="S166" s="72" t="s">
        <v>1</v>
      </c>
      <c r="T166" s="72" t="str">
        <f t="shared" si="26"/>
        <v>De Transportes</v>
      </c>
      <c r="U166" s="72" t="str">
        <f t="shared" si="26"/>
        <v>Aquáticos</v>
      </c>
      <c r="V166" s="72" t="str">
        <f t="shared" si="26"/>
        <v>Embarcações</v>
      </c>
      <c r="W166" s="72" t="s">
        <v>2136</v>
      </c>
      <c r="X166" s="73" t="str">
        <f t="shared" si="25"/>
        <v>Key-INFRA-166</v>
      </c>
      <c r="Y166" s="72" t="s">
        <v>2032</v>
      </c>
      <c r="Z166" s="99" t="s">
        <v>1</v>
      </c>
      <c r="AA166" s="72" t="s">
        <v>2074</v>
      </c>
      <c r="AB166" s="99" t="s">
        <v>1</v>
      </c>
      <c r="AC166" s="74" t="s">
        <v>1</v>
      </c>
    </row>
    <row r="167" spans="1:29" customFormat="1" ht="6.6" customHeight="1" x14ac:dyDescent="0.25">
      <c r="A167" s="64">
        <v>167</v>
      </c>
      <c r="B167" s="69" t="s">
        <v>2140</v>
      </c>
      <c r="C167" s="78" t="s">
        <v>2176</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2365</v>
      </c>
      <c r="S167" s="72" t="s">
        <v>1</v>
      </c>
      <c r="T167" s="72" t="str">
        <f t="shared" si="26"/>
        <v>De Transportes</v>
      </c>
      <c r="U167" s="72" t="str">
        <f t="shared" si="26"/>
        <v>Aquáticos</v>
      </c>
      <c r="V167" s="72" t="str">
        <f t="shared" si="26"/>
        <v>Embarcações</v>
      </c>
      <c r="W167" s="72" t="s">
        <v>2136</v>
      </c>
      <c r="X167" s="73" t="str">
        <f t="shared" si="25"/>
        <v>Key-INFRA-167</v>
      </c>
      <c r="Y167" s="72" t="s">
        <v>2032</v>
      </c>
      <c r="Z167" s="99" t="s">
        <v>1</v>
      </c>
      <c r="AA167" s="72" t="s">
        <v>2074</v>
      </c>
      <c r="AB167" s="99" t="s">
        <v>1</v>
      </c>
      <c r="AC167" s="74" t="s">
        <v>1</v>
      </c>
    </row>
    <row r="168" spans="1:29" customFormat="1" ht="6.6" customHeight="1" x14ac:dyDescent="0.25">
      <c r="A168" s="64">
        <v>168</v>
      </c>
      <c r="B168" s="69" t="s">
        <v>2140</v>
      </c>
      <c r="C168" s="78" t="s">
        <v>2176</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2366</v>
      </c>
      <c r="S168" s="72" t="s">
        <v>1</v>
      </c>
      <c r="T168" s="72" t="str">
        <f t="shared" si="26"/>
        <v>De Transportes</v>
      </c>
      <c r="U168" s="72" t="str">
        <f t="shared" si="26"/>
        <v>Aquáticos</v>
      </c>
      <c r="V168" s="72" t="str">
        <f t="shared" si="26"/>
        <v>Embarcações</v>
      </c>
      <c r="W168" s="72" t="s">
        <v>2136</v>
      </c>
      <c r="X168" s="73" t="str">
        <f t="shared" si="25"/>
        <v>Key-INFRA-168</v>
      </c>
      <c r="Y168" s="72" t="s">
        <v>2032</v>
      </c>
      <c r="Z168" s="99" t="s">
        <v>1</v>
      </c>
      <c r="AA168" s="72" t="s">
        <v>2074</v>
      </c>
      <c r="AB168" s="99" t="s">
        <v>1</v>
      </c>
      <c r="AC168" s="74" t="s">
        <v>1</v>
      </c>
    </row>
    <row r="169" spans="1:29" customFormat="1" ht="6.6" customHeight="1" x14ac:dyDescent="0.25">
      <c r="A169" s="64">
        <v>169</v>
      </c>
      <c r="B169" s="69" t="s">
        <v>2140</v>
      </c>
      <c r="C169" s="78" t="s">
        <v>2176</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2367</v>
      </c>
      <c r="S169" s="72" t="s">
        <v>1</v>
      </c>
      <c r="T169" s="72" t="str">
        <f t="shared" si="26"/>
        <v>De Transportes</v>
      </c>
      <c r="U169" s="72" t="str">
        <f t="shared" si="26"/>
        <v>Aquáticos</v>
      </c>
      <c r="V169" s="72" t="str">
        <f t="shared" si="26"/>
        <v>Embarcações</v>
      </c>
      <c r="W169" s="72" t="s">
        <v>2136</v>
      </c>
      <c r="X169" s="73" t="str">
        <f t="shared" si="25"/>
        <v>Key-INFRA-169</v>
      </c>
      <c r="Y169" s="72" t="s">
        <v>2032</v>
      </c>
      <c r="Z169" s="99" t="s">
        <v>1</v>
      </c>
      <c r="AA169" s="72" t="s">
        <v>2074</v>
      </c>
      <c r="AB169" s="99" t="s">
        <v>1</v>
      </c>
      <c r="AC169" s="74" t="s">
        <v>1</v>
      </c>
    </row>
    <row r="170" spans="1:29" customFormat="1" ht="6.6" customHeight="1" x14ac:dyDescent="0.25">
      <c r="A170" s="64">
        <v>170</v>
      </c>
      <c r="B170" s="69" t="s">
        <v>2140</v>
      </c>
      <c r="C170" s="78" t="s">
        <v>2176</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2368</v>
      </c>
      <c r="S170" s="72" t="s">
        <v>1</v>
      </c>
      <c r="T170" s="72" t="str">
        <f t="shared" si="26"/>
        <v>De Transportes</v>
      </c>
      <c r="U170" s="72" t="str">
        <f t="shared" si="26"/>
        <v>Aquáticos</v>
      </c>
      <c r="V170" s="72" t="str">
        <f t="shared" si="26"/>
        <v>Embarcações</v>
      </c>
      <c r="W170" s="72" t="s">
        <v>2136</v>
      </c>
      <c r="X170" s="73" t="str">
        <f t="shared" si="25"/>
        <v>Key-INFRA-170</v>
      </c>
      <c r="Y170" s="72" t="s">
        <v>2032</v>
      </c>
      <c r="Z170" s="99" t="s">
        <v>1</v>
      </c>
      <c r="AA170" s="72" t="s">
        <v>2075</v>
      </c>
      <c r="AB170" s="99" t="s">
        <v>1</v>
      </c>
      <c r="AC170" s="74" t="s">
        <v>1</v>
      </c>
    </row>
    <row r="171" spans="1:29" customFormat="1" ht="6.6" customHeight="1" x14ac:dyDescent="0.25">
      <c r="A171" s="64">
        <v>171</v>
      </c>
      <c r="B171" s="69" t="s">
        <v>2140</v>
      </c>
      <c r="C171" s="78" t="s">
        <v>2176</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2369</v>
      </c>
      <c r="S171" s="72" t="s">
        <v>1</v>
      </c>
      <c r="T171" s="72" t="str">
        <f t="shared" si="26"/>
        <v>De Transportes</v>
      </c>
      <c r="U171" s="72" t="str">
        <f t="shared" si="26"/>
        <v>Aéreos</v>
      </c>
      <c r="V171" s="72" t="str">
        <f t="shared" si="26"/>
        <v>Aviões</v>
      </c>
      <c r="W171" s="72" t="s">
        <v>2136</v>
      </c>
      <c r="X171" s="73" t="str">
        <f t="shared" si="25"/>
        <v>Key-INFRA-171</v>
      </c>
      <c r="Y171" s="72" t="s">
        <v>2032</v>
      </c>
      <c r="Z171" s="99" t="s">
        <v>1</v>
      </c>
      <c r="AA171" s="72" t="s">
        <v>2075</v>
      </c>
      <c r="AB171" s="99" t="s">
        <v>1</v>
      </c>
      <c r="AC171" s="74" t="s">
        <v>1</v>
      </c>
    </row>
    <row r="172" spans="1:29" customFormat="1" ht="6.6" customHeight="1" x14ac:dyDescent="0.25">
      <c r="A172" s="64">
        <v>172</v>
      </c>
      <c r="B172" s="69" t="s">
        <v>2140</v>
      </c>
      <c r="C172" s="78" t="s">
        <v>2176</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2370</v>
      </c>
      <c r="S172" s="72" t="s">
        <v>1</v>
      </c>
      <c r="T172" s="72" t="str">
        <f t="shared" si="26"/>
        <v>De Transportes</v>
      </c>
      <c r="U172" s="72" t="str">
        <f t="shared" si="26"/>
        <v>Aéreos</v>
      </c>
      <c r="V172" s="72" t="str">
        <f t="shared" si="26"/>
        <v>Aviões</v>
      </c>
      <c r="W172" s="72" t="s">
        <v>2136</v>
      </c>
      <c r="X172" s="73" t="str">
        <f t="shared" si="25"/>
        <v>Key-INFRA-172</v>
      </c>
      <c r="Y172" s="72" t="s">
        <v>2032</v>
      </c>
      <c r="Z172" s="99" t="s">
        <v>1</v>
      </c>
      <c r="AA172" s="72" t="s">
        <v>2075</v>
      </c>
      <c r="AB172" s="99" t="s">
        <v>1</v>
      </c>
      <c r="AC172" s="74" t="s">
        <v>1</v>
      </c>
    </row>
    <row r="173" spans="1:29" customFormat="1" ht="6.6" customHeight="1" x14ac:dyDescent="0.25">
      <c r="A173" s="64">
        <v>173</v>
      </c>
      <c r="B173" s="69" t="s">
        <v>2140</v>
      </c>
      <c r="C173" s="78" t="s">
        <v>2176</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2371</v>
      </c>
      <c r="S173" s="72" t="s">
        <v>1</v>
      </c>
      <c r="T173" s="72" t="str">
        <f t="shared" si="26"/>
        <v>De Transportes</v>
      </c>
      <c r="U173" s="72" t="str">
        <f t="shared" si="26"/>
        <v>Aéreos</v>
      </c>
      <c r="V173" s="72" t="str">
        <f t="shared" si="26"/>
        <v>Aviões</v>
      </c>
      <c r="W173" s="72" t="s">
        <v>2136</v>
      </c>
      <c r="X173" s="73" t="str">
        <f t="shared" si="25"/>
        <v>Key-INFRA-173</v>
      </c>
      <c r="Y173" s="72" t="s">
        <v>2032</v>
      </c>
      <c r="Z173" s="99" t="s">
        <v>1</v>
      </c>
      <c r="AA173" s="72" t="s">
        <v>2075</v>
      </c>
      <c r="AB173" s="99" t="s">
        <v>1</v>
      </c>
      <c r="AC173" s="74" t="s">
        <v>1</v>
      </c>
    </row>
    <row r="174" spans="1:29" customFormat="1" ht="6.6" customHeight="1" x14ac:dyDescent="0.25">
      <c r="A174" s="64">
        <v>174</v>
      </c>
      <c r="B174" s="69" t="s">
        <v>2140</v>
      </c>
      <c r="C174" s="78" t="s">
        <v>2176</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2372</v>
      </c>
      <c r="S174" s="72" t="s">
        <v>1</v>
      </c>
      <c r="T174" s="72" t="str">
        <f t="shared" si="26"/>
        <v>De Transportes</v>
      </c>
      <c r="U174" s="72" t="str">
        <f t="shared" si="26"/>
        <v>Aéreos</v>
      </c>
      <c r="V174" s="72" t="str">
        <f t="shared" si="26"/>
        <v>Aviões</v>
      </c>
      <c r="W174" s="72" t="s">
        <v>2136</v>
      </c>
      <c r="X174" s="73" t="str">
        <f t="shared" si="25"/>
        <v>Key-INFRA-174</v>
      </c>
      <c r="Y174" s="72" t="s">
        <v>2032</v>
      </c>
      <c r="Z174" s="99" t="s">
        <v>1</v>
      </c>
      <c r="AA174" s="72" t="s">
        <v>2075</v>
      </c>
      <c r="AB174" s="99" t="s">
        <v>1</v>
      </c>
      <c r="AC174" s="74" t="s">
        <v>1</v>
      </c>
    </row>
    <row r="175" spans="1:29" customFormat="1" ht="6.6" customHeight="1" x14ac:dyDescent="0.25">
      <c r="A175" s="64">
        <v>175</v>
      </c>
      <c r="B175" s="69" t="s">
        <v>2140</v>
      </c>
      <c r="C175" s="78" t="s">
        <v>2176</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2373</v>
      </c>
      <c r="S175" s="72" t="s">
        <v>1</v>
      </c>
      <c r="T175" s="72" t="str">
        <f t="shared" si="26"/>
        <v>De Transportes</v>
      </c>
      <c r="U175" s="72" t="str">
        <f t="shared" si="26"/>
        <v>Aéreos</v>
      </c>
      <c r="V175" s="72" t="str">
        <f t="shared" si="26"/>
        <v>Helicópteros</v>
      </c>
      <c r="W175" s="72" t="s">
        <v>2136</v>
      </c>
      <c r="X175" s="73" t="str">
        <f t="shared" si="25"/>
        <v>Key-INFRA-175</v>
      </c>
      <c r="Y175" s="72" t="s">
        <v>2032</v>
      </c>
      <c r="Z175" s="99" t="s">
        <v>1</v>
      </c>
      <c r="AA175" s="72" t="s">
        <v>2075</v>
      </c>
      <c r="AB175" s="99" t="s">
        <v>1</v>
      </c>
      <c r="AC175" s="74" t="s">
        <v>1</v>
      </c>
    </row>
    <row r="176" spans="1:29" customFormat="1" ht="6.6" customHeight="1" x14ac:dyDescent="0.25">
      <c r="A176" s="64">
        <v>176</v>
      </c>
      <c r="B176" s="69" t="s">
        <v>2140</v>
      </c>
      <c r="C176" s="78" t="s">
        <v>2176</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2374</v>
      </c>
      <c r="S176" s="72" t="s">
        <v>1</v>
      </c>
      <c r="T176" s="72" t="str">
        <f t="shared" si="26"/>
        <v>De Transportes</v>
      </c>
      <c r="U176" s="72" t="str">
        <f t="shared" si="26"/>
        <v>Aéreos</v>
      </c>
      <c r="V176" s="72" t="str">
        <f t="shared" si="26"/>
        <v>Helicópteros</v>
      </c>
      <c r="W176" s="72" t="s">
        <v>2136</v>
      </c>
      <c r="X176" s="73" t="str">
        <f t="shared" si="25"/>
        <v>Key-INFRA-176</v>
      </c>
      <c r="Y176" s="72" t="s">
        <v>2032</v>
      </c>
      <c r="Z176" s="99" t="s">
        <v>1</v>
      </c>
      <c r="AA176" s="72" t="s">
        <v>2075</v>
      </c>
      <c r="AB176" s="99" t="s">
        <v>1</v>
      </c>
      <c r="AC176" s="74" t="s">
        <v>1</v>
      </c>
    </row>
    <row r="177" spans="1:29" customFormat="1" ht="6.6" customHeight="1" x14ac:dyDescent="0.25">
      <c r="A177" s="64">
        <v>177</v>
      </c>
      <c r="B177" s="69" t="s">
        <v>2140</v>
      </c>
      <c r="C177" s="78" t="s">
        <v>2176</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2375</v>
      </c>
      <c r="S177" s="72" t="s">
        <v>1</v>
      </c>
      <c r="T177" s="72" t="str">
        <f t="shared" si="26"/>
        <v>De Transportes</v>
      </c>
      <c r="U177" s="72" t="str">
        <f t="shared" si="26"/>
        <v>Aéreos</v>
      </c>
      <c r="V177" s="72" t="str">
        <f t="shared" si="26"/>
        <v>Vants</v>
      </c>
      <c r="W177" s="72" t="s">
        <v>2136</v>
      </c>
      <c r="X177" s="73" t="str">
        <f t="shared" si="25"/>
        <v>Key-INFRA-177</v>
      </c>
      <c r="Y177" s="72" t="s">
        <v>2032</v>
      </c>
      <c r="Z177" s="99" t="s">
        <v>1</v>
      </c>
      <c r="AA177" s="72" t="s">
        <v>2075</v>
      </c>
      <c r="AB177" s="99" t="s">
        <v>1</v>
      </c>
      <c r="AC177" s="74" t="s">
        <v>1</v>
      </c>
    </row>
    <row r="178" spans="1:29" customFormat="1" ht="6.6" customHeight="1" x14ac:dyDescent="0.25">
      <c r="A178" s="64">
        <v>178</v>
      </c>
      <c r="B178" s="69" t="s">
        <v>2140</v>
      </c>
      <c r="C178" s="78" t="s">
        <v>2176</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2375</v>
      </c>
      <c r="S178" s="72" t="s">
        <v>1</v>
      </c>
      <c r="T178" s="72" t="str">
        <f t="shared" si="26"/>
        <v>De Transportes</v>
      </c>
      <c r="U178" s="72" t="str">
        <f t="shared" si="26"/>
        <v>Aéreos</v>
      </c>
      <c r="V178" s="72" t="str">
        <f t="shared" si="26"/>
        <v>Vants</v>
      </c>
      <c r="W178" s="72" t="s">
        <v>2136</v>
      </c>
      <c r="X178" s="73" t="str">
        <f t="shared" si="25"/>
        <v>Key-INFRA-178</v>
      </c>
      <c r="Y178" s="72" t="s">
        <v>2032</v>
      </c>
      <c r="Z178" s="99" t="s">
        <v>1</v>
      </c>
      <c r="AA178" s="72" t="s">
        <v>2075</v>
      </c>
      <c r="AB178" s="99" t="s">
        <v>1</v>
      </c>
      <c r="AC178" s="74" t="s">
        <v>1</v>
      </c>
    </row>
    <row r="179" spans="1:29" customFormat="1" ht="6.6" customHeight="1" x14ac:dyDescent="0.25">
      <c r="A179" s="64">
        <v>179</v>
      </c>
      <c r="B179" s="69" t="s">
        <v>2140</v>
      </c>
      <c r="C179" s="78" t="s">
        <v>2176</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2375</v>
      </c>
      <c r="S179" s="72" t="s">
        <v>1</v>
      </c>
      <c r="T179" s="72" t="str">
        <f t="shared" si="26"/>
        <v>De Transportes</v>
      </c>
      <c r="U179" s="72" t="str">
        <f t="shared" si="26"/>
        <v>Aéreos</v>
      </c>
      <c r="V179" s="72" t="str">
        <f t="shared" si="26"/>
        <v>Vants</v>
      </c>
      <c r="W179" s="72" t="s">
        <v>2136</v>
      </c>
      <c r="X179" s="73" t="str">
        <f t="shared" si="25"/>
        <v>Key-INFRA-179</v>
      </c>
      <c r="Y179" s="72" t="s">
        <v>2032</v>
      </c>
      <c r="Z179" s="99" t="s">
        <v>1</v>
      </c>
      <c r="AA179" s="72" t="s">
        <v>2063</v>
      </c>
      <c r="AB179" s="99" t="s">
        <v>1</v>
      </c>
      <c r="AC179" s="74" t="s">
        <v>1</v>
      </c>
    </row>
    <row r="180" spans="1:29" customFormat="1" ht="6.6" customHeight="1" x14ac:dyDescent="0.25">
      <c r="A180" s="64">
        <v>180</v>
      </c>
      <c r="B180" s="69" t="s">
        <v>2140</v>
      </c>
      <c r="C180" s="78" t="s">
        <v>2177</v>
      </c>
      <c r="D180" s="69" t="s">
        <v>2178</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2376</v>
      </c>
      <c r="S180" s="72" t="s">
        <v>1</v>
      </c>
      <c r="T180" s="72" t="str">
        <f t="shared" si="26"/>
        <v>Infraestruturais</v>
      </c>
      <c r="U180" s="72" t="str">
        <f t="shared" si="26"/>
        <v>Rodoviários</v>
      </c>
      <c r="V180" s="72" t="str">
        <f t="shared" si="26"/>
        <v>Estações Rodoviárias</v>
      </c>
      <c r="W180" s="72" t="s">
        <v>2136</v>
      </c>
      <c r="X180" s="73" t="str">
        <f t="shared" si="25"/>
        <v>Key-INFRA-180</v>
      </c>
      <c r="Y180" s="72" t="s">
        <v>2030</v>
      </c>
      <c r="Z180" s="99" t="s">
        <v>1</v>
      </c>
      <c r="AA180" s="72" t="s">
        <v>2069</v>
      </c>
      <c r="AB180" s="99" t="s">
        <v>1</v>
      </c>
      <c r="AC180" s="74" t="s">
        <v>1</v>
      </c>
    </row>
    <row r="181" spans="1:29" customFormat="1" ht="6.6" customHeight="1" x14ac:dyDescent="0.25">
      <c r="A181" s="64">
        <v>181</v>
      </c>
      <c r="B181" s="69" t="s">
        <v>2140</v>
      </c>
      <c r="C181" s="78" t="s">
        <v>2177</v>
      </c>
      <c r="D181" s="69" t="s">
        <v>2178</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2376</v>
      </c>
      <c r="S181" s="72" t="s">
        <v>1</v>
      </c>
      <c r="T181" s="72" t="str">
        <f t="shared" si="26"/>
        <v>Infraestruturais</v>
      </c>
      <c r="U181" s="72" t="str">
        <f t="shared" si="26"/>
        <v>Rodoviários</v>
      </c>
      <c r="V181" s="72" t="str">
        <f t="shared" si="26"/>
        <v>Estações Rodoviárias</v>
      </c>
      <c r="W181" s="72" t="s">
        <v>2136</v>
      </c>
      <c r="X181" s="73" t="str">
        <f t="shared" si="25"/>
        <v>Key-INFRA-181</v>
      </c>
      <c r="Y181" s="72" t="s">
        <v>2030</v>
      </c>
      <c r="Z181" s="99" t="s">
        <v>1</v>
      </c>
      <c r="AA181" s="72" t="s">
        <v>2069</v>
      </c>
      <c r="AB181" s="99" t="s">
        <v>1</v>
      </c>
      <c r="AC181" s="74" t="s">
        <v>1</v>
      </c>
    </row>
    <row r="182" spans="1:29" customFormat="1" ht="6.6" customHeight="1" x14ac:dyDescent="0.25">
      <c r="A182" s="64">
        <v>182</v>
      </c>
      <c r="B182" s="69" t="s">
        <v>2140</v>
      </c>
      <c r="C182" s="78" t="s">
        <v>2177</v>
      </c>
      <c r="D182" s="69" t="s">
        <v>2178</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2377</v>
      </c>
      <c r="S182" s="72" t="s">
        <v>1</v>
      </c>
      <c r="T182" s="72" t="str">
        <f t="shared" si="26"/>
        <v>Infraestruturais</v>
      </c>
      <c r="U182" s="72" t="str">
        <f t="shared" si="26"/>
        <v>Rodoviários</v>
      </c>
      <c r="V182" s="72" t="str">
        <f t="shared" si="26"/>
        <v>Estações Rodoviárias</v>
      </c>
      <c r="W182" s="72" t="s">
        <v>2136</v>
      </c>
      <c r="X182" s="73" t="str">
        <f t="shared" si="25"/>
        <v>Key-INFRA-182</v>
      </c>
      <c r="Y182" s="72" t="s">
        <v>2030</v>
      </c>
      <c r="Z182" s="99" t="s">
        <v>1</v>
      </c>
      <c r="AA182" s="72" t="s">
        <v>2069</v>
      </c>
      <c r="AB182" s="99" t="s">
        <v>1</v>
      </c>
      <c r="AC182" s="74" t="s">
        <v>1</v>
      </c>
    </row>
    <row r="183" spans="1:29" customFormat="1" ht="6.6" customHeight="1" x14ac:dyDescent="0.25">
      <c r="A183" s="64">
        <v>183</v>
      </c>
      <c r="B183" s="69" t="s">
        <v>2140</v>
      </c>
      <c r="C183" s="78" t="s">
        <v>2177</v>
      </c>
      <c r="D183" s="69" t="s">
        <v>2178</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2378</v>
      </c>
      <c r="S183" s="72" t="s">
        <v>1</v>
      </c>
      <c r="T183" s="72" t="str">
        <f t="shared" si="26"/>
        <v>Infraestruturais</v>
      </c>
      <c r="U183" s="72" t="str">
        <f t="shared" si="26"/>
        <v>Rodoviários</v>
      </c>
      <c r="V183" s="72" t="str">
        <f t="shared" si="26"/>
        <v>Estações Rodoviárias</v>
      </c>
      <c r="W183" s="72" t="s">
        <v>2136</v>
      </c>
      <c r="X183" s="73" t="str">
        <f t="shared" si="25"/>
        <v>Key-INFRA-183</v>
      </c>
      <c r="Y183" s="72" t="s">
        <v>2030</v>
      </c>
      <c r="Z183" s="99" t="s">
        <v>1</v>
      </c>
      <c r="AA183" s="72" t="s">
        <v>2069</v>
      </c>
      <c r="AB183" s="99" t="s">
        <v>1</v>
      </c>
      <c r="AC183" s="74" t="s">
        <v>1</v>
      </c>
    </row>
    <row r="184" spans="1:29" customFormat="1" ht="6.6" customHeight="1" x14ac:dyDescent="0.25">
      <c r="A184" s="64">
        <v>184</v>
      </c>
      <c r="B184" s="69" t="s">
        <v>2140</v>
      </c>
      <c r="C184" s="78" t="s">
        <v>2177</v>
      </c>
      <c r="D184" s="69" t="s">
        <v>2178</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2379</v>
      </c>
      <c r="S184" s="72" t="s">
        <v>1</v>
      </c>
      <c r="T184" s="72" t="str">
        <f t="shared" si="26"/>
        <v>Infraestruturais</v>
      </c>
      <c r="U184" s="72" t="str">
        <f t="shared" si="26"/>
        <v>Rodoviários</v>
      </c>
      <c r="V184" s="72" t="str">
        <f t="shared" si="26"/>
        <v>Estações Rodoviárias</v>
      </c>
      <c r="W184" s="72" t="s">
        <v>2136</v>
      </c>
      <c r="X184" s="73" t="str">
        <f t="shared" si="25"/>
        <v>Key-INFRA-184</v>
      </c>
      <c r="Y184" s="72" t="s">
        <v>2030</v>
      </c>
      <c r="Z184" s="99" t="s">
        <v>1</v>
      </c>
      <c r="AA184" s="72" t="s">
        <v>2077</v>
      </c>
      <c r="AB184" s="99" t="s">
        <v>1</v>
      </c>
      <c r="AC184" s="74" t="s">
        <v>1</v>
      </c>
    </row>
    <row r="185" spans="1:29" customFormat="1" ht="6.6" customHeight="1" x14ac:dyDescent="0.25">
      <c r="A185" s="64">
        <v>185</v>
      </c>
      <c r="B185" s="69" t="s">
        <v>2140</v>
      </c>
      <c r="C185" s="78" t="s">
        <v>2177</v>
      </c>
      <c r="D185" s="69" t="s">
        <v>2178</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2380</v>
      </c>
      <c r="S185" s="72" t="s">
        <v>1</v>
      </c>
      <c r="T185" s="72" t="str">
        <f t="shared" si="26"/>
        <v>Infraestruturais</v>
      </c>
      <c r="U185" s="72" t="str">
        <f t="shared" si="26"/>
        <v>Rodoviários</v>
      </c>
      <c r="V185" s="72" t="str">
        <f t="shared" si="26"/>
        <v>Vias</v>
      </c>
      <c r="W185" s="72" t="s">
        <v>2136</v>
      </c>
      <c r="X185" s="73" t="str">
        <f t="shared" si="25"/>
        <v>Key-INFRA-185</v>
      </c>
      <c r="Y185" s="72" t="s">
        <v>2035</v>
      </c>
      <c r="Z185" s="99" t="s">
        <v>1</v>
      </c>
      <c r="AA185" s="74" t="s">
        <v>2077</v>
      </c>
      <c r="AB185" s="99" t="s">
        <v>1</v>
      </c>
      <c r="AC185" s="74" t="s">
        <v>1</v>
      </c>
    </row>
    <row r="186" spans="1:29" customFormat="1" ht="6.6" customHeight="1" x14ac:dyDescent="0.25">
      <c r="A186" s="64">
        <v>186</v>
      </c>
      <c r="B186" s="69" t="s">
        <v>2140</v>
      </c>
      <c r="C186" s="78" t="s">
        <v>2177</v>
      </c>
      <c r="D186" s="69" t="s">
        <v>2178</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2381</v>
      </c>
      <c r="S186" s="72" t="s">
        <v>1</v>
      </c>
      <c r="T186" s="72" t="str">
        <f t="shared" si="26"/>
        <v>Infraestruturais</v>
      </c>
      <c r="U186" s="72" t="str">
        <f t="shared" si="26"/>
        <v>Rodoviários</v>
      </c>
      <c r="V186" s="72" t="str">
        <f t="shared" si="26"/>
        <v>Vias</v>
      </c>
      <c r="W186" s="72" t="s">
        <v>2136</v>
      </c>
      <c r="X186" s="73" t="str">
        <f t="shared" si="25"/>
        <v>Key-INFRA-186</v>
      </c>
      <c r="Y186" s="72" t="s">
        <v>2035</v>
      </c>
      <c r="Z186" s="99" t="s">
        <v>1</v>
      </c>
      <c r="AA186" s="74" t="s">
        <v>2077</v>
      </c>
      <c r="AB186" s="99" t="s">
        <v>1</v>
      </c>
      <c r="AC186" s="74" t="s">
        <v>1</v>
      </c>
    </row>
    <row r="187" spans="1:29" customFormat="1" ht="6.6" customHeight="1" x14ac:dyDescent="0.25">
      <c r="A187" s="64">
        <v>187</v>
      </c>
      <c r="B187" s="69" t="s">
        <v>2140</v>
      </c>
      <c r="C187" s="78" t="s">
        <v>2177</v>
      </c>
      <c r="D187" s="69" t="s">
        <v>2178</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2382</v>
      </c>
      <c r="S187" s="72" t="s">
        <v>1</v>
      </c>
      <c r="T187" s="72" t="str">
        <f t="shared" si="26"/>
        <v>Infraestruturais</v>
      </c>
      <c r="U187" s="72" t="str">
        <f t="shared" si="26"/>
        <v>Rodoviários</v>
      </c>
      <c r="V187" s="72" t="str">
        <f t="shared" si="26"/>
        <v>Vias</v>
      </c>
      <c r="W187" s="72" t="s">
        <v>2136</v>
      </c>
      <c r="X187" s="73" t="str">
        <f t="shared" si="25"/>
        <v>Key-INFRA-187</v>
      </c>
      <c r="Y187" s="72" t="s">
        <v>2035</v>
      </c>
      <c r="Z187" s="99" t="s">
        <v>1</v>
      </c>
      <c r="AA187" s="74" t="s">
        <v>2077</v>
      </c>
      <c r="AB187" s="99" t="s">
        <v>1</v>
      </c>
      <c r="AC187" s="74" t="s">
        <v>1</v>
      </c>
    </row>
    <row r="188" spans="1:29" customFormat="1" ht="6.6" customHeight="1" x14ac:dyDescent="0.25">
      <c r="A188" s="64">
        <v>188</v>
      </c>
      <c r="B188" s="69" t="s">
        <v>2140</v>
      </c>
      <c r="C188" s="78" t="s">
        <v>2177</v>
      </c>
      <c r="D188" s="69" t="s">
        <v>2178</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2383</v>
      </c>
      <c r="S188" s="72" t="s">
        <v>1</v>
      </c>
      <c r="T188" s="72" t="str">
        <f t="shared" si="26"/>
        <v>Infraestruturais</v>
      </c>
      <c r="U188" s="72" t="str">
        <f t="shared" si="26"/>
        <v>Rodoviários</v>
      </c>
      <c r="V188" s="72" t="str">
        <f t="shared" si="26"/>
        <v>Vias</v>
      </c>
      <c r="W188" s="72" t="s">
        <v>2136</v>
      </c>
      <c r="X188" s="73" t="str">
        <f t="shared" si="25"/>
        <v>Key-INFRA-188</v>
      </c>
      <c r="Y188" s="72" t="s">
        <v>2035</v>
      </c>
      <c r="Z188" s="99" t="s">
        <v>1</v>
      </c>
      <c r="AA188" s="74" t="s">
        <v>2077</v>
      </c>
      <c r="AB188" s="99" t="s">
        <v>1</v>
      </c>
      <c r="AC188" s="74" t="s">
        <v>1</v>
      </c>
    </row>
    <row r="189" spans="1:29" customFormat="1" ht="6.6" customHeight="1" x14ac:dyDescent="0.25">
      <c r="A189" s="64">
        <v>189</v>
      </c>
      <c r="B189" s="69" t="s">
        <v>2140</v>
      </c>
      <c r="C189" s="78" t="s">
        <v>2177</v>
      </c>
      <c r="D189" s="69" t="s">
        <v>2178</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2384</v>
      </c>
      <c r="S189" s="72" t="s">
        <v>1</v>
      </c>
      <c r="T189" s="72" t="str">
        <f t="shared" si="26"/>
        <v>Infraestruturais</v>
      </c>
      <c r="U189" s="72" t="str">
        <f t="shared" si="26"/>
        <v>Rodoviários</v>
      </c>
      <c r="V189" s="72" t="str">
        <f t="shared" si="26"/>
        <v>Vias</v>
      </c>
      <c r="W189" s="72" t="s">
        <v>2136</v>
      </c>
      <c r="X189" s="73" t="str">
        <f t="shared" si="25"/>
        <v>Key-INFRA-189</v>
      </c>
      <c r="Y189" s="72" t="s">
        <v>2035</v>
      </c>
      <c r="Z189" s="99" t="s">
        <v>1</v>
      </c>
      <c r="AA189" s="74" t="s">
        <v>2077</v>
      </c>
      <c r="AB189" s="99" t="s">
        <v>1</v>
      </c>
      <c r="AC189" s="74" t="s">
        <v>1</v>
      </c>
    </row>
    <row r="190" spans="1:29" customFormat="1" ht="6.6" customHeight="1" x14ac:dyDescent="0.25">
      <c r="A190" s="64">
        <v>190</v>
      </c>
      <c r="B190" s="69" t="s">
        <v>2140</v>
      </c>
      <c r="C190" s="78" t="s">
        <v>2177</v>
      </c>
      <c r="D190" s="69" t="s">
        <v>2178</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2385</v>
      </c>
      <c r="S190" s="72" t="s">
        <v>1</v>
      </c>
      <c r="T190" s="72" t="str">
        <f t="shared" si="26"/>
        <v>Infraestruturais</v>
      </c>
      <c r="U190" s="72" t="str">
        <f t="shared" si="26"/>
        <v>Rodoviários</v>
      </c>
      <c r="V190" s="72" t="str">
        <f t="shared" si="26"/>
        <v>Vias</v>
      </c>
      <c r="W190" s="72" t="s">
        <v>2136</v>
      </c>
      <c r="X190" s="73" t="str">
        <f t="shared" si="25"/>
        <v>Key-INFRA-190</v>
      </c>
      <c r="Y190" s="72" t="s">
        <v>2035</v>
      </c>
      <c r="Z190" s="99" t="s">
        <v>1</v>
      </c>
      <c r="AA190" s="74" t="s">
        <v>2077</v>
      </c>
      <c r="AB190" s="99" t="s">
        <v>1</v>
      </c>
      <c r="AC190" s="74" t="s">
        <v>1</v>
      </c>
    </row>
    <row r="191" spans="1:29" customFormat="1" ht="6.6" customHeight="1" x14ac:dyDescent="0.25">
      <c r="A191" s="64">
        <v>191</v>
      </c>
      <c r="B191" s="69" t="s">
        <v>2140</v>
      </c>
      <c r="C191" s="78" t="s">
        <v>2177</v>
      </c>
      <c r="D191" s="69" t="s">
        <v>2178</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2386</v>
      </c>
      <c r="S191" s="72" t="s">
        <v>1</v>
      </c>
      <c r="T191" s="72" t="str">
        <f t="shared" si="26"/>
        <v>Infraestruturais</v>
      </c>
      <c r="U191" s="72" t="str">
        <f t="shared" si="26"/>
        <v>Rodoviários</v>
      </c>
      <c r="V191" s="72" t="str">
        <f t="shared" si="26"/>
        <v>Vias</v>
      </c>
      <c r="W191" s="72" t="s">
        <v>2136</v>
      </c>
      <c r="X191" s="73" t="str">
        <f t="shared" si="25"/>
        <v>Key-INFRA-191</v>
      </c>
      <c r="Y191" s="72" t="s">
        <v>2035</v>
      </c>
      <c r="Z191" s="99" t="s">
        <v>1</v>
      </c>
      <c r="AA191" s="74" t="s">
        <v>2077</v>
      </c>
      <c r="AB191" s="99" t="s">
        <v>1</v>
      </c>
      <c r="AC191" s="74" t="s">
        <v>1</v>
      </c>
    </row>
    <row r="192" spans="1:29" customFormat="1" ht="6.6" customHeight="1" x14ac:dyDescent="0.25">
      <c r="A192" s="64">
        <v>192</v>
      </c>
      <c r="B192" s="69" t="s">
        <v>2140</v>
      </c>
      <c r="C192" s="78" t="s">
        <v>2177</v>
      </c>
      <c r="D192" s="69" t="s">
        <v>2178</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2387</v>
      </c>
      <c r="S192" s="72" t="s">
        <v>1</v>
      </c>
      <c r="T192" s="72" t="str">
        <f t="shared" si="26"/>
        <v>Infraestruturais</v>
      </c>
      <c r="U192" s="72" t="str">
        <f t="shared" si="26"/>
        <v>Rodoviários</v>
      </c>
      <c r="V192" s="72" t="str">
        <f t="shared" si="26"/>
        <v>Vias</v>
      </c>
      <c r="W192" s="72" t="s">
        <v>2136</v>
      </c>
      <c r="X192" s="73" t="str">
        <f t="shared" si="25"/>
        <v>Key-INFRA-192</v>
      </c>
      <c r="Y192" s="72" t="s">
        <v>2035</v>
      </c>
      <c r="Z192" s="99" t="s">
        <v>1</v>
      </c>
      <c r="AA192" s="74" t="s">
        <v>2077</v>
      </c>
      <c r="AB192" s="99" t="s">
        <v>1</v>
      </c>
      <c r="AC192" s="74" t="s">
        <v>1</v>
      </c>
    </row>
    <row r="193" spans="1:29" customFormat="1" ht="6.6" customHeight="1" x14ac:dyDescent="0.25">
      <c r="A193" s="64">
        <v>193</v>
      </c>
      <c r="B193" s="69" t="s">
        <v>2140</v>
      </c>
      <c r="C193" s="78" t="s">
        <v>2177</v>
      </c>
      <c r="D193" s="69" t="s">
        <v>2178</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2388</v>
      </c>
      <c r="S193" s="72" t="s">
        <v>1</v>
      </c>
      <c r="T193" s="72" t="str">
        <f t="shared" si="26"/>
        <v>Infraestruturais</v>
      </c>
      <c r="U193" s="72" t="str">
        <f t="shared" si="26"/>
        <v>Rodoviários</v>
      </c>
      <c r="V193" s="72" t="str">
        <f t="shared" si="26"/>
        <v>Faixas</v>
      </c>
      <c r="W193" s="72" t="s">
        <v>2136</v>
      </c>
      <c r="X193" s="73" t="str">
        <f t="shared" si="25"/>
        <v>Key-INFRA-193</v>
      </c>
      <c r="Y193" s="72" t="s">
        <v>2035</v>
      </c>
      <c r="Z193" s="99" t="s">
        <v>1</v>
      </c>
      <c r="AA193" s="74" t="s">
        <v>2077</v>
      </c>
      <c r="AB193" s="99" t="s">
        <v>1</v>
      </c>
      <c r="AC193" s="74" t="s">
        <v>1</v>
      </c>
    </row>
    <row r="194" spans="1:29" customFormat="1" ht="6.6" customHeight="1" x14ac:dyDescent="0.25">
      <c r="A194" s="64">
        <v>194</v>
      </c>
      <c r="B194" s="69" t="s">
        <v>2140</v>
      </c>
      <c r="C194" s="78" t="s">
        <v>2177</v>
      </c>
      <c r="D194" s="69" t="s">
        <v>2178</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2389</v>
      </c>
      <c r="S194" s="72" t="s">
        <v>1</v>
      </c>
      <c r="T194" s="72" t="str">
        <f t="shared" si="26"/>
        <v>Infraestruturais</v>
      </c>
      <c r="U194" s="72" t="str">
        <f t="shared" si="26"/>
        <v>Rodoviários</v>
      </c>
      <c r="V194" s="72" t="str">
        <f t="shared" si="26"/>
        <v>Faixas</v>
      </c>
      <c r="W194" s="72" t="s">
        <v>2136</v>
      </c>
      <c r="X194" s="73" t="str">
        <f t="shared" si="25"/>
        <v>Key-INFRA-194</v>
      </c>
      <c r="Y194" s="72" t="s">
        <v>2035</v>
      </c>
      <c r="Z194" s="99" t="s">
        <v>1</v>
      </c>
      <c r="AA194" s="74" t="s">
        <v>2077</v>
      </c>
      <c r="AB194" s="99" t="s">
        <v>1</v>
      </c>
      <c r="AC194" s="74" t="s">
        <v>1</v>
      </c>
    </row>
    <row r="195" spans="1:29" customFormat="1" ht="6.6" customHeight="1" x14ac:dyDescent="0.25">
      <c r="A195" s="64">
        <v>195</v>
      </c>
      <c r="B195" s="69" t="s">
        <v>2140</v>
      </c>
      <c r="C195" s="78" t="s">
        <v>2177</v>
      </c>
      <c r="D195" s="69" t="s">
        <v>2178</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2390</v>
      </c>
      <c r="S195" s="72"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99" t="s">
        <v>1</v>
      </c>
      <c r="AA195" s="74" t="s">
        <v>2077</v>
      </c>
      <c r="AB195" s="99" t="s">
        <v>1</v>
      </c>
      <c r="AC195" s="74" t="s">
        <v>1</v>
      </c>
    </row>
    <row r="196" spans="1:29" customFormat="1" ht="6.6" customHeight="1" x14ac:dyDescent="0.25">
      <c r="A196" s="64">
        <v>196</v>
      </c>
      <c r="B196" s="69" t="s">
        <v>2140</v>
      </c>
      <c r="C196" s="78" t="s">
        <v>2177</v>
      </c>
      <c r="D196" s="69" t="s">
        <v>2178</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2391</v>
      </c>
      <c r="S196" s="72" t="s">
        <v>1</v>
      </c>
      <c r="T196" s="72" t="str">
        <f t="shared" si="26"/>
        <v>Infraestruturais</v>
      </c>
      <c r="U196" s="72" t="str">
        <f t="shared" si="26"/>
        <v>Rodoviários</v>
      </c>
      <c r="V196" s="72" t="str">
        <f t="shared" si="26"/>
        <v>Faixas</v>
      </c>
      <c r="W196" s="72" t="s">
        <v>2136</v>
      </c>
      <c r="X196" s="73" t="str">
        <f t="shared" si="31"/>
        <v>Key-INFRA-196</v>
      </c>
      <c r="Y196" s="72" t="s">
        <v>2035</v>
      </c>
      <c r="Z196" s="99" t="s">
        <v>1</v>
      </c>
      <c r="AA196" s="74" t="s">
        <v>2066</v>
      </c>
      <c r="AB196" s="99" t="s">
        <v>1</v>
      </c>
      <c r="AC196" s="74" t="s">
        <v>1</v>
      </c>
    </row>
    <row r="197" spans="1:29" customFormat="1" ht="6.6" customHeight="1" x14ac:dyDescent="0.25">
      <c r="A197" s="64">
        <v>197</v>
      </c>
      <c r="B197" s="69" t="s">
        <v>2140</v>
      </c>
      <c r="C197" s="78" t="s">
        <v>2177</v>
      </c>
      <c r="D197" s="69" t="s">
        <v>2178</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2392</v>
      </c>
      <c r="S197" s="72" t="s">
        <v>1</v>
      </c>
      <c r="T197" s="72" t="str">
        <f t="shared" si="26"/>
        <v>Infraestruturais</v>
      </c>
      <c r="U197" s="72" t="str">
        <f t="shared" si="26"/>
        <v>Rodoviários</v>
      </c>
      <c r="V197" s="72" t="str">
        <f t="shared" si="26"/>
        <v>Faixas</v>
      </c>
      <c r="W197" s="72" t="s">
        <v>2136</v>
      </c>
      <c r="X197" s="73" t="str">
        <f t="shared" si="31"/>
        <v>Key-INFRA-197</v>
      </c>
      <c r="Y197" s="72" t="s">
        <v>2035</v>
      </c>
      <c r="Z197" s="99" t="s">
        <v>1</v>
      </c>
      <c r="AA197" s="74" t="s">
        <v>2078</v>
      </c>
      <c r="AB197" s="99" t="s">
        <v>1</v>
      </c>
      <c r="AC197" s="74" t="s">
        <v>1</v>
      </c>
    </row>
    <row r="198" spans="1:29" customFormat="1" ht="6.6" customHeight="1" x14ac:dyDescent="0.25">
      <c r="A198" s="64">
        <v>198</v>
      </c>
      <c r="B198" s="69" t="s">
        <v>2140</v>
      </c>
      <c r="C198" s="78" t="s">
        <v>2177</v>
      </c>
      <c r="D198" s="69" t="s">
        <v>2178</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2393</v>
      </c>
      <c r="S198" s="72" t="s">
        <v>1</v>
      </c>
      <c r="T198" s="72" t="str">
        <f t="shared" si="26"/>
        <v>Infraestruturais</v>
      </c>
      <c r="U198" s="72" t="str">
        <f t="shared" si="26"/>
        <v>Rodoviários</v>
      </c>
      <c r="V198" s="72" t="str">
        <f t="shared" si="26"/>
        <v>Proteções</v>
      </c>
      <c r="W198" s="72" t="s">
        <v>2136</v>
      </c>
      <c r="X198" s="73" t="str">
        <f t="shared" si="31"/>
        <v>Key-INFRA-198</v>
      </c>
      <c r="Y198" s="72" t="s">
        <v>2191</v>
      </c>
      <c r="Z198" s="99" t="s">
        <v>1</v>
      </c>
      <c r="AA198" s="72" t="s">
        <v>2078</v>
      </c>
      <c r="AB198" s="99" t="s">
        <v>1</v>
      </c>
      <c r="AC198" s="74" t="s">
        <v>1</v>
      </c>
    </row>
    <row r="199" spans="1:29" customFormat="1" ht="6.6" customHeight="1" x14ac:dyDescent="0.25">
      <c r="A199" s="64">
        <v>199</v>
      </c>
      <c r="B199" s="69" t="s">
        <v>2140</v>
      </c>
      <c r="C199" s="78" t="s">
        <v>2177</v>
      </c>
      <c r="D199" s="69" t="s">
        <v>2178</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2394</v>
      </c>
      <c r="S199" s="72" t="s">
        <v>1</v>
      </c>
      <c r="T199" s="72" t="str">
        <f t="shared" si="26"/>
        <v>Infraestruturais</v>
      </c>
      <c r="U199" s="72" t="str">
        <f t="shared" si="26"/>
        <v>Rodoviários</v>
      </c>
      <c r="V199" s="72" t="str">
        <f t="shared" si="26"/>
        <v>Proteções</v>
      </c>
      <c r="W199" s="72" t="s">
        <v>2136</v>
      </c>
      <c r="X199" s="73" t="str">
        <f t="shared" si="31"/>
        <v>Key-INFRA-199</v>
      </c>
      <c r="Y199" s="72" t="s">
        <v>2191</v>
      </c>
      <c r="Z199" s="99" t="s">
        <v>1</v>
      </c>
      <c r="AA199" s="72" t="s">
        <v>2078</v>
      </c>
      <c r="AB199" s="99" t="s">
        <v>1</v>
      </c>
      <c r="AC199" s="74" t="s">
        <v>1</v>
      </c>
    </row>
    <row r="200" spans="1:29" customFormat="1" ht="6.6" customHeight="1" x14ac:dyDescent="0.25">
      <c r="A200" s="64">
        <v>200</v>
      </c>
      <c r="B200" s="69" t="s">
        <v>2140</v>
      </c>
      <c r="C200" s="78" t="s">
        <v>2177</v>
      </c>
      <c r="D200" s="69" t="s">
        <v>2178</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2395</v>
      </c>
      <c r="S200" s="72" t="s">
        <v>1</v>
      </c>
      <c r="T200" s="72" t="str">
        <f t="shared" si="26"/>
        <v>Infraestruturais</v>
      </c>
      <c r="U200" s="72" t="str">
        <f t="shared" si="26"/>
        <v>Rodoviários</v>
      </c>
      <c r="V200" s="72" t="str">
        <f t="shared" si="26"/>
        <v>Proteções</v>
      </c>
      <c r="W200" s="72" t="s">
        <v>2136</v>
      </c>
      <c r="X200" s="73" t="str">
        <f t="shared" si="31"/>
        <v>Key-INFRA-200</v>
      </c>
      <c r="Y200" s="72" t="s">
        <v>2191</v>
      </c>
      <c r="Z200" s="99" t="s">
        <v>1</v>
      </c>
      <c r="AA200" s="72" t="s">
        <v>2078</v>
      </c>
      <c r="AB200" s="99" t="s">
        <v>1</v>
      </c>
      <c r="AC200" s="74" t="s">
        <v>1</v>
      </c>
    </row>
    <row r="201" spans="1:29" customFormat="1" ht="6.6" customHeight="1" x14ac:dyDescent="0.25">
      <c r="A201" s="64">
        <v>201</v>
      </c>
      <c r="B201" s="69" t="s">
        <v>2140</v>
      </c>
      <c r="C201" s="78" t="s">
        <v>2177</v>
      </c>
      <c r="D201" s="69" t="s">
        <v>2178</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2396</v>
      </c>
      <c r="S201" s="72" t="s">
        <v>1</v>
      </c>
      <c r="T201" s="72" t="str">
        <f t="shared" si="26"/>
        <v>Infraestruturais</v>
      </c>
      <c r="U201" s="72" t="str">
        <f t="shared" si="26"/>
        <v>Rodoviários</v>
      </c>
      <c r="V201" s="72" t="str">
        <f t="shared" si="26"/>
        <v>Proteções</v>
      </c>
      <c r="W201" s="72" t="s">
        <v>2136</v>
      </c>
      <c r="X201" s="73" t="str">
        <f t="shared" si="31"/>
        <v>Key-INFRA-201</v>
      </c>
      <c r="Y201" s="72" t="s">
        <v>2191</v>
      </c>
      <c r="Z201" s="99" t="s">
        <v>1</v>
      </c>
      <c r="AA201" s="72" t="s">
        <v>2079</v>
      </c>
      <c r="AB201" s="99" t="s">
        <v>1</v>
      </c>
      <c r="AC201" s="74" t="s">
        <v>1</v>
      </c>
    </row>
    <row r="202" spans="1:29" customFormat="1" ht="6.6" customHeight="1" x14ac:dyDescent="0.25">
      <c r="A202" s="64">
        <v>202</v>
      </c>
      <c r="B202" s="69" t="s">
        <v>2140</v>
      </c>
      <c r="C202" s="78" t="s">
        <v>2177</v>
      </c>
      <c r="D202" s="69" t="s">
        <v>2178</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2397</v>
      </c>
      <c r="S202" s="72" t="s">
        <v>1</v>
      </c>
      <c r="T202" s="72" t="str">
        <f t="shared" si="26"/>
        <v>Infraestruturais</v>
      </c>
      <c r="U202" s="72" t="str">
        <f t="shared" si="26"/>
        <v>Rodoviários</v>
      </c>
      <c r="V202" s="72" t="str">
        <f t="shared" si="26"/>
        <v>Obras de Arte Especial</v>
      </c>
      <c r="W202" s="72" t="s">
        <v>2136</v>
      </c>
      <c r="X202" s="73" t="str">
        <f t="shared" si="31"/>
        <v>Key-INFRA-202</v>
      </c>
      <c r="Y202" s="72" t="s">
        <v>2030</v>
      </c>
      <c r="Z202" s="99" t="s">
        <v>1</v>
      </c>
      <c r="AA202" s="72" t="s">
        <v>2079</v>
      </c>
      <c r="AB202" s="99" t="s">
        <v>1</v>
      </c>
      <c r="AC202" s="74" t="s">
        <v>1</v>
      </c>
    </row>
    <row r="203" spans="1:29" customFormat="1" ht="6.6" customHeight="1" x14ac:dyDescent="0.25">
      <c r="A203" s="64">
        <v>203</v>
      </c>
      <c r="B203" s="69" t="s">
        <v>2140</v>
      </c>
      <c r="C203" s="78" t="s">
        <v>2177</v>
      </c>
      <c r="D203" s="69" t="s">
        <v>2178</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2398</v>
      </c>
      <c r="S203" s="72" t="s">
        <v>1</v>
      </c>
      <c r="T203" s="72" t="str">
        <f t="shared" si="26"/>
        <v>Infraestruturais</v>
      </c>
      <c r="U203" s="72" t="str">
        <f t="shared" si="26"/>
        <v>Rodoviários</v>
      </c>
      <c r="V203" s="72" t="str">
        <f t="shared" si="26"/>
        <v>Obras de Arte Especial</v>
      </c>
      <c r="W203" s="72" t="s">
        <v>2136</v>
      </c>
      <c r="X203" s="73" t="str">
        <f t="shared" si="31"/>
        <v>Key-INFRA-203</v>
      </c>
      <c r="Y203" s="72" t="s">
        <v>2030</v>
      </c>
      <c r="Z203" s="99" t="s">
        <v>1</v>
      </c>
      <c r="AA203" s="72" t="s">
        <v>2079</v>
      </c>
      <c r="AB203" s="99" t="s">
        <v>1</v>
      </c>
      <c r="AC203" s="74" t="s">
        <v>1</v>
      </c>
    </row>
    <row r="204" spans="1:29" customFormat="1" ht="6.6" customHeight="1" x14ac:dyDescent="0.25">
      <c r="A204" s="64">
        <v>204</v>
      </c>
      <c r="B204" s="69" t="s">
        <v>2140</v>
      </c>
      <c r="C204" s="78" t="s">
        <v>2177</v>
      </c>
      <c r="D204" s="69" t="s">
        <v>2178</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2399</v>
      </c>
      <c r="S204" s="72" t="s">
        <v>1</v>
      </c>
      <c r="T204" s="72" t="str">
        <f t="shared" si="26"/>
        <v>Infraestruturais</v>
      </c>
      <c r="U204" s="72" t="str">
        <f t="shared" si="26"/>
        <v>Rodoviários</v>
      </c>
      <c r="V204" s="72" t="str">
        <f t="shared" si="26"/>
        <v>Obras de Arte Especial</v>
      </c>
      <c r="W204" s="72" t="s">
        <v>2136</v>
      </c>
      <c r="X204" s="73" t="str">
        <f t="shared" si="31"/>
        <v>Key-INFRA-204</v>
      </c>
      <c r="Y204" s="72" t="s">
        <v>2030</v>
      </c>
      <c r="Z204" s="99" t="s">
        <v>1</v>
      </c>
      <c r="AA204" s="72" t="s">
        <v>2069</v>
      </c>
      <c r="AB204" s="99" t="s">
        <v>1</v>
      </c>
      <c r="AC204" s="74" t="s">
        <v>1</v>
      </c>
    </row>
    <row r="205" spans="1:29" customFormat="1" ht="6.6" customHeight="1" x14ac:dyDescent="0.25">
      <c r="A205" s="64">
        <v>205</v>
      </c>
      <c r="B205" s="69" t="s">
        <v>2140</v>
      </c>
      <c r="C205" s="78" t="s">
        <v>2177</v>
      </c>
      <c r="D205" s="69" t="s">
        <v>2178</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2400</v>
      </c>
      <c r="S205" s="72" t="s">
        <v>1</v>
      </c>
      <c r="T205" s="72" t="str">
        <f t="shared" si="26"/>
        <v>Infraestruturais</v>
      </c>
      <c r="U205" s="72" t="str">
        <f t="shared" si="26"/>
        <v>Rodoviários</v>
      </c>
      <c r="V205" s="72" t="str">
        <f t="shared" si="26"/>
        <v>Obras de Arte Especial</v>
      </c>
      <c r="W205" s="72" t="s">
        <v>2136</v>
      </c>
      <c r="X205" s="73" t="str">
        <f t="shared" si="31"/>
        <v>Key-INFRA-205</v>
      </c>
      <c r="Y205" s="72" t="s">
        <v>2030</v>
      </c>
      <c r="Z205" s="99" t="s">
        <v>1</v>
      </c>
      <c r="AA205" s="72" t="s">
        <v>2069</v>
      </c>
      <c r="AB205" s="99" t="s">
        <v>1</v>
      </c>
      <c r="AC205" s="74" t="s">
        <v>1</v>
      </c>
    </row>
    <row r="206" spans="1:29" customFormat="1" ht="6.6" customHeight="1" x14ac:dyDescent="0.25">
      <c r="A206" s="64">
        <v>206</v>
      </c>
      <c r="B206" s="69" t="s">
        <v>2140</v>
      </c>
      <c r="C206" s="78" t="s">
        <v>2177</v>
      </c>
      <c r="D206" s="69" t="s">
        <v>2178</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2401</v>
      </c>
      <c r="S206" s="72" t="s">
        <v>1</v>
      </c>
      <c r="T206" s="72" t="str">
        <f t="shared" si="26"/>
        <v>Infraestruturais</v>
      </c>
      <c r="U206" s="72" t="str">
        <f t="shared" si="26"/>
        <v>Rodoviários</v>
      </c>
      <c r="V206" s="72" t="str">
        <f t="shared" si="26"/>
        <v>Obras de Arte Especial</v>
      </c>
      <c r="W206" s="72" t="s">
        <v>2136</v>
      </c>
      <c r="X206" s="73" t="str">
        <f t="shared" si="31"/>
        <v>Key-INFRA-206</v>
      </c>
      <c r="Y206" s="72" t="s">
        <v>2030</v>
      </c>
      <c r="Z206" s="99" t="s">
        <v>1</v>
      </c>
      <c r="AA206" s="72" t="s">
        <v>2069</v>
      </c>
      <c r="AB206" s="99" t="s">
        <v>1</v>
      </c>
      <c r="AC206" s="74" t="s">
        <v>1</v>
      </c>
    </row>
    <row r="207" spans="1:29" customFormat="1" ht="6.6" customHeight="1" x14ac:dyDescent="0.25">
      <c r="A207" s="64">
        <v>207</v>
      </c>
      <c r="B207" s="69" t="s">
        <v>2140</v>
      </c>
      <c r="C207" s="78" t="s">
        <v>2177</v>
      </c>
      <c r="D207" s="69" t="s">
        <v>2178</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2402</v>
      </c>
      <c r="S207" s="72" t="s">
        <v>1</v>
      </c>
      <c r="T207" s="72" t="str">
        <f t="shared" si="26"/>
        <v>Infraestruturais</v>
      </c>
      <c r="U207" s="72" t="str">
        <f t="shared" si="26"/>
        <v>Rodoviários</v>
      </c>
      <c r="V207" s="72" t="str">
        <f t="shared" si="26"/>
        <v>Obras de Arte Especial</v>
      </c>
      <c r="W207" s="72" t="s">
        <v>2136</v>
      </c>
      <c r="X207" s="73" t="str">
        <f t="shared" si="31"/>
        <v>Key-INFRA-207</v>
      </c>
      <c r="Y207" s="72" t="s">
        <v>2030</v>
      </c>
      <c r="Z207" s="99" t="s">
        <v>1</v>
      </c>
      <c r="AA207" s="72" t="s">
        <v>2080</v>
      </c>
      <c r="AB207" s="99" t="s">
        <v>1</v>
      </c>
      <c r="AC207" s="74" t="s">
        <v>1</v>
      </c>
    </row>
    <row r="208" spans="1:29" customFormat="1" ht="6.6" customHeight="1" x14ac:dyDescent="0.25">
      <c r="A208" s="64">
        <v>208</v>
      </c>
      <c r="B208" s="69" t="s">
        <v>2140</v>
      </c>
      <c r="C208" s="78" t="s">
        <v>2177</v>
      </c>
      <c r="D208" s="69" t="s">
        <v>2178</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2403</v>
      </c>
      <c r="S208" s="72" t="s">
        <v>1</v>
      </c>
      <c r="T208" s="72" t="str">
        <f t="shared" si="26"/>
        <v>Infraestruturais</v>
      </c>
      <c r="U208" s="72" t="str">
        <f t="shared" si="26"/>
        <v>Rodoviários</v>
      </c>
      <c r="V208" s="72" t="str">
        <f t="shared" si="26"/>
        <v>OAE Partes</v>
      </c>
      <c r="W208" s="72" t="s">
        <v>2136</v>
      </c>
      <c r="X208" s="73" t="str">
        <f t="shared" si="31"/>
        <v>Key-INFRA-208</v>
      </c>
      <c r="Y208" s="72" t="s">
        <v>2036</v>
      </c>
      <c r="Z208" s="99" t="s">
        <v>1</v>
      </c>
      <c r="AA208" s="72" t="s">
        <v>2081</v>
      </c>
      <c r="AB208" s="99" t="s">
        <v>1</v>
      </c>
      <c r="AC208" s="74" t="s">
        <v>1</v>
      </c>
    </row>
    <row r="209" spans="1:29" customFormat="1" ht="6.6" customHeight="1" x14ac:dyDescent="0.25">
      <c r="A209" s="64">
        <v>209</v>
      </c>
      <c r="B209" s="69" t="s">
        <v>2140</v>
      </c>
      <c r="C209" s="78" t="s">
        <v>2177</v>
      </c>
      <c r="D209" s="69" t="s">
        <v>2178</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2404</v>
      </c>
      <c r="S209" s="72" t="s">
        <v>1</v>
      </c>
      <c r="T209" s="72" t="str">
        <f t="shared" si="26"/>
        <v>Infraestruturais</v>
      </c>
      <c r="U209" s="72" t="str">
        <f t="shared" si="26"/>
        <v>Rodoviários</v>
      </c>
      <c r="V209" s="72" t="str">
        <f t="shared" si="26"/>
        <v>OAE Partes</v>
      </c>
      <c r="W209" s="72" t="s">
        <v>2136</v>
      </c>
      <c r="X209" s="73" t="str">
        <f t="shared" si="31"/>
        <v>Key-INFRA-209</v>
      </c>
      <c r="Y209" s="72" t="s">
        <v>2037</v>
      </c>
      <c r="Z209" s="99" t="s">
        <v>1</v>
      </c>
      <c r="AA209" s="72" t="s">
        <v>2081</v>
      </c>
      <c r="AB209" s="99" t="s">
        <v>1</v>
      </c>
      <c r="AC209" s="74" t="s">
        <v>1</v>
      </c>
    </row>
    <row r="210" spans="1:29" customFormat="1" ht="6.6" customHeight="1" x14ac:dyDescent="0.25">
      <c r="A210" s="64">
        <v>210</v>
      </c>
      <c r="B210" s="69" t="s">
        <v>2140</v>
      </c>
      <c r="C210" s="78" t="s">
        <v>2177</v>
      </c>
      <c r="D210" s="69" t="s">
        <v>2178</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2405</v>
      </c>
      <c r="S210" s="72" t="s">
        <v>1</v>
      </c>
      <c r="T210" s="72" t="str">
        <f t="shared" si="26"/>
        <v>Infraestruturais</v>
      </c>
      <c r="U210" s="72" t="str">
        <f t="shared" si="26"/>
        <v>Rodoviários</v>
      </c>
      <c r="V210" s="72" t="str">
        <f t="shared" si="26"/>
        <v>OAE Partes</v>
      </c>
      <c r="W210" s="72" t="s">
        <v>2136</v>
      </c>
      <c r="X210" s="73" t="str">
        <f t="shared" si="31"/>
        <v>Key-INFRA-210</v>
      </c>
      <c r="Y210" s="72" t="s">
        <v>2038</v>
      </c>
      <c r="Z210" s="99" t="s">
        <v>1</v>
      </c>
      <c r="AA210" s="72" t="s">
        <v>2081</v>
      </c>
      <c r="AB210" s="99" t="s">
        <v>1</v>
      </c>
      <c r="AC210" s="74" t="s">
        <v>1</v>
      </c>
    </row>
    <row r="211" spans="1:29" customFormat="1" ht="6.6" customHeight="1" x14ac:dyDescent="0.25">
      <c r="A211" s="64">
        <v>211</v>
      </c>
      <c r="B211" s="69" t="s">
        <v>2140</v>
      </c>
      <c r="C211" s="78" t="s">
        <v>2177</v>
      </c>
      <c r="D211" s="69" t="s">
        <v>2178</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2406</v>
      </c>
      <c r="S211" s="72" t="s">
        <v>1</v>
      </c>
      <c r="T211" s="72" t="str">
        <f t="shared" si="26"/>
        <v>Infraestruturais</v>
      </c>
      <c r="U211" s="72" t="str">
        <f t="shared" si="26"/>
        <v>Rodoviários</v>
      </c>
      <c r="V211" s="72" t="str">
        <f t="shared" si="26"/>
        <v>OAE Partes</v>
      </c>
      <c r="W211" s="72" t="s">
        <v>2136</v>
      </c>
      <c r="X211" s="73" t="str">
        <f t="shared" si="31"/>
        <v>Key-INFRA-211</v>
      </c>
      <c r="Y211" s="72" t="s">
        <v>2039</v>
      </c>
      <c r="Z211" s="99" t="s">
        <v>1</v>
      </c>
      <c r="AA211" s="72" t="s">
        <v>2081</v>
      </c>
      <c r="AB211" s="99" t="s">
        <v>1</v>
      </c>
      <c r="AC211" s="74" t="s">
        <v>1</v>
      </c>
    </row>
    <row r="212" spans="1:29" customFormat="1" ht="6.6" customHeight="1" x14ac:dyDescent="0.25">
      <c r="A212" s="64">
        <v>212</v>
      </c>
      <c r="B212" s="69" t="s">
        <v>2140</v>
      </c>
      <c r="C212" s="78" t="s">
        <v>2177</v>
      </c>
      <c r="D212" s="69" t="s">
        <v>2178</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2407</v>
      </c>
      <c r="S212" s="72" t="s">
        <v>1</v>
      </c>
      <c r="T212" s="72" t="str">
        <f t="shared" si="26"/>
        <v>Infraestruturais</v>
      </c>
      <c r="U212" s="72" t="str">
        <f t="shared" si="26"/>
        <v>Rodoviários</v>
      </c>
      <c r="V212" s="72" t="str">
        <f t="shared" si="26"/>
        <v>OAE Partes</v>
      </c>
      <c r="W212" s="72" t="s">
        <v>2136</v>
      </c>
      <c r="X212" s="73" t="str">
        <f t="shared" si="31"/>
        <v>Key-INFRA-212</v>
      </c>
      <c r="Y212" s="72" t="s">
        <v>2040</v>
      </c>
      <c r="Z212" s="99" t="s">
        <v>1</v>
      </c>
      <c r="AA212" s="72" t="s">
        <v>2081</v>
      </c>
      <c r="AB212" s="99" t="s">
        <v>1</v>
      </c>
      <c r="AC212" s="74" t="s">
        <v>1</v>
      </c>
    </row>
    <row r="213" spans="1:29" customFormat="1" ht="6.6" customHeight="1" x14ac:dyDescent="0.25">
      <c r="A213" s="64">
        <v>213</v>
      </c>
      <c r="B213" s="69" t="s">
        <v>2140</v>
      </c>
      <c r="C213" s="78" t="s">
        <v>2177</v>
      </c>
      <c r="D213" s="69" t="s">
        <v>2178</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2408</v>
      </c>
      <c r="S213" s="72" t="s">
        <v>1</v>
      </c>
      <c r="T213" s="72" t="str">
        <f t="shared" si="26"/>
        <v>Infraestruturais</v>
      </c>
      <c r="U213" s="72" t="str">
        <f t="shared" si="26"/>
        <v>Rodoviários</v>
      </c>
      <c r="V213" s="72" t="str">
        <f t="shared" si="26"/>
        <v>OAE Partes</v>
      </c>
      <c r="W213" s="72" t="s">
        <v>2136</v>
      </c>
      <c r="X213" s="73" t="str">
        <f t="shared" si="31"/>
        <v>Key-INFRA-213</v>
      </c>
      <c r="Y213" s="72" t="s">
        <v>2041</v>
      </c>
      <c r="Z213" s="99" t="s">
        <v>1</v>
      </c>
      <c r="AA213" s="72" t="s">
        <v>2081</v>
      </c>
      <c r="AB213" s="99" t="s">
        <v>1</v>
      </c>
      <c r="AC213" s="74" t="s">
        <v>1</v>
      </c>
    </row>
    <row r="214" spans="1:29" customFormat="1" ht="6.6" customHeight="1" x14ac:dyDescent="0.25">
      <c r="A214" s="64">
        <v>214</v>
      </c>
      <c r="B214" s="69" t="s">
        <v>2140</v>
      </c>
      <c r="C214" s="78" t="s">
        <v>2177</v>
      </c>
      <c r="D214" s="69" t="s">
        <v>2178</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2409</v>
      </c>
      <c r="S214" s="72" t="s">
        <v>1</v>
      </c>
      <c r="T214" s="72" t="str">
        <f t="shared" si="26"/>
        <v>Infraestruturais</v>
      </c>
      <c r="U214" s="72" t="str">
        <f t="shared" si="26"/>
        <v>Rodoviários</v>
      </c>
      <c r="V214" s="72" t="str">
        <f t="shared" si="26"/>
        <v>OAE Partes</v>
      </c>
      <c r="W214" s="72" t="s">
        <v>2136</v>
      </c>
      <c r="X214" s="73" t="str">
        <f t="shared" si="31"/>
        <v>Key-INFRA-214</v>
      </c>
      <c r="Y214" s="72" t="s">
        <v>2042</v>
      </c>
      <c r="Z214" s="99" t="s">
        <v>1</v>
      </c>
      <c r="AA214" s="72" t="s">
        <v>2081</v>
      </c>
      <c r="AB214" s="99" t="s">
        <v>1</v>
      </c>
      <c r="AC214" s="74" t="s">
        <v>1</v>
      </c>
    </row>
    <row r="215" spans="1:29" customFormat="1" ht="6.6" customHeight="1" x14ac:dyDescent="0.25">
      <c r="A215" s="64">
        <v>215</v>
      </c>
      <c r="B215" s="69" t="s">
        <v>2140</v>
      </c>
      <c r="C215" s="78" t="s">
        <v>2177</v>
      </c>
      <c r="D215" s="69" t="s">
        <v>2178</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2410</v>
      </c>
      <c r="S215" s="72" t="s">
        <v>1</v>
      </c>
      <c r="T215" s="72" t="str">
        <f t="shared" si="26"/>
        <v>Infraestruturais</v>
      </c>
      <c r="U215" s="72" t="str">
        <f t="shared" si="26"/>
        <v>Rodoviários</v>
      </c>
      <c r="V215" s="72" t="str">
        <f t="shared" si="26"/>
        <v>OAE Partes</v>
      </c>
      <c r="W215" s="72" t="s">
        <v>2136</v>
      </c>
      <c r="X215" s="73" t="str">
        <f t="shared" si="31"/>
        <v>Key-INFRA-215</v>
      </c>
      <c r="Y215" s="72" t="s">
        <v>2042</v>
      </c>
      <c r="Z215" s="99" t="s">
        <v>1</v>
      </c>
      <c r="AA215" s="72" t="s">
        <v>2081</v>
      </c>
      <c r="AB215" s="99" t="s">
        <v>1</v>
      </c>
      <c r="AC215" s="74" t="s">
        <v>1</v>
      </c>
    </row>
    <row r="216" spans="1:29" customFormat="1" ht="6.6" customHeight="1" x14ac:dyDescent="0.25">
      <c r="A216" s="64">
        <v>216</v>
      </c>
      <c r="B216" s="69" t="s">
        <v>2140</v>
      </c>
      <c r="C216" s="78" t="s">
        <v>2177</v>
      </c>
      <c r="D216" s="69" t="s">
        <v>2178</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2411</v>
      </c>
      <c r="S216" s="72" t="s">
        <v>1</v>
      </c>
      <c r="T216" s="72" t="str">
        <f t="shared" si="26"/>
        <v>Infraestruturais</v>
      </c>
      <c r="U216" s="72" t="str">
        <f t="shared" si="26"/>
        <v>Rodoviários</v>
      </c>
      <c r="V216" s="72" t="str">
        <f t="shared" si="26"/>
        <v>OAE Partes</v>
      </c>
      <c r="W216" s="72" t="s">
        <v>2136</v>
      </c>
      <c r="X216" s="73" t="str">
        <f t="shared" si="31"/>
        <v>Key-INFRA-216</v>
      </c>
      <c r="Y216" s="72" t="s">
        <v>2043</v>
      </c>
      <c r="Z216" s="99" t="s">
        <v>1</v>
      </c>
      <c r="AA216" s="72" t="s">
        <v>2081</v>
      </c>
      <c r="AB216" s="99" t="s">
        <v>1</v>
      </c>
      <c r="AC216" s="74" t="s">
        <v>1</v>
      </c>
    </row>
    <row r="217" spans="1:29" customFormat="1" ht="6.6" customHeight="1" x14ac:dyDescent="0.25">
      <c r="A217" s="64">
        <v>217</v>
      </c>
      <c r="B217" s="69" t="s">
        <v>2140</v>
      </c>
      <c r="C217" s="78" t="s">
        <v>2177</v>
      </c>
      <c r="D217" s="69" t="s">
        <v>2178</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2412</v>
      </c>
      <c r="S217" s="72" t="s">
        <v>1</v>
      </c>
      <c r="T217" s="72" t="str">
        <f t="shared" si="26"/>
        <v>Infraestruturais</v>
      </c>
      <c r="U217" s="72" t="str">
        <f t="shared" si="26"/>
        <v>Rodoviários</v>
      </c>
      <c r="V217" s="72" t="str">
        <f t="shared" si="26"/>
        <v>OAE Partes</v>
      </c>
      <c r="W217" s="72" t="s">
        <v>2136</v>
      </c>
      <c r="X217" s="73" t="str">
        <f t="shared" si="31"/>
        <v>Key-INFRA-217</v>
      </c>
      <c r="Y217" s="72" t="s">
        <v>2044</v>
      </c>
      <c r="Z217" s="99" t="s">
        <v>1</v>
      </c>
      <c r="AA217" s="72" t="s">
        <v>2081</v>
      </c>
      <c r="AB217" s="99" t="s">
        <v>1</v>
      </c>
      <c r="AC217" s="74" t="s">
        <v>1</v>
      </c>
    </row>
    <row r="218" spans="1:29" customFormat="1" ht="6.6" customHeight="1" x14ac:dyDescent="0.25">
      <c r="A218" s="64">
        <v>218</v>
      </c>
      <c r="B218" s="69" t="s">
        <v>2140</v>
      </c>
      <c r="C218" s="78" t="s">
        <v>2177</v>
      </c>
      <c r="D218" s="69" t="s">
        <v>2178</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2413</v>
      </c>
      <c r="S218" s="72" t="s">
        <v>1</v>
      </c>
      <c r="T218" s="72" t="str">
        <f t="shared" si="26"/>
        <v>Infraestruturais</v>
      </c>
      <c r="U218" s="72" t="str">
        <f t="shared" si="26"/>
        <v>Rodoviários</v>
      </c>
      <c r="V218" s="72" t="str">
        <f t="shared" si="26"/>
        <v>OAE Partes</v>
      </c>
      <c r="W218" s="72" t="s">
        <v>2136</v>
      </c>
      <c r="X218" s="73" t="str">
        <f t="shared" si="31"/>
        <v>Key-INFRA-218</v>
      </c>
      <c r="Y218" s="72" t="s">
        <v>2045</v>
      </c>
      <c r="Z218" s="99" t="s">
        <v>1</v>
      </c>
      <c r="AA218" s="72" t="s">
        <v>2081</v>
      </c>
      <c r="AB218" s="99" t="s">
        <v>1</v>
      </c>
      <c r="AC218" s="74" t="s">
        <v>1</v>
      </c>
    </row>
    <row r="219" spans="1:29" customFormat="1" ht="6.6" customHeight="1" x14ac:dyDescent="0.25">
      <c r="A219" s="64">
        <v>219</v>
      </c>
      <c r="B219" s="69" t="s">
        <v>2140</v>
      </c>
      <c r="C219" s="78" t="s">
        <v>2177</v>
      </c>
      <c r="D219" s="69" t="s">
        <v>2178</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2414</v>
      </c>
      <c r="S219" s="72" t="s">
        <v>1</v>
      </c>
      <c r="T219" s="72" t="str">
        <f t="shared" si="26"/>
        <v>Infraestruturais</v>
      </c>
      <c r="U219" s="72" t="str">
        <f t="shared" si="26"/>
        <v>Rodoviários</v>
      </c>
      <c r="V219" s="72" t="str">
        <f t="shared" si="26"/>
        <v>OAE Partes</v>
      </c>
      <c r="W219" s="72" t="s">
        <v>2136</v>
      </c>
      <c r="X219" s="73" t="str">
        <f t="shared" si="31"/>
        <v>Key-INFRA-219</v>
      </c>
      <c r="Y219" s="72" t="s">
        <v>2045</v>
      </c>
      <c r="Z219" s="99" t="s">
        <v>1</v>
      </c>
      <c r="AA219" s="72" t="s">
        <v>2081</v>
      </c>
      <c r="AB219" s="99" t="s">
        <v>1</v>
      </c>
      <c r="AC219" s="74" t="s">
        <v>1</v>
      </c>
    </row>
    <row r="220" spans="1:29" customFormat="1" ht="6.6" customHeight="1" x14ac:dyDescent="0.25">
      <c r="A220" s="64">
        <v>220</v>
      </c>
      <c r="B220" s="69" t="s">
        <v>2140</v>
      </c>
      <c r="C220" s="78" t="s">
        <v>2177</v>
      </c>
      <c r="D220" s="69" t="s">
        <v>2178</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2415</v>
      </c>
      <c r="S220" s="72" t="s">
        <v>1</v>
      </c>
      <c r="T220" s="72" t="str">
        <f t="shared" si="26"/>
        <v>Infraestruturais</v>
      </c>
      <c r="U220" s="72" t="str">
        <f t="shared" si="26"/>
        <v>Rodoviários</v>
      </c>
      <c r="V220" s="72" t="str">
        <f t="shared" si="26"/>
        <v>OAE Partes</v>
      </c>
      <c r="W220" s="72" t="s">
        <v>2136</v>
      </c>
      <c r="X220" s="73" t="str">
        <f t="shared" si="31"/>
        <v>Key-INFRA-220</v>
      </c>
      <c r="Y220" s="72" t="s">
        <v>2046</v>
      </c>
      <c r="Z220" s="99" t="s">
        <v>1</v>
      </c>
      <c r="AA220" s="72" t="s">
        <v>2081</v>
      </c>
      <c r="AB220" s="99" t="s">
        <v>1</v>
      </c>
      <c r="AC220" s="74" t="s">
        <v>1</v>
      </c>
    </row>
    <row r="221" spans="1:29" customFormat="1" ht="6.6" customHeight="1" x14ac:dyDescent="0.25">
      <c r="A221" s="64">
        <v>221</v>
      </c>
      <c r="B221" s="69" t="s">
        <v>2140</v>
      </c>
      <c r="C221" s="78" t="s">
        <v>2177</v>
      </c>
      <c r="D221" s="69" t="s">
        <v>2178</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2416</v>
      </c>
      <c r="S221" s="72" t="s">
        <v>1</v>
      </c>
      <c r="T221" s="72" t="str">
        <f t="shared" si="26"/>
        <v>Infraestruturais</v>
      </c>
      <c r="U221" s="72" t="str">
        <f t="shared" si="26"/>
        <v>Rodoviários</v>
      </c>
      <c r="V221" s="72" t="str">
        <f t="shared" si="26"/>
        <v>OAE Partes</v>
      </c>
      <c r="W221" s="72" t="s">
        <v>2136</v>
      </c>
      <c r="X221" s="73" t="str">
        <f t="shared" si="31"/>
        <v>Key-INFRA-221</v>
      </c>
      <c r="Y221" s="72" t="s">
        <v>2047</v>
      </c>
      <c r="Z221" s="99" t="s">
        <v>1</v>
      </c>
      <c r="AA221" s="72" t="s">
        <v>2081</v>
      </c>
      <c r="AB221" s="99" t="s">
        <v>1</v>
      </c>
      <c r="AC221" s="74" t="s">
        <v>1</v>
      </c>
    </row>
    <row r="222" spans="1:29" customFormat="1" ht="6.6" customHeight="1" x14ac:dyDescent="0.25">
      <c r="A222" s="64">
        <v>222</v>
      </c>
      <c r="B222" s="69" t="s">
        <v>2140</v>
      </c>
      <c r="C222" s="78" t="s">
        <v>2177</v>
      </c>
      <c r="D222" s="69" t="s">
        <v>2178</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2417</v>
      </c>
      <c r="S222" s="72" t="s">
        <v>1</v>
      </c>
      <c r="T222" s="72" t="str">
        <f t="shared" si="26"/>
        <v>Infraestruturais</v>
      </c>
      <c r="U222" s="72" t="str">
        <f t="shared" si="26"/>
        <v>Rodoviários</v>
      </c>
      <c r="V222" s="72" t="str">
        <f t="shared" si="26"/>
        <v>OAE Partes</v>
      </c>
      <c r="W222" s="72" t="s">
        <v>2136</v>
      </c>
      <c r="X222" s="73" t="str">
        <f t="shared" si="31"/>
        <v>Key-INFRA-222</v>
      </c>
      <c r="Y222" s="72" t="s">
        <v>2048</v>
      </c>
      <c r="Z222" s="99" t="s">
        <v>1</v>
      </c>
      <c r="AA222" s="72" t="s">
        <v>2081</v>
      </c>
      <c r="AB222" s="99" t="s">
        <v>1</v>
      </c>
      <c r="AC222" s="74" t="s">
        <v>1</v>
      </c>
    </row>
    <row r="223" spans="1:29" customFormat="1" ht="6.6" customHeight="1" x14ac:dyDescent="0.25">
      <c r="A223" s="64">
        <v>223</v>
      </c>
      <c r="B223" s="69" t="s">
        <v>2140</v>
      </c>
      <c r="C223" s="78" t="s">
        <v>2177</v>
      </c>
      <c r="D223" s="69" t="s">
        <v>2178</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2418</v>
      </c>
      <c r="S223" s="72" t="s">
        <v>1</v>
      </c>
      <c r="T223" s="72" t="str">
        <f t="shared" si="26"/>
        <v>Infraestruturais</v>
      </c>
      <c r="U223" s="72" t="str">
        <f t="shared" si="26"/>
        <v>Rodoviários</v>
      </c>
      <c r="V223" s="72" t="str">
        <f t="shared" si="26"/>
        <v>OAE Partes</v>
      </c>
      <c r="W223" s="72" t="s">
        <v>2136</v>
      </c>
      <c r="X223" s="73" t="str">
        <f t="shared" si="31"/>
        <v>Key-INFRA-223</v>
      </c>
      <c r="Y223" s="72" t="s">
        <v>2049</v>
      </c>
      <c r="Z223" s="99" t="s">
        <v>1</v>
      </c>
      <c r="AA223" s="72" t="s">
        <v>2081</v>
      </c>
      <c r="AB223" s="99" t="s">
        <v>1</v>
      </c>
      <c r="AC223" s="74" t="s">
        <v>1</v>
      </c>
    </row>
    <row r="224" spans="1:29" customFormat="1" ht="6.6" customHeight="1" x14ac:dyDescent="0.25">
      <c r="A224" s="64">
        <v>224</v>
      </c>
      <c r="B224" s="69" t="s">
        <v>2140</v>
      </c>
      <c r="C224" s="78" t="s">
        <v>2177</v>
      </c>
      <c r="D224" s="69" t="s">
        <v>2178</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2419</v>
      </c>
      <c r="S224" s="72" t="s">
        <v>1</v>
      </c>
      <c r="T224" s="72" t="str">
        <f t="shared" si="26"/>
        <v>Infraestruturais</v>
      </c>
      <c r="U224" s="72" t="str">
        <f t="shared" si="26"/>
        <v>Rodoviários</v>
      </c>
      <c r="V224" s="72" t="str">
        <f t="shared" si="26"/>
        <v>OAE Partes</v>
      </c>
      <c r="W224" s="72" t="s">
        <v>2136</v>
      </c>
      <c r="X224" s="73" t="str">
        <f t="shared" si="31"/>
        <v>Key-INFRA-224</v>
      </c>
      <c r="Y224" s="72" t="s">
        <v>2048</v>
      </c>
      <c r="Z224" s="99" t="s">
        <v>1</v>
      </c>
      <c r="AA224" s="72" t="s">
        <v>2077</v>
      </c>
      <c r="AB224" s="99" t="s">
        <v>1</v>
      </c>
      <c r="AC224" s="74" t="s">
        <v>1</v>
      </c>
    </row>
    <row r="225" spans="1:29" customFormat="1" ht="6.6" customHeight="1" x14ac:dyDescent="0.25">
      <c r="A225" s="64">
        <v>225</v>
      </c>
      <c r="B225" s="69" t="s">
        <v>2140</v>
      </c>
      <c r="C225" s="78" t="s">
        <v>2177</v>
      </c>
      <c r="D225" s="69" t="s">
        <v>2178</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2420</v>
      </c>
      <c r="S225" s="72"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99" t="s">
        <v>1</v>
      </c>
      <c r="AA225" s="74" t="s">
        <v>2077</v>
      </c>
      <c r="AB225" s="99" t="s">
        <v>1</v>
      </c>
      <c r="AC225" s="74" t="s">
        <v>1</v>
      </c>
    </row>
    <row r="226" spans="1:29" customFormat="1" ht="6.6" customHeight="1" x14ac:dyDescent="0.25">
      <c r="A226" s="64">
        <v>226</v>
      </c>
      <c r="B226" s="69" t="s">
        <v>2140</v>
      </c>
      <c r="C226" s="78" t="s">
        <v>2177</v>
      </c>
      <c r="D226" s="69" t="s">
        <v>2178</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2421</v>
      </c>
      <c r="S226" s="72" t="s">
        <v>1</v>
      </c>
      <c r="T226" s="72" t="str">
        <f t="shared" si="33"/>
        <v>Infraestruturais</v>
      </c>
      <c r="U226" s="72" t="str">
        <f t="shared" si="33"/>
        <v>Rodoviários</v>
      </c>
      <c r="V226" s="72" t="str">
        <f t="shared" si="33"/>
        <v>OAE Partes</v>
      </c>
      <c r="W226" s="72" t="s">
        <v>2136</v>
      </c>
      <c r="X226" s="73" t="str">
        <f t="shared" si="31"/>
        <v>Key-INFRA-226</v>
      </c>
      <c r="Y226" s="72" t="s">
        <v>2035</v>
      </c>
      <c r="Z226" s="99" t="s">
        <v>1</v>
      </c>
      <c r="AA226" s="74" t="s">
        <v>2082</v>
      </c>
      <c r="AB226" s="99" t="s">
        <v>1</v>
      </c>
      <c r="AC226" s="74" t="s">
        <v>1</v>
      </c>
    </row>
    <row r="227" spans="1:29" customFormat="1" ht="6.6" customHeight="1" x14ac:dyDescent="0.25">
      <c r="A227" s="64">
        <v>227</v>
      </c>
      <c r="B227" s="69" t="s">
        <v>2140</v>
      </c>
      <c r="C227" s="78" t="s">
        <v>2177</v>
      </c>
      <c r="D227" s="69" t="s">
        <v>2178</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2422</v>
      </c>
      <c r="S227" s="72" t="s">
        <v>1</v>
      </c>
      <c r="T227" s="72" t="str">
        <f t="shared" si="33"/>
        <v>Infraestruturais</v>
      </c>
      <c r="U227" s="72" t="str">
        <f t="shared" si="33"/>
        <v>Rodoviários</v>
      </c>
      <c r="V227" s="72" t="str">
        <f t="shared" si="33"/>
        <v>OAE Partes</v>
      </c>
      <c r="W227" s="72" t="s">
        <v>2136</v>
      </c>
      <c r="X227" s="73" t="str">
        <f t="shared" si="31"/>
        <v>Key-INFRA-227</v>
      </c>
      <c r="Y227" s="72" t="s">
        <v>2035</v>
      </c>
      <c r="Z227" s="99" t="s">
        <v>1</v>
      </c>
      <c r="AA227" s="72" t="s">
        <v>2083</v>
      </c>
      <c r="AB227" s="99" t="s">
        <v>1</v>
      </c>
      <c r="AC227" s="74" t="s">
        <v>1</v>
      </c>
    </row>
    <row r="228" spans="1:29" customFormat="1" ht="6.6" customHeight="1" x14ac:dyDescent="0.25">
      <c r="A228" s="64">
        <v>228</v>
      </c>
      <c r="B228" s="69" t="s">
        <v>2140</v>
      </c>
      <c r="C228" s="78" t="s">
        <v>2177</v>
      </c>
      <c r="D228" s="69" t="s">
        <v>2178</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2423</v>
      </c>
      <c r="S228" s="72" t="s">
        <v>1</v>
      </c>
      <c r="T228" s="72" t="str">
        <f t="shared" si="33"/>
        <v>Infraestruturais</v>
      </c>
      <c r="U228" s="72" t="str">
        <f t="shared" si="33"/>
        <v>Rodoviários</v>
      </c>
      <c r="V228" s="72" t="str">
        <f t="shared" si="33"/>
        <v>OAE Partes</v>
      </c>
      <c r="W228" s="72" t="s">
        <v>2136</v>
      </c>
      <c r="X228" s="73" t="str">
        <f t="shared" si="31"/>
        <v>Key-INFRA-228</v>
      </c>
      <c r="Y228" s="86" t="s">
        <v>2050</v>
      </c>
      <c r="Z228" s="99" t="s">
        <v>1</v>
      </c>
      <c r="AA228" s="86" t="s">
        <v>2084</v>
      </c>
      <c r="AB228" s="99" t="s">
        <v>1</v>
      </c>
      <c r="AC228" s="74" t="s">
        <v>1</v>
      </c>
    </row>
    <row r="229" spans="1:29" customFormat="1" ht="6.6" customHeight="1" x14ac:dyDescent="0.25">
      <c r="A229" s="64">
        <v>229</v>
      </c>
      <c r="B229" s="69" t="s">
        <v>2140</v>
      </c>
      <c r="C229" s="78" t="s">
        <v>2177</v>
      </c>
      <c r="D229" s="69" t="s">
        <v>2178</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2424</v>
      </c>
      <c r="S229" s="72" t="s">
        <v>1</v>
      </c>
      <c r="T229" s="72" t="str">
        <f t="shared" si="33"/>
        <v>Infraestruturais</v>
      </c>
      <c r="U229" s="72" t="str">
        <f t="shared" si="33"/>
        <v>Rodoviários</v>
      </c>
      <c r="V229" s="72" t="str">
        <f t="shared" si="33"/>
        <v>OAE Partes</v>
      </c>
      <c r="W229" s="72" t="s">
        <v>2136</v>
      </c>
      <c r="X229" s="73" t="str">
        <f t="shared" si="31"/>
        <v>Key-INFRA-229</v>
      </c>
      <c r="Y229" s="72" t="s">
        <v>2034</v>
      </c>
      <c r="Z229" s="99" t="s">
        <v>1</v>
      </c>
      <c r="AA229" s="72" t="s">
        <v>2076</v>
      </c>
      <c r="AB229" s="99" t="s">
        <v>1</v>
      </c>
      <c r="AC229" s="74" t="s">
        <v>1</v>
      </c>
    </row>
    <row r="230" spans="1:29" customFormat="1" ht="6.6" customHeight="1" x14ac:dyDescent="0.25">
      <c r="A230" s="64">
        <v>230</v>
      </c>
      <c r="B230" s="69" t="s">
        <v>2140</v>
      </c>
      <c r="C230" s="78" t="s">
        <v>2177</v>
      </c>
      <c r="D230" s="69" t="s">
        <v>2178</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2425</v>
      </c>
      <c r="S230" s="72" t="s">
        <v>1</v>
      </c>
      <c r="T230" s="72" t="str">
        <f t="shared" si="33"/>
        <v>Infraestruturais</v>
      </c>
      <c r="U230" s="72" t="str">
        <f t="shared" si="33"/>
        <v>Rodoviários</v>
      </c>
      <c r="V230" s="72" t="str">
        <f t="shared" si="33"/>
        <v>OAE Partes</v>
      </c>
      <c r="W230" s="72" t="s">
        <v>2136</v>
      </c>
      <c r="X230" s="73" t="str">
        <f t="shared" si="31"/>
        <v>Key-INFRA-230</v>
      </c>
      <c r="Y230" s="72" t="s">
        <v>2033</v>
      </c>
      <c r="Z230" s="99" t="s">
        <v>1</v>
      </c>
      <c r="AA230" s="72" t="s">
        <v>2085</v>
      </c>
      <c r="AB230" s="99" t="s">
        <v>1</v>
      </c>
      <c r="AC230" s="74" t="s">
        <v>1</v>
      </c>
    </row>
    <row r="231" spans="1:29" customFormat="1" ht="6.6" customHeight="1" x14ac:dyDescent="0.25">
      <c r="A231" s="64">
        <v>231</v>
      </c>
      <c r="B231" s="69" t="s">
        <v>2140</v>
      </c>
      <c r="C231" s="78" t="s">
        <v>2177</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2426</v>
      </c>
      <c r="S231" s="72" t="s">
        <v>1</v>
      </c>
      <c r="T231" s="72" t="str">
        <f t="shared" si="33"/>
        <v>Infraestruturais</v>
      </c>
      <c r="U231" s="72" t="str">
        <f t="shared" si="33"/>
        <v>Ferroviários</v>
      </c>
      <c r="V231" s="72" t="str">
        <f t="shared" si="33"/>
        <v>Ferrovias</v>
      </c>
      <c r="W231" s="72" t="s">
        <v>2136</v>
      </c>
      <c r="X231" s="73" t="str">
        <f t="shared" si="31"/>
        <v>Key-INFRA-231</v>
      </c>
      <c r="Y231" s="72" t="s">
        <v>2191</v>
      </c>
      <c r="Z231" s="99" t="s">
        <v>1</v>
      </c>
      <c r="AA231" s="74" t="s">
        <v>2085</v>
      </c>
      <c r="AB231" s="99" t="s">
        <v>1</v>
      </c>
      <c r="AC231" s="74" t="s">
        <v>1</v>
      </c>
    </row>
    <row r="232" spans="1:29" customFormat="1" ht="6.6" customHeight="1" x14ac:dyDescent="0.25">
      <c r="A232" s="64">
        <v>232</v>
      </c>
      <c r="B232" s="69" t="s">
        <v>2140</v>
      </c>
      <c r="C232" s="78" t="s">
        <v>2177</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2427</v>
      </c>
      <c r="S232" s="72" t="s">
        <v>1</v>
      </c>
      <c r="T232" s="72" t="str">
        <f t="shared" si="33"/>
        <v>Infraestruturais</v>
      </c>
      <c r="U232" s="72" t="str">
        <f t="shared" si="33"/>
        <v>Ferroviários</v>
      </c>
      <c r="V232" s="72" t="str">
        <f t="shared" si="33"/>
        <v>Ferrovias</v>
      </c>
      <c r="W232" s="72" t="s">
        <v>2136</v>
      </c>
      <c r="X232" s="73" t="str">
        <f t="shared" si="31"/>
        <v>Key-INFRA-232</v>
      </c>
      <c r="Y232" s="72" t="s">
        <v>2191</v>
      </c>
      <c r="Z232" s="99" t="s">
        <v>1</v>
      </c>
      <c r="AA232" s="74" t="s">
        <v>2085</v>
      </c>
      <c r="AB232" s="99" t="s">
        <v>1</v>
      </c>
      <c r="AC232" s="74" t="s">
        <v>1</v>
      </c>
    </row>
    <row r="233" spans="1:29" customFormat="1" ht="6.6" customHeight="1" x14ac:dyDescent="0.25">
      <c r="A233" s="64">
        <v>233</v>
      </c>
      <c r="B233" s="69" t="s">
        <v>2140</v>
      </c>
      <c r="C233" s="78" t="s">
        <v>2177</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2428</v>
      </c>
      <c r="S233" s="72" t="s">
        <v>1</v>
      </c>
      <c r="T233" s="72" t="str">
        <f t="shared" si="33"/>
        <v>Infraestruturais</v>
      </c>
      <c r="U233" s="72" t="str">
        <f t="shared" si="33"/>
        <v>Ferroviários</v>
      </c>
      <c r="V233" s="72" t="str">
        <f t="shared" si="33"/>
        <v>Ferrovias</v>
      </c>
      <c r="W233" s="72" t="s">
        <v>2136</v>
      </c>
      <c r="X233" s="73" t="str">
        <f t="shared" si="31"/>
        <v>Key-INFRA-233</v>
      </c>
      <c r="Y233" s="72" t="s">
        <v>2191</v>
      </c>
      <c r="Z233" s="99" t="s">
        <v>1</v>
      </c>
      <c r="AA233" s="74" t="s">
        <v>2085</v>
      </c>
      <c r="AB233" s="99" t="s">
        <v>1</v>
      </c>
      <c r="AC233" s="74" t="s">
        <v>1</v>
      </c>
    </row>
    <row r="234" spans="1:29" customFormat="1" ht="6.6" customHeight="1" x14ac:dyDescent="0.25">
      <c r="A234" s="64">
        <v>234</v>
      </c>
      <c r="B234" s="69" t="s">
        <v>2140</v>
      </c>
      <c r="C234" s="78" t="s">
        <v>2177</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2429</v>
      </c>
      <c r="S234" s="72" t="s">
        <v>1</v>
      </c>
      <c r="T234" s="72" t="str">
        <f t="shared" si="33"/>
        <v>Infraestruturais</v>
      </c>
      <c r="U234" s="72" t="str">
        <f t="shared" si="33"/>
        <v>Ferroviários</v>
      </c>
      <c r="V234" s="72" t="str">
        <f t="shared" si="33"/>
        <v>Ferrovias</v>
      </c>
      <c r="W234" s="72" t="s">
        <v>2136</v>
      </c>
      <c r="X234" s="73" t="str">
        <f t="shared" si="31"/>
        <v>Key-INFRA-234</v>
      </c>
      <c r="Y234" s="72" t="s">
        <v>2191</v>
      </c>
      <c r="Z234" s="99" t="s">
        <v>1</v>
      </c>
      <c r="AA234" s="74" t="s">
        <v>2085</v>
      </c>
      <c r="AB234" s="99" t="s">
        <v>1</v>
      </c>
      <c r="AC234" s="74" t="s">
        <v>1</v>
      </c>
    </row>
    <row r="235" spans="1:29" customFormat="1" ht="6.6" customHeight="1" x14ac:dyDescent="0.25">
      <c r="A235" s="64">
        <v>235</v>
      </c>
      <c r="B235" s="69" t="s">
        <v>2140</v>
      </c>
      <c r="C235" s="78" t="s">
        <v>2177</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2430</v>
      </c>
      <c r="S235" s="72" t="s">
        <v>1</v>
      </c>
      <c r="T235" s="72" t="str">
        <f t="shared" si="33"/>
        <v>Infraestruturais</v>
      </c>
      <c r="U235" s="72" t="str">
        <f t="shared" si="33"/>
        <v>Ferroviários</v>
      </c>
      <c r="V235" s="72" t="str">
        <f t="shared" si="33"/>
        <v>Ferrovias</v>
      </c>
      <c r="W235" s="72" t="s">
        <v>2136</v>
      </c>
      <c r="X235" s="73" t="str">
        <f t="shared" si="31"/>
        <v>Key-INFRA-235</v>
      </c>
      <c r="Y235" s="72" t="s">
        <v>2191</v>
      </c>
      <c r="Z235" s="99" t="s">
        <v>1</v>
      </c>
      <c r="AA235" s="74" t="s">
        <v>2085</v>
      </c>
      <c r="AB235" s="99" t="s">
        <v>1</v>
      </c>
      <c r="AC235" s="74" t="s">
        <v>1</v>
      </c>
    </row>
    <row r="236" spans="1:29" customFormat="1" ht="6.6" customHeight="1" x14ac:dyDescent="0.25">
      <c r="A236" s="64">
        <v>236</v>
      </c>
      <c r="B236" s="69" t="s">
        <v>2140</v>
      </c>
      <c r="C236" s="78" t="s">
        <v>2177</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2431</v>
      </c>
      <c r="S236" s="72" t="s">
        <v>1</v>
      </c>
      <c r="T236" s="72" t="str">
        <f t="shared" si="33"/>
        <v>Infraestruturais</v>
      </c>
      <c r="U236" s="72" t="str">
        <f t="shared" si="33"/>
        <v>Ferroviários</v>
      </c>
      <c r="V236" s="72" t="str">
        <f t="shared" si="33"/>
        <v>Ferrovias</v>
      </c>
      <c r="W236" s="72" t="s">
        <v>2136</v>
      </c>
      <c r="X236" s="73" t="str">
        <f t="shared" si="31"/>
        <v>Key-INFRA-236</v>
      </c>
      <c r="Y236" s="72" t="s">
        <v>2191</v>
      </c>
      <c r="Z236" s="99" t="s">
        <v>1</v>
      </c>
      <c r="AA236" s="74" t="s">
        <v>2085</v>
      </c>
      <c r="AB236" s="99" t="s">
        <v>1</v>
      </c>
      <c r="AC236" s="74" t="s">
        <v>1</v>
      </c>
    </row>
    <row r="237" spans="1:29" customFormat="1" ht="6.6" customHeight="1" x14ac:dyDescent="0.25">
      <c r="A237" s="64">
        <v>237</v>
      </c>
      <c r="B237" s="69" t="s">
        <v>2140</v>
      </c>
      <c r="C237" s="78" t="s">
        <v>2177</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2432</v>
      </c>
      <c r="S237" s="72" t="s">
        <v>1</v>
      </c>
      <c r="T237" s="72" t="str">
        <f t="shared" si="33"/>
        <v>Infraestruturais</v>
      </c>
      <c r="U237" s="72" t="str">
        <f t="shared" si="33"/>
        <v>Ferroviários</v>
      </c>
      <c r="V237" s="72" t="str">
        <f t="shared" si="33"/>
        <v>Ferrovias</v>
      </c>
      <c r="W237" s="72" t="s">
        <v>2136</v>
      </c>
      <c r="X237" s="73" t="str">
        <f t="shared" si="31"/>
        <v>Key-INFRA-237</v>
      </c>
      <c r="Y237" s="72" t="s">
        <v>2191</v>
      </c>
      <c r="Z237" s="99" t="s">
        <v>1</v>
      </c>
      <c r="AA237" s="74" t="s">
        <v>2085</v>
      </c>
      <c r="AB237" s="99" t="s">
        <v>1</v>
      </c>
      <c r="AC237" s="74" t="s">
        <v>1</v>
      </c>
    </row>
    <row r="238" spans="1:29" customFormat="1" ht="6.6" customHeight="1" x14ac:dyDescent="0.25">
      <c r="A238" s="64">
        <v>238</v>
      </c>
      <c r="B238" s="69" t="s">
        <v>2140</v>
      </c>
      <c r="C238" s="78" t="s">
        <v>2177</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2433</v>
      </c>
      <c r="S238" s="72" t="s">
        <v>1</v>
      </c>
      <c r="T238" s="72" t="str">
        <f t="shared" si="33"/>
        <v>Infraestruturais</v>
      </c>
      <c r="U238" s="72" t="str">
        <f t="shared" si="33"/>
        <v>Ferroviários</v>
      </c>
      <c r="V238" s="72" t="str">
        <f t="shared" si="33"/>
        <v>Ferrovias</v>
      </c>
      <c r="W238" s="72" t="s">
        <v>2136</v>
      </c>
      <c r="X238" s="73" t="str">
        <f t="shared" si="31"/>
        <v>Key-INFRA-238</v>
      </c>
      <c r="Y238" s="72" t="s">
        <v>2191</v>
      </c>
      <c r="Z238" s="99" t="s">
        <v>1</v>
      </c>
      <c r="AA238" s="74" t="s">
        <v>2085</v>
      </c>
      <c r="AB238" s="99" t="s">
        <v>1</v>
      </c>
      <c r="AC238" s="74" t="s">
        <v>1</v>
      </c>
    </row>
    <row r="239" spans="1:29" customFormat="1" ht="6.6" customHeight="1" x14ac:dyDescent="0.25">
      <c r="A239" s="64">
        <v>239</v>
      </c>
      <c r="B239" s="69" t="s">
        <v>2140</v>
      </c>
      <c r="C239" s="78" t="s">
        <v>2177</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2434</v>
      </c>
      <c r="S239" s="72" t="s">
        <v>1</v>
      </c>
      <c r="T239" s="72" t="str">
        <f t="shared" si="33"/>
        <v>Infraestruturais</v>
      </c>
      <c r="U239" s="72" t="str">
        <f t="shared" si="33"/>
        <v>Ferroviários</v>
      </c>
      <c r="V239" s="72" t="str">
        <f t="shared" si="33"/>
        <v>Ferrovias</v>
      </c>
      <c r="W239" s="72" t="s">
        <v>2136</v>
      </c>
      <c r="X239" s="73" t="str">
        <f t="shared" si="31"/>
        <v>Key-INFRA-239</v>
      </c>
      <c r="Y239" s="72" t="s">
        <v>2191</v>
      </c>
      <c r="Z239" s="99" t="s">
        <v>1</v>
      </c>
      <c r="AA239" s="74" t="s">
        <v>2069</v>
      </c>
      <c r="AB239" s="99" t="s">
        <v>1</v>
      </c>
      <c r="AC239" s="74" t="s">
        <v>1</v>
      </c>
    </row>
    <row r="240" spans="1:29" customFormat="1" ht="6.6" customHeight="1" x14ac:dyDescent="0.25">
      <c r="A240" s="64">
        <v>240</v>
      </c>
      <c r="B240" s="69" t="s">
        <v>2140</v>
      </c>
      <c r="C240" s="78" t="s">
        <v>2177</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2435</v>
      </c>
      <c r="S240" s="72" t="s">
        <v>1</v>
      </c>
      <c r="T240" s="72" t="str">
        <f t="shared" si="33"/>
        <v>Infraestruturais</v>
      </c>
      <c r="U240" s="72" t="str">
        <f t="shared" si="33"/>
        <v>Ferroviários</v>
      </c>
      <c r="V240" s="72" t="str">
        <f t="shared" si="33"/>
        <v>Ferrovias</v>
      </c>
      <c r="W240" s="72" t="s">
        <v>2136</v>
      </c>
      <c r="X240" s="73" t="str">
        <f t="shared" si="31"/>
        <v>Key-INFRA-240</v>
      </c>
      <c r="Y240" s="72" t="s">
        <v>2030</v>
      </c>
      <c r="Z240" s="99" t="s">
        <v>1</v>
      </c>
      <c r="AA240" s="74" t="s">
        <v>2069</v>
      </c>
      <c r="AB240" s="99" t="s">
        <v>1</v>
      </c>
      <c r="AC240" s="74" t="s">
        <v>1</v>
      </c>
    </row>
    <row r="241" spans="1:29" customFormat="1" ht="6.6" customHeight="1" x14ac:dyDescent="0.25">
      <c r="A241" s="64">
        <v>241</v>
      </c>
      <c r="B241" s="69" t="s">
        <v>2140</v>
      </c>
      <c r="C241" s="78" t="s">
        <v>2177</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2436</v>
      </c>
      <c r="S241" s="72" t="s">
        <v>1</v>
      </c>
      <c r="T241" s="72" t="str">
        <f t="shared" si="33"/>
        <v>Infraestruturais</v>
      </c>
      <c r="U241" s="72" t="str">
        <f t="shared" si="33"/>
        <v>Ferroviários</v>
      </c>
      <c r="V241" s="72" t="str">
        <f t="shared" si="33"/>
        <v>Ferrovias Estações</v>
      </c>
      <c r="W241" s="72" t="s">
        <v>2136</v>
      </c>
      <c r="X241" s="73" t="str">
        <f t="shared" si="31"/>
        <v>Key-INFRA-241</v>
      </c>
      <c r="Y241" s="72" t="s">
        <v>2030</v>
      </c>
      <c r="Z241" s="99" t="s">
        <v>1</v>
      </c>
      <c r="AA241" s="74" t="s">
        <v>2069</v>
      </c>
      <c r="AB241" s="99" t="s">
        <v>1</v>
      </c>
      <c r="AC241" s="74" t="s">
        <v>1</v>
      </c>
    </row>
    <row r="242" spans="1:29" customFormat="1" ht="6.6" customHeight="1" x14ac:dyDescent="0.25">
      <c r="A242" s="64">
        <v>242</v>
      </c>
      <c r="B242" s="69" t="s">
        <v>2140</v>
      </c>
      <c r="C242" s="78" t="s">
        <v>2177</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2437</v>
      </c>
      <c r="S242" s="72" t="s">
        <v>1</v>
      </c>
      <c r="T242" s="72" t="str">
        <f t="shared" si="33"/>
        <v>Infraestruturais</v>
      </c>
      <c r="U242" s="72" t="str">
        <f t="shared" si="33"/>
        <v>Ferroviários</v>
      </c>
      <c r="V242" s="72" t="str">
        <f t="shared" si="33"/>
        <v>Ferrovias Estações</v>
      </c>
      <c r="W242" s="72" t="s">
        <v>2136</v>
      </c>
      <c r="X242" s="73" t="str">
        <f t="shared" si="31"/>
        <v>Key-INFRA-242</v>
      </c>
      <c r="Y242" s="72" t="s">
        <v>2030</v>
      </c>
      <c r="Z242" s="99" t="s">
        <v>1</v>
      </c>
      <c r="AA242" s="74" t="s">
        <v>2069</v>
      </c>
      <c r="AB242" s="99" t="s">
        <v>1</v>
      </c>
      <c r="AC242" s="74" t="s">
        <v>1</v>
      </c>
    </row>
    <row r="243" spans="1:29" customFormat="1" ht="6.6" customHeight="1" x14ac:dyDescent="0.25">
      <c r="A243" s="64">
        <v>243</v>
      </c>
      <c r="B243" s="69" t="s">
        <v>2140</v>
      </c>
      <c r="C243" s="78" t="s">
        <v>2177</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2438</v>
      </c>
      <c r="S243" s="72" t="s">
        <v>1</v>
      </c>
      <c r="T243" s="72" t="str">
        <f t="shared" si="33"/>
        <v>Infraestruturais</v>
      </c>
      <c r="U243" s="72" t="str">
        <f t="shared" si="33"/>
        <v>Ferroviários</v>
      </c>
      <c r="V243" s="72" t="str">
        <f t="shared" si="33"/>
        <v>Ferrovias Estações</v>
      </c>
      <c r="W243" s="72" t="s">
        <v>2136</v>
      </c>
      <c r="X243" s="73" t="str">
        <f t="shared" si="31"/>
        <v>Key-INFRA-243</v>
      </c>
      <c r="Y243" s="72" t="s">
        <v>2030</v>
      </c>
      <c r="Z243" s="99" t="s">
        <v>1</v>
      </c>
      <c r="AA243" s="74" t="s">
        <v>2069</v>
      </c>
      <c r="AB243" s="99" t="s">
        <v>1</v>
      </c>
      <c r="AC243" s="74" t="s">
        <v>1</v>
      </c>
    </row>
    <row r="244" spans="1:29" customFormat="1" ht="6.6" customHeight="1" x14ac:dyDescent="0.25">
      <c r="A244" s="64">
        <v>244</v>
      </c>
      <c r="B244" s="69" t="s">
        <v>2140</v>
      </c>
      <c r="C244" s="78" t="s">
        <v>2177</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2439</v>
      </c>
      <c r="S244" s="72" t="s">
        <v>1</v>
      </c>
      <c r="T244" s="72" t="str">
        <f t="shared" si="33"/>
        <v>Infraestruturais</v>
      </c>
      <c r="U244" s="72" t="str">
        <f t="shared" si="33"/>
        <v>Ferroviários</v>
      </c>
      <c r="V244" s="72" t="str">
        <f t="shared" si="33"/>
        <v>Ferrovias Estações</v>
      </c>
      <c r="W244" s="72" t="s">
        <v>2136</v>
      </c>
      <c r="X244" s="73" t="str">
        <f t="shared" si="31"/>
        <v>Key-INFRA-244</v>
      </c>
      <c r="Y244" s="72" t="s">
        <v>2030</v>
      </c>
      <c r="Z244" s="99" t="s">
        <v>1</v>
      </c>
      <c r="AA244" s="74" t="s">
        <v>2069</v>
      </c>
      <c r="AB244" s="99" t="s">
        <v>1</v>
      </c>
      <c r="AC244" s="74" t="s">
        <v>1</v>
      </c>
    </row>
    <row r="245" spans="1:29" customFormat="1" ht="6.6" customHeight="1" x14ac:dyDescent="0.25">
      <c r="A245" s="64">
        <v>245</v>
      </c>
      <c r="B245" s="69" t="s">
        <v>2140</v>
      </c>
      <c r="C245" s="78" t="s">
        <v>2177</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2440</v>
      </c>
      <c r="S245" s="72" t="s">
        <v>1</v>
      </c>
      <c r="T245" s="72" t="str">
        <f t="shared" si="33"/>
        <v>Infraestruturais</v>
      </c>
      <c r="U245" s="72" t="str">
        <f t="shared" si="33"/>
        <v>Ferroviários</v>
      </c>
      <c r="V245" s="72" t="str">
        <f t="shared" si="33"/>
        <v>Ferrovias Estações</v>
      </c>
      <c r="W245" s="72" t="s">
        <v>2136</v>
      </c>
      <c r="X245" s="73" t="str">
        <f t="shared" si="31"/>
        <v>Key-INFRA-245</v>
      </c>
      <c r="Y245" s="72" t="s">
        <v>2030</v>
      </c>
      <c r="Z245" s="99" t="s">
        <v>1</v>
      </c>
      <c r="AA245" s="74" t="s">
        <v>2069</v>
      </c>
      <c r="AB245" s="99" t="s">
        <v>1</v>
      </c>
      <c r="AC245" s="74" t="s">
        <v>1</v>
      </c>
    </row>
    <row r="246" spans="1:29" customFormat="1" ht="6.6" customHeight="1" x14ac:dyDescent="0.25">
      <c r="A246" s="64">
        <v>246</v>
      </c>
      <c r="B246" s="69" t="s">
        <v>2140</v>
      </c>
      <c r="C246" s="78" t="s">
        <v>2177</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2441</v>
      </c>
      <c r="S246" s="72" t="s">
        <v>1</v>
      </c>
      <c r="T246" s="72" t="str">
        <f t="shared" si="33"/>
        <v>Infraestruturais</v>
      </c>
      <c r="U246" s="72" t="str">
        <f t="shared" si="33"/>
        <v>Ferroviários</v>
      </c>
      <c r="V246" s="72" t="str">
        <f t="shared" si="33"/>
        <v>Ferrovias Estações</v>
      </c>
      <c r="W246" s="72" t="s">
        <v>2136</v>
      </c>
      <c r="X246" s="73" t="str">
        <f t="shared" si="31"/>
        <v>Key-INFRA-246</v>
      </c>
      <c r="Y246" s="72" t="s">
        <v>2030</v>
      </c>
      <c r="Z246" s="99" t="s">
        <v>1</v>
      </c>
      <c r="AA246" s="74" t="s">
        <v>2069</v>
      </c>
      <c r="AB246" s="99" t="s">
        <v>1</v>
      </c>
      <c r="AC246" s="74" t="s">
        <v>1</v>
      </c>
    </row>
    <row r="247" spans="1:29" customFormat="1" ht="6.6" customHeight="1" x14ac:dyDescent="0.25">
      <c r="A247" s="64">
        <v>247</v>
      </c>
      <c r="B247" s="69" t="s">
        <v>2140</v>
      </c>
      <c r="C247" s="78" t="s">
        <v>2177</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2442</v>
      </c>
      <c r="S247" s="72" t="s">
        <v>1</v>
      </c>
      <c r="T247" s="72" t="str">
        <f t="shared" si="33"/>
        <v>Infraestruturais</v>
      </c>
      <c r="U247" s="72" t="str">
        <f t="shared" si="33"/>
        <v>Ferroviários</v>
      </c>
      <c r="V247" s="72" t="str">
        <f t="shared" si="33"/>
        <v>Ferrovias Estações</v>
      </c>
      <c r="W247" s="72" t="s">
        <v>2136</v>
      </c>
      <c r="X247" s="73" t="str">
        <f t="shared" si="31"/>
        <v>Key-INFRA-247</v>
      </c>
      <c r="Y247" s="72" t="s">
        <v>2030</v>
      </c>
      <c r="Z247" s="99" t="s">
        <v>1</v>
      </c>
      <c r="AA247" s="74" t="s">
        <v>2069</v>
      </c>
      <c r="AB247" s="99" t="s">
        <v>1</v>
      </c>
      <c r="AC247" s="74" t="s">
        <v>1</v>
      </c>
    </row>
    <row r="248" spans="1:29" customFormat="1" ht="6.6" customHeight="1" x14ac:dyDescent="0.25">
      <c r="A248" s="64">
        <v>248</v>
      </c>
      <c r="B248" s="69" t="s">
        <v>2140</v>
      </c>
      <c r="C248" s="78" t="s">
        <v>2177</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2443</v>
      </c>
      <c r="S248" s="72" t="s">
        <v>1</v>
      </c>
      <c r="T248" s="72" t="str">
        <f t="shared" si="33"/>
        <v>Infraestruturais</v>
      </c>
      <c r="U248" s="72" t="str">
        <f t="shared" si="33"/>
        <v>Ferroviários</v>
      </c>
      <c r="V248" s="72" t="str">
        <f t="shared" si="33"/>
        <v>Ferrovias Estações</v>
      </c>
      <c r="W248" s="72" t="s">
        <v>2136</v>
      </c>
      <c r="X248" s="73" t="str">
        <f t="shared" si="31"/>
        <v>Key-INFRA-248</v>
      </c>
      <c r="Y248" s="72" t="s">
        <v>2030</v>
      </c>
      <c r="Z248" s="99" t="s">
        <v>1</v>
      </c>
      <c r="AA248" s="74" t="s">
        <v>2085</v>
      </c>
      <c r="AB248" s="99" t="s">
        <v>1</v>
      </c>
      <c r="AC248" s="74" t="s">
        <v>1</v>
      </c>
    </row>
    <row r="249" spans="1:29" customFormat="1" ht="6.6" customHeight="1" x14ac:dyDescent="0.25">
      <c r="A249" s="64">
        <v>249</v>
      </c>
      <c r="B249" s="69" t="s">
        <v>2140</v>
      </c>
      <c r="C249" s="78" t="s">
        <v>2177</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2444</v>
      </c>
      <c r="S249" s="72" t="s">
        <v>1</v>
      </c>
      <c r="T249" s="72" t="str">
        <f t="shared" si="33"/>
        <v>Infraestruturais</v>
      </c>
      <c r="U249" s="72" t="str">
        <f t="shared" si="33"/>
        <v>Ferroviários</v>
      </c>
      <c r="V249" s="72" t="str">
        <f t="shared" si="33"/>
        <v>Ferrovias Trilhos</v>
      </c>
      <c r="W249" s="72" t="s">
        <v>2136</v>
      </c>
      <c r="X249" s="73" t="str">
        <f t="shared" si="31"/>
        <v>Key-INFRA-249</v>
      </c>
      <c r="Y249" s="72" t="s">
        <v>2191</v>
      </c>
      <c r="Z249" s="99" t="s">
        <v>1</v>
      </c>
      <c r="AA249" s="74" t="s">
        <v>2085</v>
      </c>
      <c r="AB249" s="99" t="s">
        <v>1</v>
      </c>
      <c r="AC249" s="74" t="s">
        <v>1</v>
      </c>
    </row>
    <row r="250" spans="1:29" customFormat="1" ht="6.6" customHeight="1" x14ac:dyDescent="0.25">
      <c r="A250" s="64">
        <v>250</v>
      </c>
      <c r="B250" s="69" t="s">
        <v>2140</v>
      </c>
      <c r="C250" s="78" t="s">
        <v>2177</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2445</v>
      </c>
      <c r="S250" s="72" t="s">
        <v>1</v>
      </c>
      <c r="T250" s="72" t="str">
        <f t="shared" si="33"/>
        <v>Infraestruturais</v>
      </c>
      <c r="U250" s="72" t="str">
        <f t="shared" si="33"/>
        <v>Ferroviários</v>
      </c>
      <c r="V250" s="72" t="str">
        <f t="shared" si="33"/>
        <v>Ferrovias Trilhos</v>
      </c>
      <c r="W250" s="72" t="s">
        <v>2136</v>
      </c>
      <c r="X250" s="73" t="str">
        <f t="shared" si="31"/>
        <v>Key-INFRA-250</v>
      </c>
      <c r="Y250" s="72" t="s">
        <v>2191</v>
      </c>
      <c r="Z250" s="99" t="s">
        <v>1</v>
      </c>
      <c r="AA250" s="74" t="s">
        <v>2085</v>
      </c>
      <c r="AB250" s="99" t="s">
        <v>1</v>
      </c>
      <c r="AC250" s="74" t="s">
        <v>1</v>
      </c>
    </row>
    <row r="251" spans="1:29" customFormat="1" ht="6.6" customHeight="1" x14ac:dyDescent="0.25">
      <c r="A251" s="64">
        <v>251</v>
      </c>
      <c r="B251" s="69" t="s">
        <v>2140</v>
      </c>
      <c r="C251" s="78" t="s">
        <v>2177</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2446</v>
      </c>
      <c r="S251" s="72" t="s">
        <v>1</v>
      </c>
      <c r="T251" s="72" t="str">
        <f t="shared" si="33"/>
        <v>Infraestruturais</v>
      </c>
      <c r="U251" s="72" t="str">
        <f t="shared" si="33"/>
        <v>Ferroviários</v>
      </c>
      <c r="V251" s="72" t="str">
        <f t="shared" si="33"/>
        <v>Ferrovias Trilhos</v>
      </c>
      <c r="W251" s="72" t="s">
        <v>2136</v>
      </c>
      <c r="X251" s="73" t="str">
        <f t="shared" si="31"/>
        <v>Key-INFRA-251</v>
      </c>
      <c r="Y251" s="72" t="s">
        <v>2191</v>
      </c>
      <c r="Z251" s="99" t="s">
        <v>1</v>
      </c>
      <c r="AA251" s="74" t="s">
        <v>2085</v>
      </c>
      <c r="AB251" s="99" t="s">
        <v>1</v>
      </c>
      <c r="AC251" s="74" t="s">
        <v>1</v>
      </c>
    </row>
    <row r="252" spans="1:29" customFormat="1" ht="6.6" customHeight="1" x14ac:dyDescent="0.25">
      <c r="A252" s="64">
        <v>252</v>
      </c>
      <c r="B252" s="69" t="s">
        <v>2140</v>
      </c>
      <c r="C252" s="78" t="s">
        <v>2177</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2447</v>
      </c>
      <c r="S252" s="72" t="s">
        <v>1</v>
      </c>
      <c r="T252" s="72" t="str">
        <f t="shared" si="33"/>
        <v>Infraestruturais</v>
      </c>
      <c r="U252" s="72" t="str">
        <f t="shared" si="33"/>
        <v>Ferroviários</v>
      </c>
      <c r="V252" s="72" t="str">
        <f t="shared" si="33"/>
        <v>Ferrovias Trilhos</v>
      </c>
      <c r="W252" s="72" t="s">
        <v>2136</v>
      </c>
      <c r="X252" s="73" t="str">
        <f t="shared" si="31"/>
        <v>Key-INFRA-252</v>
      </c>
      <c r="Y252" s="72" t="s">
        <v>2191</v>
      </c>
      <c r="Z252" s="99" t="s">
        <v>1</v>
      </c>
      <c r="AA252" s="74" t="s">
        <v>2086</v>
      </c>
      <c r="AB252" s="99" t="s">
        <v>1</v>
      </c>
      <c r="AC252" s="74" t="s">
        <v>1</v>
      </c>
    </row>
    <row r="253" spans="1:29" customFormat="1" ht="6.6" customHeight="1" x14ac:dyDescent="0.25">
      <c r="A253" s="64">
        <v>253</v>
      </c>
      <c r="B253" s="69" t="s">
        <v>2140</v>
      </c>
      <c r="C253" s="78" t="s">
        <v>2177</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2448</v>
      </c>
      <c r="S253" s="72" t="s">
        <v>1</v>
      </c>
      <c r="T253" s="72" t="str">
        <f t="shared" si="33"/>
        <v>Infraestruturais</v>
      </c>
      <c r="U253" s="72" t="str">
        <f t="shared" si="33"/>
        <v>Ferroviários</v>
      </c>
      <c r="V253" s="72" t="str">
        <f t="shared" si="33"/>
        <v>Ferrovias Trilhos</v>
      </c>
      <c r="W253" s="72" t="s">
        <v>2136</v>
      </c>
      <c r="X253" s="73" t="str">
        <f t="shared" si="31"/>
        <v>Key-INFRA-253</v>
      </c>
      <c r="Y253" s="72" t="s">
        <v>2191</v>
      </c>
      <c r="Z253" s="99" t="s">
        <v>1</v>
      </c>
      <c r="AA253" s="74" t="s">
        <v>2086</v>
      </c>
      <c r="AB253" s="99" t="s">
        <v>1</v>
      </c>
      <c r="AC253" s="74" t="s">
        <v>1</v>
      </c>
    </row>
    <row r="254" spans="1:29" customFormat="1" ht="6.6" customHeight="1" x14ac:dyDescent="0.25">
      <c r="A254" s="64">
        <v>254</v>
      </c>
      <c r="B254" s="69" t="s">
        <v>2140</v>
      </c>
      <c r="C254" s="78" t="s">
        <v>2177</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2449</v>
      </c>
      <c r="S254" s="72" t="s">
        <v>1</v>
      </c>
      <c r="T254" s="72" t="str">
        <f t="shared" si="33"/>
        <v>Infraestruturais</v>
      </c>
      <c r="U254" s="72" t="str">
        <f t="shared" si="33"/>
        <v>Ferroviários</v>
      </c>
      <c r="V254" s="72" t="str">
        <f t="shared" si="33"/>
        <v>Ferrovias Trilhos</v>
      </c>
      <c r="W254" s="72" t="s">
        <v>2136</v>
      </c>
      <c r="X254" s="73" t="str">
        <f t="shared" si="31"/>
        <v>Key-INFRA-254</v>
      </c>
      <c r="Y254" s="72" t="s">
        <v>2191</v>
      </c>
      <c r="Z254" s="99" t="s">
        <v>1</v>
      </c>
      <c r="AA254" s="74" t="s">
        <v>2086</v>
      </c>
      <c r="AB254" s="99" t="s">
        <v>1</v>
      </c>
      <c r="AC254" s="74" t="s">
        <v>1</v>
      </c>
    </row>
    <row r="255" spans="1:29" customFormat="1" ht="6.6" customHeight="1" x14ac:dyDescent="0.25">
      <c r="A255" s="64">
        <v>255</v>
      </c>
      <c r="B255" s="69" t="s">
        <v>2140</v>
      </c>
      <c r="C255" s="78" t="s">
        <v>2177</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2450</v>
      </c>
      <c r="S255" s="72" t="s">
        <v>1</v>
      </c>
      <c r="T255" s="72" t="str">
        <f t="shared" si="33"/>
        <v>Infraestruturais</v>
      </c>
      <c r="U255" s="72" t="str">
        <f t="shared" si="33"/>
        <v>Ferroviários</v>
      </c>
      <c r="V255" s="72" t="str">
        <f t="shared" si="33"/>
        <v>Ferrovias Trilhos</v>
      </c>
      <c r="W255" s="72" t="s">
        <v>2136</v>
      </c>
      <c r="X255" s="73" t="str">
        <f t="shared" si="31"/>
        <v>Key-INFRA-255</v>
      </c>
      <c r="Y255" s="72" t="s">
        <v>2191</v>
      </c>
      <c r="Z255" s="99" t="s">
        <v>1</v>
      </c>
      <c r="AA255" s="74" t="s">
        <v>2086</v>
      </c>
      <c r="AB255" s="99" t="s">
        <v>1</v>
      </c>
      <c r="AC255" s="74" t="s">
        <v>1</v>
      </c>
    </row>
    <row r="256" spans="1:29" customFormat="1" ht="6.6" customHeight="1" x14ac:dyDescent="0.25">
      <c r="A256" s="64">
        <v>256</v>
      </c>
      <c r="B256" s="69" t="s">
        <v>2140</v>
      </c>
      <c r="C256" s="78" t="s">
        <v>2177</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2451</v>
      </c>
      <c r="S256" s="72" t="s">
        <v>1</v>
      </c>
      <c r="T256" s="72" t="str">
        <f t="shared" si="33"/>
        <v>Infraestruturais</v>
      </c>
      <c r="U256" s="72" t="str">
        <f t="shared" si="33"/>
        <v>Ferroviários</v>
      </c>
      <c r="V256" s="72" t="str">
        <f t="shared" si="33"/>
        <v>Ferrovias Trilhos</v>
      </c>
      <c r="W256" s="72" t="s">
        <v>2136</v>
      </c>
      <c r="X256" s="73" t="str">
        <f t="shared" si="31"/>
        <v>Key-INFRA-256</v>
      </c>
      <c r="Y256" s="72" t="s">
        <v>2191</v>
      </c>
      <c r="Z256" s="99" t="s">
        <v>1</v>
      </c>
      <c r="AA256" s="74" t="s">
        <v>2086</v>
      </c>
      <c r="AB256" s="99" t="s">
        <v>1</v>
      </c>
      <c r="AC256" s="74" t="s">
        <v>1</v>
      </c>
    </row>
    <row r="257" spans="1:29" customFormat="1" ht="6.6" customHeight="1" x14ac:dyDescent="0.25">
      <c r="A257" s="64">
        <v>257</v>
      </c>
      <c r="B257" s="69" t="s">
        <v>2140</v>
      </c>
      <c r="C257" s="78" t="s">
        <v>2177</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2452</v>
      </c>
      <c r="S257" s="72" t="s">
        <v>1</v>
      </c>
      <c r="T257" s="72" t="str">
        <f t="shared" si="33"/>
        <v>Infraestruturais</v>
      </c>
      <c r="U257" s="72" t="str">
        <f t="shared" si="33"/>
        <v>Ferroviários</v>
      </c>
      <c r="V257" s="72" t="str">
        <f t="shared" si="33"/>
        <v>Ferrovias Trilhos</v>
      </c>
      <c r="W257" s="72" t="s">
        <v>2136</v>
      </c>
      <c r="X257" s="73" t="str">
        <f t="shared" si="31"/>
        <v>Key-INFRA-257</v>
      </c>
      <c r="Y257" s="72" t="s">
        <v>2191</v>
      </c>
      <c r="Z257" s="99" t="s">
        <v>1</v>
      </c>
      <c r="AA257" s="74" t="s">
        <v>2086</v>
      </c>
      <c r="AB257" s="99" t="s">
        <v>1</v>
      </c>
      <c r="AC257" s="74" t="s">
        <v>1</v>
      </c>
    </row>
    <row r="258" spans="1:29" customFormat="1" ht="6.6" customHeight="1" x14ac:dyDescent="0.25">
      <c r="A258" s="64">
        <v>258</v>
      </c>
      <c r="B258" s="69" t="s">
        <v>2140</v>
      </c>
      <c r="C258" s="78" t="s">
        <v>2177</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2453</v>
      </c>
      <c r="S258" s="72" t="s">
        <v>1</v>
      </c>
      <c r="T258" s="72" t="str">
        <f t="shared" si="33"/>
        <v>Infraestruturais</v>
      </c>
      <c r="U258" s="72" t="str">
        <f t="shared" si="33"/>
        <v>Ferroviários</v>
      </c>
      <c r="V258" s="72" t="str">
        <f t="shared" si="33"/>
        <v>Ferrovias Trilhos</v>
      </c>
      <c r="W258" s="72" t="s">
        <v>2136</v>
      </c>
      <c r="X258" s="73" t="str">
        <f t="shared" si="31"/>
        <v>Key-INFRA-258</v>
      </c>
      <c r="Y258" s="72" t="s">
        <v>2191</v>
      </c>
      <c r="Z258" s="99" t="s">
        <v>1</v>
      </c>
      <c r="AA258" s="74" t="s">
        <v>2087</v>
      </c>
      <c r="AB258" s="99" t="s">
        <v>1</v>
      </c>
      <c r="AC258" s="74" t="s">
        <v>1</v>
      </c>
    </row>
    <row r="259" spans="1:29" customFormat="1" ht="6.6" customHeight="1" x14ac:dyDescent="0.25">
      <c r="A259" s="64">
        <v>259</v>
      </c>
      <c r="B259" s="69" t="s">
        <v>2140</v>
      </c>
      <c r="C259" s="78" t="s">
        <v>2177</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2454</v>
      </c>
      <c r="S259" s="72"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2191</v>
      </c>
      <c r="Z259" s="99" t="s">
        <v>1</v>
      </c>
      <c r="AA259" s="71" t="s">
        <v>2087</v>
      </c>
      <c r="AB259" s="99" t="s">
        <v>1</v>
      </c>
      <c r="AC259" s="74" t="s">
        <v>1</v>
      </c>
    </row>
    <row r="260" spans="1:29" customFormat="1" ht="6.6" customHeight="1" x14ac:dyDescent="0.25">
      <c r="A260" s="64">
        <v>260</v>
      </c>
      <c r="B260" s="69" t="s">
        <v>2140</v>
      </c>
      <c r="C260" s="78" t="s">
        <v>2177</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2455</v>
      </c>
      <c r="S260" s="72" t="s">
        <v>1</v>
      </c>
      <c r="T260" s="72" t="str">
        <f t="shared" si="33"/>
        <v>Infraestruturais</v>
      </c>
      <c r="U260" s="72" t="str">
        <f t="shared" si="33"/>
        <v>Ferroviários</v>
      </c>
      <c r="V260" s="72" t="str">
        <f t="shared" si="33"/>
        <v>Ferrovias Trilhos</v>
      </c>
      <c r="W260" s="72" t="s">
        <v>2136</v>
      </c>
      <c r="X260" s="73" t="str">
        <f t="shared" si="38"/>
        <v>Key-INFRA-260</v>
      </c>
      <c r="Y260" s="72" t="s">
        <v>2191</v>
      </c>
      <c r="Z260" s="99" t="s">
        <v>1</v>
      </c>
      <c r="AA260" s="71" t="s">
        <v>2087</v>
      </c>
      <c r="AB260" s="99" t="s">
        <v>1</v>
      </c>
      <c r="AC260" s="74" t="s">
        <v>1</v>
      </c>
    </row>
    <row r="261" spans="1:29" customFormat="1" ht="6.6" customHeight="1" x14ac:dyDescent="0.25">
      <c r="A261" s="64">
        <v>261</v>
      </c>
      <c r="B261" s="69" t="s">
        <v>2140</v>
      </c>
      <c r="C261" s="78" t="s">
        <v>2177</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2456</v>
      </c>
      <c r="S261" s="72" t="s">
        <v>1</v>
      </c>
      <c r="T261" s="72" t="str">
        <f t="shared" si="33"/>
        <v>Infraestruturais</v>
      </c>
      <c r="U261" s="72" t="str">
        <f t="shared" si="33"/>
        <v>Ferroviários</v>
      </c>
      <c r="V261" s="72" t="str">
        <f t="shared" si="33"/>
        <v>Ferrovias Trilhos</v>
      </c>
      <c r="W261" s="72" t="s">
        <v>2136</v>
      </c>
      <c r="X261" s="73" t="str">
        <f t="shared" si="38"/>
        <v>Key-INFRA-261</v>
      </c>
      <c r="Y261" s="72" t="s">
        <v>2191</v>
      </c>
      <c r="Z261" s="99" t="s">
        <v>1</v>
      </c>
      <c r="AA261" s="71" t="s">
        <v>2087</v>
      </c>
      <c r="AB261" s="99" t="s">
        <v>1</v>
      </c>
      <c r="AC261" s="74" t="s">
        <v>1</v>
      </c>
    </row>
    <row r="262" spans="1:29" customFormat="1" ht="6.6" customHeight="1" x14ac:dyDescent="0.25">
      <c r="A262" s="64">
        <v>262</v>
      </c>
      <c r="B262" s="69" t="s">
        <v>2140</v>
      </c>
      <c r="C262" s="78" t="s">
        <v>2177</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2457</v>
      </c>
      <c r="S262" s="72" t="s">
        <v>1</v>
      </c>
      <c r="T262" s="72" t="str">
        <f t="shared" si="33"/>
        <v>Infraestruturais</v>
      </c>
      <c r="U262" s="72" t="str">
        <f t="shared" si="33"/>
        <v>Ferroviários</v>
      </c>
      <c r="V262" s="72" t="str">
        <f t="shared" si="33"/>
        <v>Ferrovias Trilhos</v>
      </c>
      <c r="W262" s="72" t="s">
        <v>2136</v>
      </c>
      <c r="X262" s="73" t="str">
        <f t="shared" si="38"/>
        <v>Key-INFRA-262</v>
      </c>
      <c r="Y262" s="72" t="s">
        <v>2191</v>
      </c>
      <c r="Z262" s="99" t="s">
        <v>1</v>
      </c>
      <c r="AA262" s="71" t="s">
        <v>2087</v>
      </c>
      <c r="AB262" s="99" t="s">
        <v>1</v>
      </c>
      <c r="AC262" s="74" t="s">
        <v>1</v>
      </c>
    </row>
    <row r="263" spans="1:29" customFormat="1" ht="6.6" customHeight="1" x14ac:dyDescent="0.25">
      <c r="A263" s="64">
        <v>263</v>
      </c>
      <c r="B263" s="69" t="s">
        <v>2140</v>
      </c>
      <c r="C263" s="78" t="s">
        <v>2177</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2458</v>
      </c>
      <c r="S263" s="72" t="s">
        <v>1</v>
      </c>
      <c r="T263" s="72" t="str">
        <f t="shared" si="33"/>
        <v>Infraestruturais</v>
      </c>
      <c r="U263" s="72" t="str">
        <f t="shared" si="33"/>
        <v>Ferroviários</v>
      </c>
      <c r="V263" s="72" t="str">
        <f t="shared" si="33"/>
        <v>Ferrovias Trilhos</v>
      </c>
      <c r="W263" s="72" t="s">
        <v>2136</v>
      </c>
      <c r="X263" s="73" t="str">
        <f t="shared" si="38"/>
        <v>Key-INFRA-263</v>
      </c>
      <c r="Y263" s="72" t="s">
        <v>2191</v>
      </c>
      <c r="Z263" s="99" t="s">
        <v>1</v>
      </c>
      <c r="AA263" s="71" t="s">
        <v>2087</v>
      </c>
      <c r="AB263" s="99" t="s">
        <v>1</v>
      </c>
      <c r="AC263" s="74" t="s">
        <v>1</v>
      </c>
    </row>
    <row r="264" spans="1:29" customFormat="1" ht="6.6" customHeight="1" x14ac:dyDescent="0.25">
      <c r="A264" s="64">
        <v>264</v>
      </c>
      <c r="B264" s="69" t="s">
        <v>2140</v>
      </c>
      <c r="C264" s="78" t="s">
        <v>2177</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2459</v>
      </c>
      <c r="S264" s="72" t="s">
        <v>1</v>
      </c>
      <c r="T264" s="72" t="str">
        <f t="shared" si="33"/>
        <v>Infraestruturais</v>
      </c>
      <c r="U264" s="72" t="str">
        <f t="shared" si="33"/>
        <v>Ferroviários</v>
      </c>
      <c r="V264" s="72" t="str">
        <f t="shared" si="33"/>
        <v>Ferrovias Trilhos</v>
      </c>
      <c r="W264" s="72" t="s">
        <v>2136</v>
      </c>
      <c r="X264" s="73" t="str">
        <f t="shared" si="38"/>
        <v>Key-INFRA-264</v>
      </c>
      <c r="Y264" s="72" t="s">
        <v>2191</v>
      </c>
      <c r="Z264" s="99" t="s">
        <v>1</v>
      </c>
      <c r="AA264" s="71" t="s">
        <v>2087</v>
      </c>
      <c r="AB264" s="99" t="s">
        <v>1</v>
      </c>
      <c r="AC264" s="74" t="s">
        <v>1</v>
      </c>
    </row>
    <row r="265" spans="1:29" s="34" customFormat="1" ht="6.6" customHeight="1" x14ac:dyDescent="0.15">
      <c r="A265" s="64">
        <v>265</v>
      </c>
      <c r="B265" s="69" t="s">
        <v>2140</v>
      </c>
      <c r="C265" s="78" t="s">
        <v>2177</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2460</v>
      </c>
      <c r="S265" s="72" t="s">
        <v>1</v>
      </c>
      <c r="T265" s="72" t="str">
        <f t="shared" si="33"/>
        <v>Infraestruturais</v>
      </c>
      <c r="U265" s="72" t="str">
        <f t="shared" si="33"/>
        <v>Ferroviários</v>
      </c>
      <c r="V265" s="72" t="str">
        <f t="shared" si="33"/>
        <v>Ferrovias Trilhos</v>
      </c>
      <c r="W265" s="72" t="s">
        <v>2136</v>
      </c>
      <c r="X265" s="73" t="str">
        <f t="shared" si="38"/>
        <v>Key-INFRA-265</v>
      </c>
      <c r="Y265" s="72" t="s">
        <v>2191</v>
      </c>
      <c r="Z265" s="99" t="s">
        <v>1</v>
      </c>
      <c r="AA265" s="71" t="s">
        <v>2087</v>
      </c>
      <c r="AB265" s="99" t="s">
        <v>1</v>
      </c>
      <c r="AC265" s="74" t="s">
        <v>1</v>
      </c>
    </row>
    <row r="266" spans="1:29" s="34" customFormat="1" ht="6.6" customHeight="1" x14ac:dyDescent="0.15">
      <c r="A266" s="64">
        <v>266</v>
      </c>
      <c r="B266" s="69" t="s">
        <v>2140</v>
      </c>
      <c r="C266" s="78" t="s">
        <v>2177</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2461</v>
      </c>
      <c r="S266" s="72" t="s">
        <v>1</v>
      </c>
      <c r="T266" s="72" t="str">
        <f t="shared" si="33"/>
        <v>Infraestruturais</v>
      </c>
      <c r="U266" s="72" t="str">
        <f t="shared" si="33"/>
        <v>Ferroviários</v>
      </c>
      <c r="V266" s="72" t="str">
        <f t="shared" si="33"/>
        <v>Ferrovias Trilhos</v>
      </c>
      <c r="W266" s="72" t="s">
        <v>2136</v>
      </c>
      <c r="X266" s="73" t="str">
        <f t="shared" si="38"/>
        <v>Key-INFRA-266</v>
      </c>
      <c r="Y266" s="72" t="s">
        <v>2191</v>
      </c>
      <c r="Z266" s="99" t="s">
        <v>1</v>
      </c>
      <c r="AA266" s="71" t="s">
        <v>2087</v>
      </c>
      <c r="AB266" s="99" t="s">
        <v>1</v>
      </c>
      <c r="AC266" s="74" t="s">
        <v>1</v>
      </c>
    </row>
    <row r="267" spans="1:29" s="34" customFormat="1" ht="6.6" customHeight="1" x14ac:dyDescent="0.15">
      <c r="A267" s="64">
        <v>267</v>
      </c>
      <c r="B267" s="69" t="s">
        <v>2140</v>
      </c>
      <c r="C267" s="78" t="s">
        <v>2177</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2462</v>
      </c>
      <c r="S267" s="72" t="s">
        <v>1</v>
      </c>
      <c r="T267" s="72" t="str">
        <f t="shared" si="33"/>
        <v>Infraestruturais</v>
      </c>
      <c r="U267" s="72" t="str">
        <f t="shared" si="33"/>
        <v>Ferroviários</v>
      </c>
      <c r="V267" s="72" t="str">
        <f t="shared" si="33"/>
        <v>Ferrovias Trilhos</v>
      </c>
      <c r="W267" s="72" t="s">
        <v>2136</v>
      </c>
      <c r="X267" s="73" t="str">
        <f t="shared" si="38"/>
        <v>Key-INFRA-267</v>
      </c>
      <c r="Y267" s="72" t="s">
        <v>2191</v>
      </c>
      <c r="Z267" s="99" t="s">
        <v>1</v>
      </c>
      <c r="AA267" s="71" t="s">
        <v>2088</v>
      </c>
      <c r="AB267" s="99" t="s">
        <v>1</v>
      </c>
      <c r="AC267" s="74" t="s">
        <v>1</v>
      </c>
    </row>
    <row r="268" spans="1:29" customFormat="1" ht="6.6" customHeight="1" x14ac:dyDescent="0.25">
      <c r="A268" s="64">
        <v>268</v>
      </c>
      <c r="B268" s="69" t="s">
        <v>2140</v>
      </c>
      <c r="C268" s="78" t="s">
        <v>2177</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2463</v>
      </c>
      <c r="S268" s="72" t="s">
        <v>1</v>
      </c>
      <c r="T268" s="72" t="str">
        <f t="shared" si="33"/>
        <v>Infraestruturais</v>
      </c>
      <c r="U268" s="72" t="str">
        <f t="shared" si="33"/>
        <v>Ferroviários</v>
      </c>
      <c r="V268" s="72" t="str">
        <f t="shared" si="33"/>
        <v>Ferrovias Partes</v>
      </c>
      <c r="W268" s="72" t="s">
        <v>2136</v>
      </c>
      <c r="X268" s="73" t="str">
        <f t="shared" si="38"/>
        <v>Key-INFRA-268</v>
      </c>
      <c r="Y268" s="72" t="s">
        <v>2191</v>
      </c>
      <c r="Z268" s="99" t="s">
        <v>1</v>
      </c>
      <c r="AA268" s="71" t="s">
        <v>2088</v>
      </c>
      <c r="AB268" s="99" t="s">
        <v>1</v>
      </c>
      <c r="AC268" s="74" t="s">
        <v>1</v>
      </c>
    </row>
    <row r="269" spans="1:29" customFormat="1" ht="6.6" customHeight="1" x14ac:dyDescent="0.25">
      <c r="A269" s="64">
        <v>269</v>
      </c>
      <c r="B269" s="69" t="s">
        <v>2140</v>
      </c>
      <c r="C269" s="78" t="s">
        <v>2177</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2464</v>
      </c>
      <c r="S269" s="72" t="s">
        <v>1</v>
      </c>
      <c r="T269" s="72" t="str">
        <f t="shared" si="33"/>
        <v>Infraestruturais</v>
      </c>
      <c r="U269" s="72" t="str">
        <f t="shared" si="33"/>
        <v>Ferroviários</v>
      </c>
      <c r="V269" s="72" t="str">
        <f t="shared" si="33"/>
        <v>Ferrovias Partes</v>
      </c>
      <c r="W269" s="72" t="s">
        <v>2136</v>
      </c>
      <c r="X269" s="73" t="str">
        <f t="shared" si="38"/>
        <v>Key-INFRA-269</v>
      </c>
      <c r="Y269" s="72" t="s">
        <v>2191</v>
      </c>
      <c r="Z269" s="99" t="s">
        <v>1</v>
      </c>
      <c r="AA269" s="71" t="s">
        <v>2088</v>
      </c>
      <c r="AB269" s="99" t="s">
        <v>1</v>
      </c>
      <c r="AC269" s="74" t="s">
        <v>1</v>
      </c>
    </row>
    <row r="270" spans="1:29" customFormat="1" ht="6.6" customHeight="1" x14ac:dyDescent="0.25">
      <c r="A270" s="64">
        <v>270</v>
      </c>
      <c r="B270" s="69" t="s">
        <v>2140</v>
      </c>
      <c r="C270" s="78" t="s">
        <v>2177</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2465</v>
      </c>
      <c r="S270" s="72" t="s">
        <v>1</v>
      </c>
      <c r="T270" s="72" t="str">
        <f t="shared" si="33"/>
        <v>Infraestruturais</v>
      </c>
      <c r="U270" s="72" t="str">
        <f t="shared" si="33"/>
        <v>Ferroviários</v>
      </c>
      <c r="V270" s="72" t="str">
        <f t="shared" si="33"/>
        <v>Ferrovias Partes</v>
      </c>
      <c r="W270" s="72" t="s">
        <v>2136</v>
      </c>
      <c r="X270" s="73" t="str">
        <f t="shared" si="38"/>
        <v>Key-INFRA-270</v>
      </c>
      <c r="Y270" s="72" t="s">
        <v>2191</v>
      </c>
      <c r="Z270" s="99" t="s">
        <v>1</v>
      </c>
      <c r="AA270" s="71" t="s">
        <v>2088</v>
      </c>
      <c r="AB270" s="99" t="s">
        <v>1</v>
      </c>
      <c r="AC270" s="74" t="s">
        <v>1</v>
      </c>
    </row>
    <row r="271" spans="1:29" customFormat="1" ht="6.6" customHeight="1" x14ac:dyDescent="0.25">
      <c r="A271" s="64">
        <v>271</v>
      </c>
      <c r="B271" s="69" t="s">
        <v>2140</v>
      </c>
      <c r="C271" s="78" t="s">
        <v>2177</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2466</v>
      </c>
      <c r="S271" s="72" t="s">
        <v>1</v>
      </c>
      <c r="T271" s="72" t="str">
        <f t="shared" si="33"/>
        <v>Infraestruturais</v>
      </c>
      <c r="U271" s="72" t="str">
        <f t="shared" si="33"/>
        <v>Ferroviários</v>
      </c>
      <c r="V271" s="72" t="str">
        <f t="shared" si="33"/>
        <v>Ferrovias Partes</v>
      </c>
      <c r="W271" s="72" t="s">
        <v>2136</v>
      </c>
      <c r="X271" s="73" t="str">
        <f t="shared" si="38"/>
        <v>Key-INFRA-271</v>
      </c>
      <c r="Y271" s="72" t="s">
        <v>2191</v>
      </c>
      <c r="Z271" s="99" t="s">
        <v>1</v>
      </c>
      <c r="AA271" s="71" t="s">
        <v>2088</v>
      </c>
      <c r="AB271" s="99" t="s">
        <v>1</v>
      </c>
      <c r="AC271" s="74" t="s">
        <v>1</v>
      </c>
    </row>
    <row r="272" spans="1:29" customFormat="1" ht="6.6" customHeight="1" x14ac:dyDescent="0.25">
      <c r="A272" s="64">
        <v>272</v>
      </c>
      <c r="B272" s="69" t="s">
        <v>2140</v>
      </c>
      <c r="C272" s="78" t="s">
        <v>2177</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2467</v>
      </c>
      <c r="S272" s="72" t="s">
        <v>1</v>
      </c>
      <c r="T272" s="72" t="str">
        <f t="shared" si="33"/>
        <v>Infraestruturais</v>
      </c>
      <c r="U272" s="72" t="str">
        <f t="shared" si="33"/>
        <v>Ferroviários</v>
      </c>
      <c r="V272" s="72" t="str">
        <f t="shared" si="33"/>
        <v>Ferrovias Partes</v>
      </c>
      <c r="W272" s="72" t="s">
        <v>2136</v>
      </c>
      <c r="X272" s="73" t="str">
        <f t="shared" si="38"/>
        <v>Key-INFRA-272</v>
      </c>
      <c r="Y272" s="72" t="s">
        <v>2191</v>
      </c>
      <c r="Z272" s="99" t="s">
        <v>1</v>
      </c>
      <c r="AA272" s="71" t="s">
        <v>2088</v>
      </c>
      <c r="AB272" s="99" t="s">
        <v>1</v>
      </c>
      <c r="AC272" s="74" t="s">
        <v>1</v>
      </c>
    </row>
    <row r="273" spans="1:29" customFormat="1" ht="6.6" customHeight="1" x14ac:dyDescent="0.25">
      <c r="A273" s="64">
        <v>273</v>
      </c>
      <c r="B273" s="69" t="s">
        <v>2140</v>
      </c>
      <c r="C273" s="78" t="s">
        <v>2177</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2468</v>
      </c>
      <c r="S273" s="72" t="s">
        <v>1</v>
      </c>
      <c r="T273" s="72" t="str">
        <f t="shared" si="33"/>
        <v>Infraestruturais</v>
      </c>
      <c r="U273" s="72" t="str">
        <f t="shared" si="33"/>
        <v>Ferroviários</v>
      </c>
      <c r="V273" s="72" t="str">
        <f t="shared" si="33"/>
        <v>Ferrovias Partes</v>
      </c>
      <c r="W273" s="72" t="s">
        <v>2136</v>
      </c>
      <c r="X273" s="73" t="str">
        <f t="shared" si="38"/>
        <v>Key-INFRA-273</v>
      </c>
      <c r="Y273" s="72" t="s">
        <v>2191</v>
      </c>
      <c r="Z273" s="99" t="s">
        <v>1</v>
      </c>
      <c r="AA273" s="71" t="s">
        <v>2088</v>
      </c>
      <c r="AB273" s="99" t="s">
        <v>1</v>
      </c>
      <c r="AC273" s="74" t="s">
        <v>1</v>
      </c>
    </row>
    <row r="274" spans="1:29" customFormat="1" ht="6.6" customHeight="1" x14ac:dyDescent="0.25">
      <c r="A274" s="64">
        <v>274</v>
      </c>
      <c r="B274" s="69" t="s">
        <v>2140</v>
      </c>
      <c r="C274" s="78" t="s">
        <v>2177</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2469</v>
      </c>
      <c r="S274" s="72" t="s">
        <v>1</v>
      </c>
      <c r="T274" s="72" t="str">
        <f t="shared" si="33"/>
        <v>Infraestruturais</v>
      </c>
      <c r="U274" s="72" t="str">
        <f t="shared" si="33"/>
        <v>Ferroviários</v>
      </c>
      <c r="V274" s="72" t="str">
        <f t="shared" si="33"/>
        <v>Ferrovias Partes</v>
      </c>
      <c r="W274" s="72" t="s">
        <v>2136</v>
      </c>
      <c r="X274" s="73" t="str">
        <f t="shared" si="38"/>
        <v>Key-INFRA-274</v>
      </c>
      <c r="Y274" s="72" t="s">
        <v>2191</v>
      </c>
      <c r="Z274" s="99" t="s">
        <v>1</v>
      </c>
      <c r="AA274" s="71" t="s">
        <v>2088</v>
      </c>
      <c r="AB274" s="99" t="s">
        <v>1</v>
      </c>
      <c r="AC274" s="74" t="s">
        <v>1</v>
      </c>
    </row>
    <row r="275" spans="1:29" customFormat="1" ht="6.6" customHeight="1" x14ac:dyDescent="0.25">
      <c r="A275" s="64">
        <v>275</v>
      </c>
      <c r="B275" s="69" t="s">
        <v>2140</v>
      </c>
      <c r="C275" s="78" t="s">
        <v>2177</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2470</v>
      </c>
      <c r="S275" s="72" t="s">
        <v>1</v>
      </c>
      <c r="T275" s="72" t="str">
        <f t="shared" si="33"/>
        <v>Infraestruturais</v>
      </c>
      <c r="U275" s="72" t="str">
        <f t="shared" si="33"/>
        <v>Ferroviários</v>
      </c>
      <c r="V275" s="72" t="str">
        <f t="shared" si="33"/>
        <v>Ferrovias Partes</v>
      </c>
      <c r="W275" s="72" t="s">
        <v>2136</v>
      </c>
      <c r="X275" s="73" t="str">
        <f t="shared" si="38"/>
        <v>Key-INFRA-275</v>
      </c>
      <c r="Y275" s="72" t="s">
        <v>2191</v>
      </c>
      <c r="Z275" s="99" t="s">
        <v>1</v>
      </c>
      <c r="AA275" s="71" t="s">
        <v>2088</v>
      </c>
      <c r="AB275" s="99" t="s">
        <v>1</v>
      </c>
      <c r="AC275" s="74" t="s">
        <v>1</v>
      </c>
    </row>
    <row r="276" spans="1:29" customFormat="1" ht="6.6" customHeight="1" x14ac:dyDescent="0.25">
      <c r="A276" s="64">
        <v>276</v>
      </c>
      <c r="B276" s="69" t="s">
        <v>2140</v>
      </c>
      <c r="C276" s="78" t="s">
        <v>2177</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2471</v>
      </c>
      <c r="S276" s="72" t="s">
        <v>1</v>
      </c>
      <c r="T276" s="72" t="str">
        <f t="shared" si="33"/>
        <v>Infraestruturais</v>
      </c>
      <c r="U276" s="72" t="str">
        <f t="shared" si="33"/>
        <v>Ferroviários</v>
      </c>
      <c r="V276" s="72" t="str">
        <f t="shared" si="33"/>
        <v>Ferrovias Partes</v>
      </c>
      <c r="W276" s="72" t="s">
        <v>2136</v>
      </c>
      <c r="X276" s="73" t="str">
        <f t="shared" si="38"/>
        <v>Key-INFRA-276</v>
      </c>
      <c r="Y276" s="72" t="s">
        <v>2191</v>
      </c>
      <c r="Z276" s="99" t="s">
        <v>1</v>
      </c>
      <c r="AA276" s="71" t="s">
        <v>2089</v>
      </c>
      <c r="AB276" s="99" t="s">
        <v>1</v>
      </c>
      <c r="AC276" s="74" t="s">
        <v>1</v>
      </c>
    </row>
    <row r="277" spans="1:29" customFormat="1" ht="6.6" customHeight="1" x14ac:dyDescent="0.25">
      <c r="A277" s="64">
        <v>277</v>
      </c>
      <c r="B277" s="69" t="s">
        <v>2140</v>
      </c>
      <c r="C277" s="78" t="s">
        <v>2177</v>
      </c>
      <c r="D277" s="69" t="s">
        <v>2179</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2472</v>
      </c>
      <c r="S277" s="72" t="s">
        <v>1</v>
      </c>
      <c r="T277" s="72" t="str">
        <f t="shared" si="33"/>
        <v>Infraestruturais</v>
      </c>
      <c r="U277" s="72" t="str">
        <f t="shared" si="33"/>
        <v>Hidroviários</v>
      </c>
      <c r="V277" s="72" t="str">
        <f t="shared" si="33"/>
        <v>Vias de Navegação</v>
      </c>
      <c r="W277" s="72" t="s">
        <v>2136</v>
      </c>
      <c r="X277" s="73" t="str">
        <f t="shared" si="38"/>
        <v>Key-INFRA-277</v>
      </c>
      <c r="Y277" s="72" t="s">
        <v>2192</v>
      </c>
      <c r="Z277" s="99" t="s">
        <v>1</v>
      </c>
      <c r="AA277" s="72" t="s">
        <v>2089</v>
      </c>
      <c r="AB277" s="99" t="s">
        <v>1</v>
      </c>
      <c r="AC277" s="74" t="s">
        <v>1</v>
      </c>
    </row>
    <row r="278" spans="1:29" customFormat="1" ht="6.6" customHeight="1" x14ac:dyDescent="0.25">
      <c r="A278" s="64">
        <v>278</v>
      </c>
      <c r="B278" s="69" t="s">
        <v>2140</v>
      </c>
      <c r="C278" s="78" t="s">
        <v>2177</v>
      </c>
      <c r="D278" s="69" t="s">
        <v>2179</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2473</v>
      </c>
      <c r="S278" s="72" t="s">
        <v>1</v>
      </c>
      <c r="T278" s="72" t="str">
        <f t="shared" si="33"/>
        <v>Infraestruturais</v>
      </c>
      <c r="U278" s="72" t="str">
        <f t="shared" si="33"/>
        <v>Hidroviários</v>
      </c>
      <c r="V278" s="72" t="str">
        <f t="shared" si="33"/>
        <v>Vias de Navegação</v>
      </c>
      <c r="W278" s="72" t="s">
        <v>2136</v>
      </c>
      <c r="X278" s="73" t="str">
        <f t="shared" si="38"/>
        <v>Key-INFRA-278</v>
      </c>
      <c r="Y278" s="72" t="s">
        <v>2192</v>
      </c>
      <c r="Z278" s="99" t="s">
        <v>1</v>
      </c>
      <c r="AA278" s="72" t="s">
        <v>2089</v>
      </c>
      <c r="AB278" s="99" t="s">
        <v>1</v>
      </c>
      <c r="AC278" s="74" t="s">
        <v>1</v>
      </c>
    </row>
    <row r="279" spans="1:29" customFormat="1" ht="6.6" customHeight="1" x14ac:dyDescent="0.25">
      <c r="A279" s="64">
        <v>279</v>
      </c>
      <c r="B279" s="69" t="s">
        <v>2140</v>
      </c>
      <c r="C279" s="78" t="s">
        <v>2177</v>
      </c>
      <c r="D279" s="69" t="s">
        <v>2179</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2474</v>
      </c>
      <c r="S279" s="72" t="s">
        <v>1</v>
      </c>
      <c r="T279" s="72" t="str">
        <f t="shared" si="33"/>
        <v>Infraestruturais</v>
      </c>
      <c r="U279" s="72" t="str">
        <f t="shared" si="33"/>
        <v>Hidroviários</v>
      </c>
      <c r="V279" s="72" t="str">
        <f t="shared" si="33"/>
        <v>Vias de Navegação</v>
      </c>
      <c r="W279" s="72" t="s">
        <v>2136</v>
      </c>
      <c r="X279" s="73" t="str">
        <f t="shared" si="38"/>
        <v>Key-INFRA-279</v>
      </c>
      <c r="Y279" s="72" t="s">
        <v>2192</v>
      </c>
      <c r="Z279" s="99" t="s">
        <v>1</v>
      </c>
      <c r="AA279" s="72" t="s">
        <v>2089</v>
      </c>
      <c r="AB279" s="99" t="s">
        <v>1</v>
      </c>
      <c r="AC279" s="74" t="s">
        <v>1</v>
      </c>
    </row>
    <row r="280" spans="1:29" customFormat="1" ht="6.6" customHeight="1" x14ac:dyDescent="0.25">
      <c r="A280" s="64">
        <v>280</v>
      </c>
      <c r="B280" s="69" t="s">
        <v>2140</v>
      </c>
      <c r="C280" s="78" t="s">
        <v>2177</v>
      </c>
      <c r="D280" s="69" t="s">
        <v>2179</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2475</v>
      </c>
      <c r="S280" s="72" t="s">
        <v>1</v>
      </c>
      <c r="T280" s="72" t="str">
        <f t="shared" si="33"/>
        <v>Infraestruturais</v>
      </c>
      <c r="U280" s="72" t="str">
        <f t="shared" si="33"/>
        <v>Hidroviários</v>
      </c>
      <c r="V280" s="72" t="str">
        <f t="shared" si="33"/>
        <v>Vias de Navegação</v>
      </c>
      <c r="W280" s="72" t="s">
        <v>2136</v>
      </c>
      <c r="X280" s="73" t="str">
        <f t="shared" si="38"/>
        <v>Key-INFRA-280</v>
      </c>
      <c r="Y280" s="72" t="s">
        <v>2031</v>
      </c>
      <c r="Z280" s="99" t="s">
        <v>1</v>
      </c>
      <c r="AA280" s="72" t="s">
        <v>2089</v>
      </c>
      <c r="AB280" s="99" t="s">
        <v>1</v>
      </c>
      <c r="AC280" s="74" t="s">
        <v>1</v>
      </c>
    </row>
    <row r="281" spans="1:29" customFormat="1" ht="6.6" customHeight="1" x14ac:dyDescent="0.25">
      <c r="A281" s="64">
        <v>281</v>
      </c>
      <c r="B281" s="69" t="s">
        <v>2140</v>
      </c>
      <c r="C281" s="78" t="s">
        <v>2177</v>
      </c>
      <c r="D281" s="69" t="s">
        <v>2179</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2476</v>
      </c>
      <c r="S281" s="72" t="s">
        <v>1</v>
      </c>
      <c r="T281" s="72" t="str">
        <f t="shared" si="33"/>
        <v>Infraestruturais</v>
      </c>
      <c r="U281" s="72" t="str">
        <f t="shared" si="33"/>
        <v>Hidroviários</v>
      </c>
      <c r="V281" s="72" t="str">
        <f t="shared" si="33"/>
        <v>Vias de Navegação</v>
      </c>
      <c r="W281" s="72" t="s">
        <v>2136</v>
      </c>
      <c r="X281" s="73" t="str">
        <f t="shared" si="38"/>
        <v>Key-INFRA-281</v>
      </c>
      <c r="Y281" s="72" t="s">
        <v>2031</v>
      </c>
      <c r="Z281" s="99" t="s">
        <v>1</v>
      </c>
      <c r="AA281" s="72" t="s">
        <v>2089</v>
      </c>
      <c r="AB281" s="99" t="s">
        <v>1</v>
      </c>
      <c r="AC281" s="74" t="s">
        <v>1</v>
      </c>
    </row>
    <row r="282" spans="1:29" customFormat="1" ht="6.6" customHeight="1" x14ac:dyDescent="0.25">
      <c r="A282" s="64">
        <v>282</v>
      </c>
      <c r="B282" s="69" t="s">
        <v>2140</v>
      </c>
      <c r="C282" s="78" t="s">
        <v>2177</v>
      </c>
      <c r="D282" s="69" t="s">
        <v>2179</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2477</v>
      </c>
      <c r="S282" s="72" t="s">
        <v>1</v>
      </c>
      <c r="T282" s="72" t="str">
        <f t="shared" si="33"/>
        <v>Infraestruturais</v>
      </c>
      <c r="U282" s="72" t="str">
        <f t="shared" si="33"/>
        <v>Hidroviários</v>
      </c>
      <c r="V282" s="72" t="str">
        <f t="shared" si="33"/>
        <v>Vias de Navegação</v>
      </c>
      <c r="W282" s="72" t="s">
        <v>2136</v>
      </c>
      <c r="X282" s="73" t="str">
        <f t="shared" si="38"/>
        <v>Key-INFRA-282</v>
      </c>
      <c r="Y282" s="72" t="s">
        <v>2031</v>
      </c>
      <c r="Z282" s="99" t="s">
        <v>1</v>
      </c>
      <c r="AA282" s="72" t="s">
        <v>2089</v>
      </c>
      <c r="AB282" s="99" t="s">
        <v>1</v>
      </c>
      <c r="AC282" s="74" t="s">
        <v>1</v>
      </c>
    </row>
    <row r="283" spans="1:29" customFormat="1" ht="6.6" customHeight="1" x14ac:dyDescent="0.25">
      <c r="A283" s="64">
        <v>283</v>
      </c>
      <c r="B283" s="69" t="s">
        <v>2140</v>
      </c>
      <c r="C283" s="78" t="s">
        <v>2177</v>
      </c>
      <c r="D283" s="69" t="s">
        <v>2179</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2478</v>
      </c>
      <c r="S283" s="72" t="s">
        <v>1</v>
      </c>
      <c r="T283" s="72" t="str">
        <f t="shared" si="33"/>
        <v>Infraestruturais</v>
      </c>
      <c r="U283" s="72" t="str">
        <f t="shared" si="33"/>
        <v>Hidroviários</v>
      </c>
      <c r="V283" s="72" t="str">
        <f t="shared" si="33"/>
        <v>Vias de Navegação</v>
      </c>
      <c r="W283" s="72" t="s">
        <v>2136</v>
      </c>
      <c r="X283" s="73" t="str">
        <f t="shared" si="38"/>
        <v>Key-INFRA-283</v>
      </c>
      <c r="Y283" s="72" t="s">
        <v>2031</v>
      </c>
      <c r="Z283" s="99" t="s">
        <v>1</v>
      </c>
      <c r="AA283" s="72" t="s">
        <v>2089</v>
      </c>
      <c r="AB283" s="99" t="s">
        <v>1</v>
      </c>
      <c r="AC283" s="74" t="s">
        <v>1</v>
      </c>
    </row>
    <row r="284" spans="1:29" customFormat="1" ht="6.6" customHeight="1" x14ac:dyDescent="0.25">
      <c r="A284" s="64">
        <v>284</v>
      </c>
      <c r="B284" s="69" t="s">
        <v>2140</v>
      </c>
      <c r="C284" s="78" t="s">
        <v>2177</v>
      </c>
      <c r="D284" s="69" t="s">
        <v>2179</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2479</v>
      </c>
      <c r="S284" s="72" t="s">
        <v>1</v>
      </c>
      <c r="T284" s="72" t="str">
        <f t="shared" si="33"/>
        <v>Infraestruturais</v>
      </c>
      <c r="U284" s="72" t="str">
        <f t="shared" si="33"/>
        <v>Hidroviários</v>
      </c>
      <c r="V284" s="72" t="str">
        <f t="shared" si="33"/>
        <v>Vias de Navegação</v>
      </c>
      <c r="W284" s="72" t="s">
        <v>2136</v>
      </c>
      <c r="X284" s="73" t="str">
        <f t="shared" si="38"/>
        <v>Key-INFRA-284</v>
      </c>
      <c r="Y284" s="72" t="s">
        <v>2031</v>
      </c>
      <c r="Z284" s="99" t="s">
        <v>1</v>
      </c>
      <c r="AA284" s="72" t="s">
        <v>2089</v>
      </c>
      <c r="AB284" s="99" t="s">
        <v>1</v>
      </c>
      <c r="AC284" s="74" t="s">
        <v>1</v>
      </c>
    </row>
    <row r="285" spans="1:29" customFormat="1" ht="6.6" customHeight="1" x14ac:dyDescent="0.25">
      <c r="A285" s="64">
        <v>285</v>
      </c>
      <c r="B285" s="69" t="s">
        <v>2140</v>
      </c>
      <c r="C285" s="78" t="s">
        <v>2177</v>
      </c>
      <c r="D285" s="69" t="s">
        <v>2179</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2480</v>
      </c>
      <c r="S285" s="72" t="s">
        <v>1</v>
      </c>
      <c r="T285" s="72" t="str">
        <f t="shared" si="33"/>
        <v>Infraestruturais</v>
      </c>
      <c r="U285" s="72" t="str">
        <f t="shared" si="33"/>
        <v>Hidroviários</v>
      </c>
      <c r="V285" s="72" t="str">
        <f t="shared" si="33"/>
        <v>Vias de Navegação</v>
      </c>
      <c r="W285" s="72" t="s">
        <v>2136</v>
      </c>
      <c r="X285" s="73" t="str">
        <f t="shared" si="38"/>
        <v>Key-INFRA-285</v>
      </c>
      <c r="Y285" s="72" t="s">
        <v>2031</v>
      </c>
      <c r="Z285" s="99" t="s">
        <v>1</v>
      </c>
      <c r="AA285" s="72" t="s">
        <v>2089</v>
      </c>
      <c r="AB285" s="99" t="s">
        <v>1</v>
      </c>
      <c r="AC285" s="74" t="s">
        <v>1</v>
      </c>
    </row>
    <row r="286" spans="1:29" customFormat="1" ht="6.6" customHeight="1" x14ac:dyDescent="0.25">
      <c r="A286" s="64">
        <v>286</v>
      </c>
      <c r="B286" s="69" t="s">
        <v>2140</v>
      </c>
      <c r="C286" s="78" t="s">
        <v>2177</v>
      </c>
      <c r="D286" s="69" t="s">
        <v>2179</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2481</v>
      </c>
      <c r="S286" s="72" t="s">
        <v>1</v>
      </c>
      <c r="T286" s="72" t="str">
        <f t="shared" si="33"/>
        <v>Infraestruturais</v>
      </c>
      <c r="U286" s="72" t="str">
        <f t="shared" si="33"/>
        <v>Hidroviários</v>
      </c>
      <c r="V286" s="72" t="str">
        <f t="shared" si="33"/>
        <v>Vias de Navegação</v>
      </c>
      <c r="W286" s="72" t="s">
        <v>2136</v>
      </c>
      <c r="X286" s="73" t="str">
        <f t="shared" si="38"/>
        <v>Key-INFRA-286</v>
      </c>
      <c r="Y286" s="72" t="s">
        <v>2031</v>
      </c>
      <c r="Z286" s="99" t="s">
        <v>1</v>
      </c>
      <c r="AA286" s="72" t="s">
        <v>2089</v>
      </c>
      <c r="AB286" s="99" t="s">
        <v>1</v>
      </c>
      <c r="AC286" s="74" t="s">
        <v>1</v>
      </c>
    </row>
    <row r="287" spans="1:29" customFormat="1" ht="6.6" customHeight="1" x14ac:dyDescent="0.25">
      <c r="A287" s="64">
        <v>287</v>
      </c>
      <c r="B287" s="69" t="s">
        <v>2140</v>
      </c>
      <c r="C287" s="78" t="s">
        <v>2177</v>
      </c>
      <c r="D287" s="69" t="s">
        <v>2179</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2482</v>
      </c>
      <c r="S287" s="72" t="s">
        <v>1</v>
      </c>
      <c r="T287" s="72" t="str">
        <f t="shared" si="33"/>
        <v>Infraestruturais</v>
      </c>
      <c r="U287" s="72" t="str">
        <f t="shared" si="33"/>
        <v>Hidroviários</v>
      </c>
      <c r="V287" s="72" t="str">
        <f t="shared" si="33"/>
        <v>Amarrações</v>
      </c>
      <c r="W287" s="72" t="s">
        <v>2136</v>
      </c>
      <c r="X287" s="73" t="str">
        <f t="shared" si="38"/>
        <v>Key-INFRA-287</v>
      </c>
      <c r="Y287" s="72" t="s">
        <v>2031</v>
      </c>
      <c r="Z287" s="99" t="s">
        <v>1</v>
      </c>
      <c r="AA287" s="72" t="s">
        <v>2089</v>
      </c>
      <c r="AB287" s="99" t="s">
        <v>1</v>
      </c>
      <c r="AC287" s="74" t="s">
        <v>1</v>
      </c>
    </row>
    <row r="288" spans="1:29" customFormat="1" ht="6.6" customHeight="1" x14ac:dyDescent="0.25">
      <c r="A288" s="64">
        <v>288</v>
      </c>
      <c r="B288" s="69" t="s">
        <v>2140</v>
      </c>
      <c r="C288" s="78" t="s">
        <v>2177</v>
      </c>
      <c r="D288" s="69" t="s">
        <v>2179</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2483</v>
      </c>
      <c r="S288" s="72" t="s">
        <v>1</v>
      </c>
      <c r="T288" s="72" t="str">
        <f t="shared" si="33"/>
        <v>Infraestruturais</v>
      </c>
      <c r="U288" s="72" t="str">
        <f t="shared" si="33"/>
        <v>Hidroviários</v>
      </c>
      <c r="V288" s="72" t="str">
        <f t="shared" si="33"/>
        <v>Amarrações</v>
      </c>
      <c r="W288" s="72" t="s">
        <v>2136</v>
      </c>
      <c r="X288" s="73" t="str">
        <f t="shared" si="38"/>
        <v>Key-INFRA-288</v>
      </c>
      <c r="Y288" s="72" t="s">
        <v>2031</v>
      </c>
      <c r="Z288" s="99" t="s">
        <v>1</v>
      </c>
      <c r="AA288" s="72" t="s">
        <v>2089</v>
      </c>
      <c r="AB288" s="99" t="s">
        <v>1</v>
      </c>
      <c r="AC288" s="74" t="s">
        <v>1</v>
      </c>
    </row>
    <row r="289" spans="1:29" customFormat="1" ht="6.6" customHeight="1" x14ac:dyDescent="0.25">
      <c r="A289" s="64">
        <v>289</v>
      </c>
      <c r="B289" s="69" t="s">
        <v>2140</v>
      </c>
      <c r="C289" s="78" t="s">
        <v>2177</v>
      </c>
      <c r="D289" s="69" t="s">
        <v>2179</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2484</v>
      </c>
      <c r="S289" s="72" t="s">
        <v>1</v>
      </c>
      <c r="T289" s="72" t="str">
        <f t="shared" si="33"/>
        <v>Infraestruturais</v>
      </c>
      <c r="U289" s="72" t="str">
        <f t="shared" si="33"/>
        <v>Hidroviários</v>
      </c>
      <c r="V289" s="72" t="str">
        <f t="shared" si="33"/>
        <v>Amarrações</v>
      </c>
      <c r="W289" s="72" t="s">
        <v>2136</v>
      </c>
      <c r="X289" s="73" t="str">
        <f t="shared" si="38"/>
        <v>Key-INFRA-289</v>
      </c>
      <c r="Y289" s="72" t="s">
        <v>2031</v>
      </c>
      <c r="Z289" s="99" t="s">
        <v>1</v>
      </c>
      <c r="AA289" s="72" t="s">
        <v>2089</v>
      </c>
      <c r="AB289" s="99" t="s">
        <v>1</v>
      </c>
      <c r="AC289" s="74" t="s">
        <v>1</v>
      </c>
    </row>
    <row r="290" spans="1:29" customFormat="1" ht="6.6" customHeight="1" x14ac:dyDescent="0.25">
      <c r="A290" s="64">
        <v>290</v>
      </c>
      <c r="B290" s="69" t="s">
        <v>2140</v>
      </c>
      <c r="C290" s="78" t="s">
        <v>2177</v>
      </c>
      <c r="D290" s="69" t="s">
        <v>2179</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2485</v>
      </c>
      <c r="S290" s="72" t="s">
        <v>1</v>
      </c>
      <c r="T290" s="72" t="str">
        <f t="shared" si="33"/>
        <v>Infraestruturais</v>
      </c>
      <c r="U290" s="72" t="str">
        <f t="shared" si="33"/>
        <v>Hidroviários</v>
      </c>
      <c r="V290" s="72" t="str">
        <f t="shared" si="33"/>
        <v>Amarrações</v>
      </c>
      <c r="W290" s="72" t="s">
        <v>2136</v>
      </c>
      <c r="X290" s="73" t="str">
        <f t="shared" si="38"/>
        <v>Key-INFRA-290</v>
      </c>
      <c r="Y290" s="72" t="s">
        <v>2031</v>
      </c>
      <c r="Z290" s="99" t="s">
        <v>1</v>
      </c>
      <c r="AA290" s="72" t="s">
        <v>2089</v>
      </c>
      <c r="AB290" s="99" t="s">
        <v>1</v>
      </c>
      <c r="AC290" s="74" t="s">
        <v>1</v>
      </c>
    </row>
    <row r="291" spans="1:29" customFormat="1" ht="6.6" customHeight="1" x14ac:dyDescent="0.25">
      <c r="A291" s="64">
        <v>291</v>
      </c>
      <c r="B291" s="69" t="s">
        <v>2140</v>
      </c>
      <c r="C291" s="78" t="s">
        <v>2177</v>
      </c>
      <c r="D291" s="69" t="s">
        <v>2179</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2486</v>
      </c>
      <c r="S291" s="72" t="s">
        <v>1</v>
      </c>
      <c r="T291" s="72" t="str">
        <f t="shared" si="33"/>
        <v>Infraestruturais</v>
      </c>
      <c r="U291" s="72" t="str">
        <f t="shared" si="33"/>
        <v>Hidroviários</v>
      </c>
      <c r="V291" s="72" t="str">
        <f t="shared" si="33"/>
        <v>Amarrações</v>
      </c>
      <c r="W291" s="72" t="s">
        <v>2136</v>
      </c>
      <c r="X291" s="73" t="str">
        <f t="shared" si="38"/>
        <v>Key-INFRA-291</v>
      </c>
      <c r="Y291" s="72" t="s">
        <v>2031</v>
      </c>
      <c r="Z291" s="99" t="s">
        <v>1</v>
      </c>
      <c r="AA291" s="72" t="s">
        <v>2089</v>
      </c>
      <c r="AB291" s="99" t="s">
        <v>1</v>
      </c>
      <c r="AC291" s="74" t="s">
        <v>1</v>
      </c>
    </row>
    <row r="292" spans="1:29" customFormat="1" ht="6.6" customHeight="1" x14ac:dyDescent="0.25">
      <c r="A292" s="64">
        <v>292</v>
      </c>
      <c r="B292" s="69" t="s">
        <v>2140</v>
      </c>
      <c r="C292" s="78" t="s">
        <v>2177</v>
      </c>
      <c r="D292" s="69" t="s">
        <v>2179</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2487</v>
      </c>
      <c r="S292" s="72"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99" t="s">
        <v>1</v>
      </c>
      <c r="AA292" s="72" t="s">
        <v>2089</v>
      </c>
      <c r="AB292" s="99" t="s">
        <v>1</v>
      </c>
      <c r="AC292" s="74" t="s">
        <v>1</v>
      </c>
    </row>
    <row r="293" spans="1:29" customFormat="1" ht="6.6" customHeight="1" x14ac:dyDescent="0.25">
      <c r="A293" s="64">
        <v>293</v>
      </c>
      <c r="B293" s="69" t="s">
        <v>2140</v>
      </c>
      <c r="C293" s="78" t="s">
        <v>2177</v>
      </c>
      <c r="D293" s="69" t="s">
        <v>2179</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2488</v>
      </c>
      <c r="S293" s="72" t="s">
        <v>1</v>
      </c>
      <c r="T293" s="72" t="str">
        <f t="shared" si="42"/>
        <v>Infraestruturais</v>
      </c>
      <c r="U293" s="72" t="str">
        <f t="shared" si="42"/>
        <v>Hidroviários</v>
      </c>
      <c r="V293" s="72" t="str">
        <f t="shared" si="42"/>
        <v>Amarrações</v>
      </c>
      <c r="W293" s="72" t="s">
        <v>2136</v>
      </c>
      <c r="X293" s="73" t="str">
        <f t="shared" si="38"/>
        <v>Key-INFRA-293</v>
      </c>
      <c r="Y293" s="72" t="s">
        <v>2031</v>
      </c>
      <c r="Z293" s="99" t="s">
        <v>1</v>
      </c>
      <c r="AA293" s="72" t="s">
        <v>2089</v>
      </c>
      <c r="AB293" s="99" t="s">
        <v>1</v>
      </c>
      <c r="AC293" s="74" t="s">
        <v>1</v>
      </c>
    </row>
    <row r="294" spans="1:29" customFormat="1" ht="6.6" customHeight="1" x14ac:dyDescent="0.25">
      <c r="A294" s="64">
        <v>294</v>
      </c>
      <c r="B294" s="69" t="s">
        <v>2140</v>
      </c>
      <c r="C294" s="78" t="s">
        <v>2177</v>
      </c>
      <c r="D294" s="69" t="s">
        <v>2179</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2489</v>
      </c>
      <c r="S294" s="72" t="s">
        <v>1</v>
      </c>
      <c r="T294" s="72" t="str">
        <f t="shared" si="42"/>
        <v>Infraestruturais</v>
      </c>
      <c r="U294" s="72" t="str">
        <f t="shared" si="42"/>
        <v>Hidroviários</v>
      </c>
      <c r="V294" s="72" t="str">
        <f t="shared" si="42"/>
        <v>Amarrações</v>
      </c>
      <c r="W294" s="72" t="s">
        <v>2136</v>
      </c>
      <c r="X294" s="73" t="str">
        <f t="shared" si="38"/>
        <v>Key-INFRA-294</v>
      </c>
      <c r="Y294" s="72" t="s">
        <v>2031</v>
      </c>
      <c r="Z294" s="99" t="s">
        <v>1</v>
      </c>
      <c r="AA294" s="72" t="s">
        <v>2090</v>
      </c>
      <c r="AB294" s="99" t="s">
        <v>1</v>
      </c>
      <c r="AC294" s="74" t="s">
        <v>1</v>
      </c>
    </row>
    <row r="295" spans="1:29" customFormat="1" ht="6.6" customHeight="1" x14ac:dyDescent="0.25">
      <c r="A295" s="64">
        <v>295</v>
      </c>
      <c r="B295" s="69" t="s">
        <v>2140</v>
      </c>
      <c r="C295" s="78" t="s">
        <v>2177</v>
      </c>
      <c r="D295" s="69" t="s">
        <v>2179</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2490</v>
      </c>
      <c r="S295" s="72" t="s">
        <v>1</v>
      </c>
      <c r="T295" s="72" t="str">
        <f t="shared" si="42"/>
        <v>Infraestruturais</v>
      </c>
      <c r="U295" s="72" t="str">
        <f t="shared" si="42"/>
        <v>Hidroviários</v>
      </c>
      <c r="V295" s="72" t="str">
        <f t="shared" si="42"/>
        <v>Níveis Portuários</v>
      </c>
      <c r="W295" s="72" t="s">
        <v>2136</v>
      </c>
      <c r="X295" s="73" t="str">
        <f t="shared" si="38"/>
        <v>Key-INFRA-295</v>
      </c>
      <c r="Y295" s="72" t="s">
        <v>2193</v>
      </c>
      <c r="Z295" s="99" t="s">
        <v>1</v>
      </c>
      <c r="AA295" s="72" t="s">
        <v>2090</v>
      </c>
      <c r="AB295" s="99" t="s">
        <v>1</v>
      </c>
      <c r="AC295" s="74" t="s">
        <v>1</v>
      </c>
    </row>
    <row r="296" spans="1:29" customFormat="1" ht="6.6" customHeight="1" x14ac:dyDescent="0.25">
      <c r="A296" s="64">
        <v>296</v>
      </c>
      <c r="B296" s="69" t="s">
        <v>2140</v>
      </c>
      <c r="C296" s="78" t="s">
        <v>2177</v>
      </c>
      <c r="D296" s="69" t="s">
        <v>2179</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2491</v>
      </c>
      <c r="S296" s="72" t="s">
        <v>1</v>
      </c>
      <c r="T296" s="72" t="str">
        <f t="shared" si="42"/>
        <v>Infraestruturais</v>
      </c>
      <c r="U296" s="72" t="str">
        <f t="shared" si="42"/>
        <v>Hidroviários</v>
      </c>
      <c r="V296" s="72" t="str">
        <f t="shared" si="42"/>
        <v>Níveis Portuários</v>
      </c>
      <c r="W296" s="72" t="s">
        <v>2136</v>
      </c>
      <c r="X296" s="73" t="str">
        <f t="shared" si="38"/>
        <v>Key-INFRA-296</v>
      </c>
      <c r="Y296" s="72" t="s">
        <v>2193</v>
      </c>
      <c r="Z296" s="99" t="s">
        <v>1</v>
      </c>
      <c r="AA296" s="72" t="s">
        <v>2090</v>
      </c>
      <c r="AB296" s="99" t="s">
        <v>1</v>
      </c>
      <c r="AC296" s="74" t="s">
        <v>1</v>
      </c>
    </row>
    <row r="297" spans="1:29" customFormat="1" ht="6.6" customHeight="1" x14ac:dyDescent="0.25">
      <c r="A297" s="64">
        <v>297</v>
      </c>
      <c r="B297" s="69" t="s">
        <v>2140</v>
      </c>
      <c r="C297" s="78" t="s">
        <v>2177</v>
      </c>
      <c r="D297" s="69" t="s">
        <v>2179</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2492</v>
      </c>
      <c r="S297" s="72" t="s">
        <v>1</v>
      </c>
      <c r="T297" s="72" t="str">
        <f t="shared" si="42"/>
        <v>Infraestruturais</v>
      </c>
      <c r="U297" s="72" t="str">
        <f t="shared" si="42"/>
        <v>Hidroviários</v>
      </c>
      <c r="V297" s="72" t="str">
        <f t="shared" si="42"/>
        <v>Níveis Portuários</v>
      </c>
      <c r="W297" s="72" t="s">
        <v>2136</v>
      </c>
      <c r="X297" s="73" t="str">
        <f t="shared" si="38"/>
        <v>Key-INFRA-297</v>
      </c>
      <c r="Y297" s="72" t="s">
        <v>2193</v>
      </c>
      <c r="Z297" s="99" t="s">
        <v>1</v>
      </c>
      <c r="AA297" s="72" t="s">
        <v>2090</v>
      </c>
      <c r="AB297" s="99" t="s">
        <v>1</v>
      </c>
      <c r="AC297" s="74" t="s">
        <v>1</v>
      </c>
    </row>
    <row r="298" spans="1:29" customFormat="1" ht="6.6" customHeight="1" x14ac:dyDescent="0.25">
      <c r="A298" s="64">
        <v>298</v>
      </c>
      <c r="B298" s="69" t="s">
        <v>2140</v>
      </c>
      <c r="C298" s="78" t="s">
        <v>2177</v>
      </c>
      <c r="D298" s="69" t="s">
        <v>2179</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2493</v>
      </c>
      <c r="S298" s="72" t="s">
        <v>1</v>
      </c>
      <c r="T298" s="72" t="str">
        <f t="shared" si="42"/>
        <v>Infraestruturais</v>
      </c>
      <c r="U298" s="72" t="str">
        <f t="shared" si="42"/>
        <v>Hidroviários</v>
      </c>
      <c r="V298" s="72" t="str">
        <f t="shared" si="42"/>
        <v>Níveis Portuários</v>
      </c>
      <c r="W298" s="72" t="s">
        <v>2136</v>
      </c>
      <c r="X298" s="73" t="str">
        <f t="shared" si="38"/>
        <v>Key-INFRA-298</v>
      </c>
      <c r="Y298" s="72" t="s">
        <v>2193</v>
      </c>
      <c r="Z298" s="99" t="s">
        <v>1</v>
      </c>
      <c r="AA298" s="72" t="s">
        <v>2090</v>
      </c>
      <c r="AB298" s="99" t="s">
        <v>1</v>
      </c>
      <c r="AC298" s="74" t="s">
        <v>1</v>
      </c>
    </row>
    <row r="299" spans="1:29" customFormat="1" ht="6.6" customHeight="1" x14ac:dyDescent="0.25">
      <c r="A299" s="64">
        <v>299</v>
      </c>
      <c r="B299" s="69" t="s">
        <v>2140</v>
      </c>
      <c r="C299" s="78" t="s">
        <v>2177</v>
      </c>
      <c r="D299" s="69" t="s">
        <v>2179</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2494</v>
      </c>
      <c r="S299" s="72" t="s">
        <v>1</v>
      </c>
      <c r="T299" s="72" t="str">
        <f t="shared" si="42"/>
        <v>Infraestruturais</v>
      </c>
      <c r="U299" s="72" t="str">
        <f t="shared" si="42"/>
        <v>Hidroviários</v>
      </c>
      <c r="V299" s="72" t="str">
        <f t="shared" si="42"/>
        <v>Níveis Portuários</v>
      </c>
      <c r="W299" s="72" t="s">
        <v>2136</v>
      </c>
      <c r="X299" s="73" t="str">
        <f t="shared" si="38"/>
        <v>Key-INFRA-299</v>
      </c>
      <c r="Y299" s="72" t="s">
        <v>2193</v>
      </c>
      <c r="Z299" s="99" t="s">
        <v>1</v>
      </c>
      <c r="AA299" s="72" t="s">
        <v>2090</v>
      </c>
      <c r="AB299" s="99" t="s">
        <v>1</v>
      </c>
      <c r="AC299" s="74" t="s">
        <v>1</v>
      </c>
    </row>
    <row r="300" spans="1:29" customFormat="1" ht="6.6" customHeight="1" x14ac:dyDescent="0.25">
      <c r="A300" s="64">
        <v>300</v>
      </c>
      <c r="B300" s="69" t="s">
        <v>2140</v>
      </c>
      <c r="C300" s="78" t="s">
        <v>2177</v>
      </c>
      <c r="D300" s="69" t="s">
        <v>2179</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2495</v>
      </c>
      <c r="S300" s="72" t="s">
        <v>1</v>
      </c>
      <c r="T300" s="72" t="str">
        <f t="shared" si="42"/>
        <v>Infraestruturais</v>
      </c>
      <c r="U300" s="72" t="str">
        <f t="shared" si="42"/>
        <v>Hidroviários</v>
      </c>
      <c r="V300" s="72" t="str">
        <f t="shared" si="42"/>
        <v>Níveis Portuários</v>
      </c>
      <c r="W300" s="72" t="s">
        <v>2136</v>
      </c>
      <c r="X300" s="73" t="str">
        <f t="shared" si="38"/>
        <v>Key-INFRA-300</v>
      </c>
      <c r="Y300" s="72" t="s">
        <v>2193</v>
      </c>
      <c r="Z300" s="99" t="s">
        <v>1</v>
      </c>
      <c r="AA300" s="72" t="s">
        <v>2090</v>
      </c>
      <c r="AB300" s="99" t="s">
        <v>1</v>
      </c>
      <c r="AC300" s="74" t="s">
        <v>1</v>
      </c>
    </row>
    <row r="301" spans="1:29" customFormat="1" ht="6.6" customHeight="1" x14ac:dyDescent="0.25">
      <c r="A301" s="64">
        <v>301</v>
      </c>
      <c r="B301" s="69" t="s">
        <v>2140</v>
      </c>
      <c r="C301" s="78" t="s">
        <v>2177</v>
      </c>
      <c r="D301" s="69" t="s">
        <v>2179</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2496</v>
      </c>
      <c r="S301" s="72" t="s">
        <v>1</v>
      </c>
      <c r="T301" s="72" t="str">
        <f t="shared" si="42"/>
        <v>Infraestruturais</v>
      </c>
      <c r="U301" s="72" t="str">
        <f t="shared" si="42"/>
        <v>Hidroviários</v>
      </c>
      <c r="V301" s="72" t="str">
        <f t="shared" si="42"/>
        <v>Níveis Portuários</v>
      </c>
      <c r="W301" s="72" t="s">
        <v>2136</v>
      </c>
      <c r="X301" s="73" t="str">
        <f t="shared" si="38"/>
        <v>Key-INFRA-301</v>
      </c>
      <c r="Y301" s="72" t="s">
        <v>2193</v>
      </c>
      <c r="Z301" s="99" t="s">
        <v>1</v>
      </c>
      <c r="AA301" s="72" t="s">
        <v>2069</v>
      </c>
      <c r="AB301" s="99" t="s">
        <v>1</v>
      </c>
      <c r="AC301" s="74" t="s">
        <v>1</v>
      </c>
    </row>
    <row r="302" spans="1:29" customFormat="1" ht="6.6" customHeight="1" x14ac:dyDescent="0.25">
      <c r="A302" s="64">
        <v>302</v>
      </c>
      <c r="B302" s="69" t="s">
        <v>2140</v>
      </c>
      <c r="C302" s="78" t="s">
        <v>2177</v>
      </c>
      <c r="D302" s="69" t="s">
        <v>2179</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2497</v>
      </c>
      <c r="S302" s="72" t="s">
        <v>1</v>
      </c>
      <c r="T302" s="72" t="str">
        <f t="shared" si="42"/>
        <v>Infraestruturais</v>
      </c>
      <c r="U302" s="72" t="str">
        <f t="shared" si="42"/>
        <v>Hidroviários</v>
      </c>
      <c r="V302" s="72" t="str">
        <f t="shared" si="42"/>
        <v>Portos</v>
      </c>
      <c r="W302" s="72" t="s">
        <v>2136</v>
      </c>
      <c r="X302" s="73" t="str">
        <f t="shared" si="38"/>
        <v>Key-INFRA-302</v>
      </c>
      <c r="Y302" s="72" t="s">
        <v>2030</v>
      </c>
      <c r="Z302" s="99" t="s">
        <v>1</v>
      </c>
      <c r="AA302" s="74" t="s">
        <v>2069</v>
      </c>
      <c r="AB302" s="99" t="s">
        <v>1</v>
      </c>
      <c r="AC302" s="74" t="s">
        <v>1</v>
      </c>
    </row>
    <row r="303" spans="1:29" customFormat="1" ht="6.6" customHeight="1" x14ac:dyDescent="0.25">
      <c r="A303" s="64">
        <v>303</v>
      </c>
      <c r="B303" s="69" t="s">
        <v>2140</v>
      </c>
      <c r="C303" s="78" t="s">
        <v>2177</v>
      </c>
      <c r="D303" s="69" t="s">
        <v>2179</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2498</v>
      </c>
      <c r="S303" s="72" t="s">
        <v>1</v>
      </c>
      <c r="T303" s="72" t="str">
        <f t="shared" si="42"/>
        <v>Infraestruturais</v>
      </c>
      <c r="U303" s="72" t="str">
        <f t="shared" si="42"/>
        <v>Hidroviários</v>
      </c>
      <c r="V303" s="72" t="str">
        <f t="shared" si="42"/>
        <v>Portos</v>
      </c>
      <c r="W303" s="72" t="s">
        <v>2136</v>
      </c>
      <c r="X303" s="73" t="str">
        <f t="shared" si="38"/>
        <v>Key-INFRA-303</v>
      </c>
      <c r="Y303" s="72" t="s">
        <v>2030</v>
      </c>
      <c r="Z303" s="99" t="s">
        <v>1</v>
      </c>
      <c r="AA303" s="74" t="s">
        <v>2069</v>
      </c>
      <c r="AB303" s="99" t="s">
        <v>1</v>
      </c>
      <c r="AC303" s="74" t="s">
        <v>1</v>
      </c>
    </row>
    <row r="304" spans="1:29" customFormat="1" ht="6.6" customHeight="1" x14ac:dyDescent="0.25">
      <c r="A304" s="64">
        <v>304</v>
      </c>
      <c r="B304" s="69" t="s">
        <v>2140</v>
      </c>
      <c r="C304" s="78" t="s">
        <v>2177</v>
      </c>
      <c r="D304" s="69" t="s">
        <v>2179</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2498</v>
      </c>
      <c r="S304" s="72" t="s">
        <v>1</v>
      </c>
      <c r="T304" s="72" t="str">
        <f t="shared" si="42"/>
        <v>Infraestruturais</v>
      </c>
      <c r="U304" s="72" t="str">
        <f t="shared" si="42"/>
        <v>Hidroviários</v>
      </c>
      <c r="V304" s="72" t="str">
        <f t="shared" si="42"/>
        <v>Portos</v>
      </c>
      <c r="W304" s="72" t="s">
        <v>2136</v>
      </c>
      <c r="X304" s="73" t="str">
        <f t="shared" si="38"/>
        <v>Key-INFRA-304</v>
      </c>
      <c r="Y304" s="72" t="s">
        <v>2030</v>
      </c>
      <c r="Z304" s="99" t="s">
        <v>1</v>
      </c>
      <c r="AA304" s="74" t="s">
        <v>2069</v>
      </c>
      <c r="AB304" s="99" t="s">
        <v>1</v>
      </c>
      <c r="AC304" s="74" t="s">
        <v>1</v>
      </c>
    </row>
    <row r="305" spans="1:29" customFormat="1" ht="6.6" customHeight="1" x14ac:dyDescent="0.25">
      <c r="A305" s="64">
        <v>305</v>
      </c>
      <c r="B305" s="69" t="s">
        <v>2140</v>
      </c>
      <c r="C305" s="78" t="s">
        <v>2177</v>
      </c>
      <c r="D305" s="69" t="s">
        <v>2179</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2499</v>
      </c>
      <c r="S305" s="72" t="s">
        <v>1</v>
      </c>
      <c r="T305" s="72" t="str">
        <f t="shared" si="42"/>
        <v>Infraestruturais</v>
      </c>
      <c r="U305" s="72" t="str">
        <f t="shared" si="42"/>
        <v>Hidroviários</v>
      </c>
      <c r="V305" s="72" t="str">
        <f t="shared" si="42"/>
        <v>Portos</v>
      </c>
      <c r="W305" s="72" t="s">
        <v>2136</v>
      </c>
      <c r="X305" s="73" t="str">
        <f t="shared" si="38"/>
        <v>Key-INFRA-305</v>
      </c>
      <c r="Y305" s="72" t="s">
        <v>2030</v>
      </c>
      <c r="Z305" s="99" t="s">
        <v>1</v>
      </c>
      <c r="AA305" s="74" t="s">
        <v>2089</v>
      </c>
      <c r="AB305" s="99" t="s">
        <v>1</v>
      </c>
      <c r="AC305" s="74" t="s">
        <v>1</v>
      </c>
    </row>
    <row r="306" spans="1:29" customFormat="1" ht="6.6" customHeight="1" x14ac:dyDescent="0.25">
      <c r="A306" s="64">
        <v>306</v>
      </c>
      <c r="B306" s="69" t="s">
        <v>2140</v>
      </c>
      <c r="C306" s="78" t="s">
        <v>2177</v>
      </c>
      <c r="D306" s="69" t="s">
        <v>2179</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2500</v>
      </c>
      <c r="S306" s="72" t="s">
        <v>1</v>
      </c>
      <c r="T306" s="72" t="str">
        <f t="shared" si="42"/>
        <v>Infraestruturais</v>
      </c>
      <c r="U306" s="72" t="str">
        <f t="shared" si="42"/>
        <v>Hidroviários</v>
      </c>
      <c r="V306" s="72" t="str">
        <f t="shared" si="42"/>
        <v>Portos Defesas</v>
      </c>
      <c r="W306" s="72" t="s">
        <v>2136</v>
      </c>
      <c r="X306" s="73" t="str">
        <f t="shared" si="38"/>
        <v>Key-INFRA-306</v>
      </c>
      <c r="Y306" s="72" t="s">
        <v>2031</v>
      </c>
      <c r="Z306" s="99" t="s">
        <v>1</v>
      </c>
      <c r="AA306" s="72" t="s">
        <v>2089</v>
      </c>
      <c r="AB306" s="99" t="s">
        <v>1</v>
      </c>
      <c r="AC306" s="74" t="s">
        <v>1</v>
      </c>
    </row>
    <row r="307" spans="1:29" customFormat="1" ht="6.6" customHeight="1" x14ac:dyDescent="0.25">
      <c r="A307" s="64">
        <v>307</v>
      </c>
      <c r="B307" s="69" t="s">
        <v>2140</v>
      </c>
      <c r="C307" s="78" t="s">
        <v>2177</v>
      </c>
      <c r="D307" s="69" t="s">
        <v>2179</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2501</v>
      </c>
      <c r="S307" s="72" t="s">
        <v>1</v>
      </c>
      <c r="T307" s="72" t="str">
        <f t="shared" si="42"/>
        <v>Infraestruturais</v>
      </c>
      <c r="U307" s="72" t="str">
        <f t="shared" si="42"/>
        <v>Hidroviários</v>
      </c>
      <c r="V307" s="72" t="str">
        <f t="shared" si="42"/>
        <v>Portos Defesas</v>
      </c>
      <c r="W307" s="72" t="s">
        <v>2136</v>
      </c>
      <c r="X307" s="73" t="str">
        <f t="shared" si="38"/>
        <v>Key-INFRA-307</v>
      </c>
      <c r="Y307" s="72" t="s">
        <v>2031</v>
      </c>
      <c r="Z307" s="99" t="s">
        <v>1</v>
      </c>
      <c r="AA307" s="72" t="s">
        <v>2089</v>
      </c>
      <c r="AB307" s="99" t="s">
        <v>1</v>
      </c>
      <c r="AC307" s="74" t="s">
        <v>1</v>
      </c>
    </row>
    <row r="308" spans="1:29" customFormat="1" ht="6.6" customHeight="1" x14ac:dyDescent="0.25">
      <c r="A308" s="64">
        <v>308</v>
      </c>
      <c r="B308" s="69" t="s">
        <v>2140</v>
      </c>
      <c r="C308" s="78" t="s">
        <v>2177</v>
      </c>
      <c r="D308" s="69" t="s">
        <v>2179</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2502</v>
      </c>
      <c r="S308" s="72" t="s">
        <v>1</v>
      </c>
      <c r="T308" s="72" t="str">
        <f t="shared" si="42"/>
        <v>Infraestruturais</v>
      </c>
      <c r="U308" s="72" t="str">
        <f t="shared" si="42"/>
        <v>Hidroviários</v>
      </c>
      <c r="V308" s="72" t="str">
        <f t="shared" si="42"/>
        <v>Portos Defesas</v>
      </c>
      <c r="W308" s="72" t="s">
        <v>2136</v>
      </c>
      <c r="X308" s="73" t="str">
        <f t="shared" si="38"/>
        <v>Key-INFRA-308</v>
      </c>
      <c r="Y308" s="72" t="s">
        <v>2031</v>
      </c>
      <c r="Z308" s="99" t="s">
        <v>1</v>
      </c>
      <c r="AA308" s="72" t="s">
        <v>2089</v>
      </c>
      <c r="AB308" s="99" t="s">
        <v>1</v>
      </c>
      <c r="AC308" s="74" t="s">
        <v>1</v>
      </c>
    </row>
    <row r="309" spans="1:29" customFormat="1" ht="6.6" customHeight="1" x14ac:dyDescent="0.25">
      <c r="A309" s="64">
        <v>309</v>
      </c>
      <c r="B309" s="69" t="s">
        <v>2140</v>
      </c>
      <c r="C309" s="78" t="s">
        <v>2177</v>
      </c>
      <c r="D309" s="69" t="s">
        <v>2179</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2503</v>
      </c>
      <c r="S309" s="72" t="s">
        <v>1</v>
      </c>
      <c r="T309" s="72" t="str">
        <f t="shared" si="42"/>
        <v>Infraestruturais</v>
      </c>
      <c r="U309" s="72" t="str">
        <f t="shared" si="42"/>
        <v>Hidroviários</v>
      </c>
      <c r="V309" s="72" t="str">
        <f t="shared" si="42"/>
        <v>Portos Defesas</v>
      </c>
      <c r="W309" s="72" t="s">
        <v>2136</v>
      </c>
      <c r="X309" s="73" t="str">
        <f t="shared" si="38"/>
        <v>Key-INFRA-309</v>
      </c>
      <c r="Y309" s="72" t="s">
        <v>2031</v>
      </c>
      <c r="Z309" s="99" t="s">
        <v>1</v>
      </c>
      <c r="AA309" s="72" t="s">
        <v>2089</v>
      </c>
      <c r="AB309" s="99" t="s">
        <v>1</v>
      </c>
      <c r="AC309" s="74" t="s">
        <v>1</v>
      </c>
    </row>
    <row r="310" spans="1:29" customFormat="1" ht="6.6" customHeight="1" x14ac:dyDescent="0.25">
      <c r="A310" s="64">
        <v>310</v>
      </c>
      <c r="B310" s="69" t="s">
        <v>2140</v>
      </c>
      <c r="C310" s="78" t="s">
        <v>2177</v>
      </c>
      <c r="D310" s="69" t="s">
        <v>2179</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2504</v>
      </c>
      <c r="S310" s="72" t="s">
        <v>1</v>
      </c>
      <c r="T310" s="72" t="str">
        <f t="shared" si="42"/>
        <v>Infraestruturais</v>
      </c>
      <c r="U310" s="72" t="str">
        <f t="shared" si="42"/>
        <v>Hidroviários</v>
      </c>
      <c r="V310" s="72" t="str">
        <f t="shared" si="42"/>
        <v>Portos Docas</v>
      </c>
      <c r="W310" s="72" t="s">
        <v>2136</v>
      </c>
      <c r="X310" s="73" t="str">
        <f t="shared" si="38"/>
        <v>Key-INFRA-310</v>
      </c>
      <c r="Y310" s="72" t="s">
        <v>2031</v>
      </c>
      <c r="Z310" s="99" t="s">
        <v>1</v>
      </c>
      <c r="AA310" s="72" t="s">
        <v>2089</v>
      </c>
      <c r="AB310" s="99" t="s">
        <v>1</v>
      </c>
      <c r="AC310" s="74" t="s">
        <v>1</v>
      </c>
    </row>
    <row r="311" spans="1:29" customFormat="1" ht="6.6" customHeight="1" x14ac:dyDescent="0.25">
      <c r="A311" s="64">
        <v>311</v>
      </c>
      <c r="B311" s="69" t="s">
        <v>2140</v>
      </c>
      <c r="C311" s="78" t="s">
        <v>2177</v>
      </c>
      <c r="D311" s="69" t="s">
        <v>2179</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2505</v>
      </c>
      <c r="S311" s="72" t="s">
        <v>1</v>
      </c>
      <c r="T311" s="72" t="str">
        <f t="shared" si="42"/>
        <v>Infraestruturais</v>
      </c>
      <c r="U311" s="72" t="str">
        <f t="shared" si="42"/>
        <v>Hidroviários</v>
      </c>
      <c r="V311" s="72" t="str">
        <f t="shared" si="42"/>
        <v>Portos Docas</v>
      </c>
      <c r="W311" s="72" t="s">
        <v>2136</v>
      </c>
      <c r="X311" s="73" t="str">
        <f t="shared" si="38"/>
        <v>Key-INFRA-311</v>
      </c>
      <c r="Y311" s="72" t="s">
        <v>2031</v>
      </c>
      <c r="Z311" s="99" t="s">
        <v>1</v>
      </c>
      <c r="AA311" s="72" t="s">
        <v>2089</v>
      </c>
      <c r="AB311" s="99" t="s">
        <v>1</v>
      </c>
      <c r="AC311" s="74" t="s">
        <v>1</v>
      </c>
    </row>
    <row r="312" spans="1:29" customFormat="1" ht="6.6" customHeight="1" x14ac:dyDescent="0.25">
      <c r="A312" s="64">
        <v>312</v>
      </c>
      <c r="B312" s="69" t="s">
        <v>2140</v>
      </c>
      <c r="C312" s="78" t="s">
        <v>2177</v>
      </c>
      <c r="D312" s="69" t="s">
        <v>2179</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2506</v>
      </c>
      <c r="S312" s="72" t="s">
        <v>1</v>
      </c>
      <c r="T312" s="72" t="str">
        <f t="shared" si="42"/>
        <v>Infraestruturais</v>
      </c>
      <c r="U312" s="72" t="str">
        <f t="shared" si="42"/>
        <v>Hidroviários</v>
      </c>
      <c r="V312" s="72" t="str">
        <f t="shared" si="42"/>
        <v>Portos Partes</v>
      </c>
      <c r="W312" s="72" t="s">
        <v>2136</v>
      </c>
      <c r="X312" s="73" t="str">
        <f t="shared" si="38"/>
        <v>Key-INFRA-312</v>
      </c>
      <c r="Y312" s="72" t="s">
        <v>2031</v>
      </c>
      <c r="Z312" s="99" t="s">
        <v>1</v>
      </c>
      <c r="AA312" s="72" t="s">
        <v>2089</v>
      </c>
      <c r="AB312" s="99" t="s">
        <v>1</v>
      </c>
      <c r="AC312" s="74" t="s">
        <v>1</v>
      </c>
    </row>
    <row r="313" spans="1:29" customFormat="1" ht="6.6" customHeight="1" x14ac:dyDescent="0.25">
      <c r="A313" s="64">
        <v>313</v>
      </c>
      <c r="B313" s="69" t="s">
        <v>2140</v>
      </c>
      <c r="C313" s="78" t="s">
        <v>2177</v>
      </c>
      <c r="D313" s="69" t="s">
        <v>2179</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2507</v>
      </c>
      <c r="S313" s="72" t="s">
        <v>1</v>
      </c>
      <c r="T313" s="72" t="str">
        <f t="shared" si="42"/>
        <v>Infraestruturais</v>
      </c>
      <c r="U313" s="72" t="str">
        <f t="shared" si="42"/>
        <v>Hidroviários</v>
      </c>
      <c r="V313" s="72" t="str">
        <f t="shared" si="42"/>
        <v>Portos Partes</v>
      </c>
      <c r="W313" s="72" t="s">
        <v>2136</v>
      </c>
      <c r="X313" s="73" t="str">
        <f t="shared" si="38"/>
        <v>Key-INFRA-313</v>
      </c>
      <c r="Y313" s="72" t="s">
        <v>2031</v>
      </c>
      <c r="Z313" s="99" t="s">
        <v>1</v>
      </c>
      <c r="AA313" s="72" t="s">
        <v>2089</v>
      </c>
      <c r="AB313" s="99" t="s">
        <v>1</v>
      </c>
      <c r="AC313" s="74" t="s">
        <v>1</v>
      </c>
    </row>
    <row r="314" spans="1:29" customFormat="1" ht="6.6" customHeight="1" x14ac:dyDescent="0.25">
      <c r="A314" s="64">
        <v>314</v>
      </c>
      <c r="B314" s="69" t="s">
        <v>2140</v>
      </c>
      <c r="C314" s="78" t="s">
        <v>2177</v>
      </c>
      <c r="D314" s="69" t="s">
        <v>2179</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2508</v>
      </c>
      <c r="S314" s="72" t="s">
        <v>1</v>
      </c>
      <c r="T314" s="72" t="str">
        <f t="shared" si="42"/>
        <v>Infraestruturais</v>
      </c>
      <c r="U314" s="72" t="str">
        <f t="shared" si="42"/>
        <v>Hidroviários</v>
      </c>
      <c r="V314" s="72" t="str">
        <f t="shared" si="42"/>
        <v>Portos Partes</v>
      </c>
      <c r="W314" s="72" t="s">
        <v>2136</v>
      </c>
      <c r="X314" s="73" t="str">
        <f t="shared" si="38"/>
        <v>Key-INFRA-314</v>
      </c>
      <c r="Y314" s="72" t="s">
        <v>2031</v>
      </c>
      <c r="Z314" s="99" t="s">
        <v>1</v>
      </c>
      <c r="AA314" s="72" t="s">
        <v>2089</v>
      </c>
      <c r="AB314" s="99" t="s">
        <v>1</v>
      </c>
      <c r="AC314" s="74" t="s">
        <v>1</v>
      </c>
    </row>
    <row r="315" spans="1:29" customFormat="1" ht="6.6" customHeight="1" x14ac:dyDescent="0.25">
      <c r="A315" s="64">
        <v>315</v>
      </c>
      <c r="B315" s="69" t="s">
        <v>2140</v>
      </c>
      <c r="C315" s="78" t="s">
        <v>2177</v>
      </c>
      <c r="D315" s="69" t="s">
        <v>2179</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2509</v>
      </c>
      <c r="S315" s="72" t="s">
        <v>1</v>
      </c>
      <c r="T315" s="72" t="str">
        <f t="shared" si="42"/>
        <v>Infraestruturais</v>
      </c>
      <c r="U315" s="72" t="str">
        <f t="shared" si="42"/>
        <v>Hidroviários</v>
      </c>
      <c r="V315" s="72" t="str">
        <f t="shared" si="42"/>
        <v>Portos Partes</v>
      </c>
      <c r="W315" s="72" t="s">
        <v>2136</v>
      </c>
      <c r="X315" s="73" t="str">
        <f t="shared" si="38"/>
        <v>Key-INFRA-315</v>
      </c>
      <c r="Y315" s="72" t="s">
        <v>2031</v>
      </c>
      <c r="Z315" s="99" t="s">
        <v>1</v>
      </c>
      <c r="AA315" s="72" t="s">
        <v>2089</v>
      </c>
      <c r="AB315" s="99" t="s">
        <v>1</v>
      </c>
      <c r="AC315" s="74" t="s">
        <v>1</v>
      </c>
    </row>
    <row r="316" spans="1:29" customFormat="1" ht="6.6" customHeight="1" x14ac:dyDescent="0.25">
      <c r="A316" s="64">
        <v>316</v>
      </c>
      <c r="B316" s="69" t="s">
        <v>2140</v>
      </c>
      <c r="C316" s="78" t="s">
        <v>2177</v>
      </c>
      <c r="D316" s="69" t="s">
        <v>2179</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2510</v>
      </c>
      <c r="S316" s="72" t="s">
        <v>1</v>
      </c>
      <c r="T316" s="72" t="str">
        <f t="shared" si="42"/>
        <v>Infraestruturais</v>
      </c>
      <c r="U316" s="72" t="str">
        <f t="shared" si="42"/>
        <v>Hidroviários</v>
      </c>
      <c r="V316" s="72" t="str">
        <f t="shared" si="42"/>
        <v>Portos Partes</v>
      </c>
      <c r="W316" s="72" t="s">
        <v>2136</v>
      </c>
      <c r="X316" s="73" t="str">
        <f t="shared" si="38"/>
        <v>Key-INFRA-316</v>
      </c>
      <c r="Y316" s="72" t="s">
        <v>2031</v>
      </c>
      <c r="Z316" s="99" t="s">
        <v>1</v>
      </c>
      <c r="AA316" s="72" t="s">
        <v>2089</v>
      </c>
      <c r="AB316" s="99" t="s">
        <v>1</v>
      </c>
      <c r="AC316" s="74" t="s">
        <v>1</v>
      </c>
    </row>
    <row r="317" spans="1:29" customFormat="1" ht="6.6" customHeight="1" x14ac:dyDescent="0.25">
      <c r="A317" s="64">
        <v>317</v>
      </c>
      <c r="B317" s="69" t="s">
        <v>2140</v>
      </c>
      <c r="C317" s="78" t="s">
        <v>2177</v>
      </c>
      <c r="D317" s="69" t="s">
        <v>2179</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2511</v>
      </c>
      <c r="S317" s="72" t="s">
        <v>1</v>
      </c>
      <c r="T317" s="72" t="str">
        <f t="shared" si="42"/>
        <v>Infraestruturais</v>
      </c>
      <c r="U317" s="72" t="str">
        <f t="shared" si="42"/>
        <v>Hidroviários</v>
      </c>
      <c r="V317" s="72" t="str">
        <f t="shared" si="42"/>
        <v>Portos Partes</v>
      </c>
      <c r="W317" s="72" t="s">
        <v>2136</v>
      </c>
      <c r="X317" s="73" t="str">
        <f t="shared" si="38"/>
        <v>Key-INFRA-317</v>
      </c>
      <c r="Y317" s="72" t="s">
        <v>2031</v>
      </c>
      <c r="Z317" s="99" t="s">
        <v>1</v>
      </c>
      <c r="AA317" s="72" t="s">
        <v>2089</v>
      </c>
      <c r="AB317" s="99" t="s">
        <v>1</v>
      </c>
      <c r="AC317" s="74" t="s">
        <v>1</v>
      </c>
    </row>
    <row r="318" spans="1:29" customFormat="1" ht="6.6" customHeight="1" x14ac:dyDescent="0.25">
      <c r="A318" s="64">
        <v>318</v>
      </c>
      <c r="B318" s="69" t="s">
        <v>2140</v>
      </c>
      <c r="C318" s="78" t="s">
        <v>2177</v>
      </c>
      <c r="D318" s="69" t="s">
        <v>2179</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2512</v>
      </c>
      <c r="S318" s="72" t="s">
        <v>1</v>
      </c>
      <c r="T318" s="72" t="str">
        <f t="shared" si="42"/>
        <v>Infraestruturais</v>
      </c>
      <c r="U318" s="72" t="str">
        <f t="shared" si="42"/>
        <v>Hidroviários</v>
      </c>
      <c r="V318" s="72" t="str">
        <f t="shared" si="42"/>
        <v>Portos Partes</v>
      </c>
      <c r="W318" s="72" t="s">
        <v>2136</v>
      </c>
      <c r="X318" s="73" t="str">
        <f t="shared" si="38"/>
        <v>Key-INFRA-318</v>
      </c>
      <c r="Y318" s="72" t="s">
        <v>2031</v>
      </c>
      <c r="Z318" s="99" t="s">
        <v>1</v>
      </c>
      <c r="AA318" s="72" t="s">
        <v>2089</v>
      </c>
      <c r="AB318" s="99" t="s">
        <v>1</v>
      </c>
      <c r="AC318" s="74" t="s">
        <v>1</v>
      </c>
    </row>
    <row r="319" spans="1:29" customFormat="1" ht="6.6" customHeight="1" x14ac:dyDescent="0.25">
      <c r="A319" s="64">
        <v>319</v>
      </c>
      <c r="B319" s="69" t="s">
        <v>2140</v>
      </c>
      <c r="C319" s="78" t="s">
        <v>2177</v>
      </c>
      <c r="D319" s="69" t="s">
        <v>2179</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2513</v>
      </c>
      <c r="S319" s="72" t="s">
        <v>1</v>
      </c>
      <c r="T319" s="72" t="str">
        <f t="shared" si="42"/>
        <v>Infraestruturais</v>
      </c>
      <c r="U319" s="72" t="str">
        <f t="shared" si="42"/>
        <v>Hidroviários</v>
      </c>
      <c r="V319" s="72" t="str">
        <f t="shared" si="42"/>
        <v>Portos Partes</v>
      </c>
      <c r="W319" s="72" t="s">
        <v>2136</v>
      </c>
      <c r="X319" s="73" t="str">
        <f t="shared" si="38"/>
        <v>Key-INFRA-319</v>
      </c>
      <c r="Y319" s="72" t="s">
        <v>2031</v>
      </c>
      <c r="Z319" s="99" t="s">
        <v>1</v>
      </c>
      <c r="AA319" s="72" t="s">
        <v>2089</v>
      </c>
      <c r="AB319" s="99" t="s">
        <v>1</v>
      </c>
      <c r="AC319" s="74" t="s">
        <v>1</v>
      </c>
    </row>
    <row r="320" spans="1:29" customFormat="1" ht="6.6" customHeight="1" x14ac:dyDescent="0.25">
      <c r="A320" s="64">
        <v>320</v>
      </c>
      <c r="B320" s="69" t="s">
        <v>2140</v>
      </c>
      <c r="C320" s="78" t="s">
        <v>2177</v>
      </c>
      <c r="D320" s="69" t="s">
        <v>2179</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2514</v>
      </c>
      <c r="S320" s="72" t="s">
        <v>1</v>
      </c>
      <c r="T320" s="72" t="str">
        <f t="shared" si="42"/>
        <v>Infraestruturais</v>
      </c>
      <c r="U320" s="72" t="str">
        <f t="shared" si="42"/>
        <v>Hidroviários</v>
      </c>
      <c r="V320" s="72" t="str">
        <f t="shared" si="42"/>
        <v>Portos Partes</v>
      </c>
      <c r="W320" s="72" t="s">
        <v>2136</v>
      </c>
      <c r="X320" s="73" t="str">
        <f t="shared" si="38"/>
        <v>Key-INFRA-320</v>
      </c>
      <c r="Y320" s="72" t="s">
        <v>2031</v>
      </c>
      <c r="Z320" s="99" t="s">
        <v>1</v>
      </c>
      <c r="AA320" s="72" t="s">
        <v>2089</v>
      </c>
      <c r="AB320" s="99" t="s">
        <v>1</v>
      </c>
      <c r="AC320" s="74" t="s">
        <v>1</v>
      </c>
    </row>
    <row r="321" spans="1:29" customFormat="1" ht="6.6" customHeight="1" x14ac:dyDescent="0.25">
      <c r="A321" s="64">
        <v>321</v>
      </c>
      <c r="B321" s="69" t="s">
        <v>2140</v>
      </c>
      <c r="C321" s="78" t="s">
        <v>2177</v>
      </c>
      <c r="D321" s="69" t="s">
        <v>2179</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2515</v>
      </c>
      <c r="S321" s="72" t="s">
        <v>1</v>
      </c>
      <c r="T321" s="72" t="str">
        <f t="shared" si="42"/>
        <v>Infraestruturais</v>
      </c>
      <c r="U321" s="72" t="str">
        <f t="shared" si="42"/>
        <v>Hidroviários</v>
      </c>
      <c r="V321" s="72" t="str">
        <f t="shared" si="42"/>
        <v>Portos Partes</v>
      </c>
      <c r="W321" s="72" t="s">
        <v>2136</v>
      </c>
      <c r="X321" s="73" t="str">
        <f t="shared" si="38"/>
        <v>Key-INFRA-321</v>
      </c>
      <c r="Y321" s="72" t="s">
        <v>2031</v>
      </c>
      <c r="Z321" s="99" t="s">
        <v>1</v>
      </c>
      <c r="AA321" s="72" t="s">
        <v>2089</v>
      </c>
      <c r="AB321" s="99" t="s">
        <v>1</v>
      </c>
      <c r="AC321" s="74" t="s">
        <v>1</v>
      </c>
    </row>
    <row r="322" spans="1:29" customFormat="1" ht="6.6" customHeight="1" x14ac:dyDescent="0.25">
      <c r="A322" s="64">
        <v>322</v>
      </c>
      <c r="B322" s="69" t="s">
        <v>2140</v>
      </c>
      <c r="C322" s="78" t="s">
        <v>2177</v>
      </c>
      <c r="D322" s="69" t="s">
        <v>2179</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2516</v>
      </c>
      <c r="S322" s="72" t="s">
        <v>1</v>
      </c>
      <c r="T322" s="72" t="str">
        <f t="shared" si="42"/>
        <v>Infraestruturais</v>
      </c>
      <c r="U322" s="72" t="str">
        <f t="shared" si="42"/>
        <v>Hidroviários</v>
      </c>
      <c r="V322" s="72" t="str">
        <f t="shared" si="42"/>
        <v>Portos Partes</v>
      </c>
      <c r="W322" s="72" t="s">
        <v>2136</v>
      </c>
      <c r="X322" s="73" t="str">
        <f t="shared" si="38"/>
        <v>Key-INFRA-322</v>
      </c>
      <c r="Y322" s="72" t="s">
        <v>2031</v>
      </c>
      <c r="Z322" s="99" t="s">
        <v>1</v>
      </c>
      <c r="AA322" s="72" t="s">
        <v>2089</v>
      </c>
      <c r="AB322" s="99" t="s">
        <v>1</v>
      </c>
      <c r="AC322" s="74" t="s">
        <v>1</v>
      </c>
    </row>
    <row r="323" spans="1:29" customFormat="1" ht="6.6" customHeight="1" x14ac:dyDescent="0.25">
      <c r="A323" s="64">
        <v>323</v>
      </c>
      <c r="B323" s="69" t="s">
        <v>2140</v>
      </c>
      <c r="C323" s="78" t="s">
        <v>2177</v>
      </c>
      <c r="D323" s="69" t="s">
        <v>2179</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2517</v>
      </c>
      <c r="S323" s="72"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99" t="s">
        <v>1</v>
      </c>
      <c r="AA323" s="72" t="s">
        <v>2089</v>
      </c>
      <c r="AB323" s="99" t="s">
        <v>1</v>
      </c>
      <c r="AC323" s="74" t="s">
        <v>1</v>
      </c>
    </row>
    <row r="324" spans="1:29" customFormat="1" ht="6.6" customHeight="1" x14ac:dyDescent="0.25">
      <c r="A324" s="64">
        <v>324</v>
      </c>
      <c r="B324" s="69" t="s">
        <v>2140</v>
      </c>
      <c r="C324" s="78" t="s">
        <v>2177</v>
      </c>
      <c r="D324" s="69" t="s">
        <v>2179</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2518</v>
      </c>
      <c r="S324" s="72" t="s">
        <v>1</v>
      </c>
      <c r="T324" s="72" t="str">
        <f t="shared" si="42"/>
        <v>Infraestruturais</v>
      </c>
      <c r="U324" s="72" t="str">
        <f t="shared" si="42"/>
        <v>Hidroviários</v>
      </c>
      <c r="V324" s="72" t="str">
        <f t="shared" si="42"/>
        <v>Portos Partes</v>
      </c>
      <c r="W324" s="72" t="s">
        <v>2136</v>
      </c>
      <c r="X324" s="73" t="str">
        <f t="shared" si="45"/>
        <v>Key-INFRA-324</v>
      </c>
      <c r="Y324" s="72" t="s">
        <v>2031</v>
      </c>
      <c r="Z324" s="99" t="s">
        <v>1</v>
      </c>
      <c r="AA324" s="72" t="s">
        <v>2089</v>
      </c>
      <c r="AB324" s="99" t="s">
        <v>1</v>
      </c>
      <c r="AC324" s="74" t="s">
        <v>1</v>
      </c>
    </row>
    <row r="325" spans="1:29" customFormat="1" ht="6.6" customHeight="1" x14ac:dyDescent="0.25">
      <c r="A325" s="64">
        <v>325</v>
      </c>
      <c r="B325" s="69" t="s">
        <v>2140</v>
      </c>
      <c r="C325" s="78" t="s">
        <v>2177</v>
      </c>
      <c r="D325" s="69" t="s">
        <v>2179</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2519</v>
      </c>
      <c r="S325" s="72" t="s">
        <v>1</v>
      </c>
      <c r="T325" s="72" t="str">
        <f t="shared" si="42"/>
        <v>Infraestruturais</v>
      </c>
      <c r="U325" s="72" t="str">
        <f t="shared" si="42"/>
        <v>Hidroviários</v>
      </c>
      <c r="V325" s="72" t="str">
        <f t="shared" si="42"/>
        <v>Portos Partes</v>
      </c>
      <c r="W325" s="72" t="s">
        <v>2136</v>
      </c>
      <c r="X325" s="73" t="str">
        <f t="shared" si="45"/>
        <v>Key-INFRA-325</v>
      </c>
      <c r="Y325" s="72" t="s">
        <v>2031</v>
      </c>
      <c r="Z325" s="99" t="s">
        <v>1</v>
      </c>
      <c r="AA325" s="72" t="s">
        <v>2089</v>
      </c>
      <c r="AB325" s="99" t="s">
        <v>1</v>
      </c>
      <c r="AC325" s="74" t="s">
        <v>1</v>
      </c>
    </row>
    <row r="326" spans="1:29" customFormat="1" ht="6.6" customHeight="1" x14ac:dyDescent="0.25">
      <c r="A326" s="64">
        <v>326</v>
      </c>
      <c r="B326" s="69" t="s">
        <v>2140</v>
      </c>
      <c r="C326" s="78" t="s">
        <v>2177</v>
      </c>
      <c r="D326" s="69" t="s">
        <v>2179</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2520</v>
      </c>
      <c r="S326" s="72" t="s">
        <v>1</v>
      </c>
      <c r="T326" s="72" t="str">
        <f t="shared" si="42"/>
        <v>Infraestruturais</v>
      </c>
      <c r="U326" s="72" t="str">
        <f t="shared" si="42"/>
        <v>Hidroviários</v>
      </c>
      <c r="V326" s="72" t="str">
        <f t="shared" si="42"/>
        <v>Portos Partes</v>
      </c>
      <c r="W326" s="72" t="s">
        <v>2136</v>
      </c>
      <c r="X326" s="73" t="str">
        <f t="shared" si="45"/>
        <v>Key-INFRA-326</v>
      </c>
      <c r="Y326" s="72" t="s">
        <v>2031</v>
      </c>
      <c r="Z326" s="99" t="s">
        <v>1</v>
      </c>
      <c r="AA326" s="72" t="s">
        <v>2089</v>
      </c>
      <c r="AB326" s="99" t="s">
        <v>1</v>
      </c>
      <c r="AC326" s="74" t="s">
        <v>1</v>
      </c>
    </row>
    <row r="327" spans="1:29" customFormat="1" ht="6.6" customHeight="1" x14ac:dyDescent="0.25">
      <c r="A327" s="64">
        <v>327</v>
      </c>
      <c r="B327" s="69" t="s">
        <v>2140</v>
      </c>
      <c r="C327" s="78" t="s">
        <v>2177</v>
      </c>
      <c r="D327" s="69" t="s">
        <v>2179</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2521</v>
      </c>
      <c r="S327" s="72" t="s">
        <v>1</v>
      </c>
      <c r="T327" s="72" t="str">
        <f t="shared" si="42"/>
        <v>Infraestruturais</v>
      </c>
      <c r="U327" s="72" t="str">
        <f t="shared" si="42"/>
        <v>Hidroviários</v>
      </c>
      <c r="V327" s="72" t="str">
        <f t="shared" si="42"/>
        <v>Portos Partes</v>
      </c>
      <c r="W327" s="72" t="s">
        <v>2136</v>
      </c>
      <c r="X327" s="73" t="str">
        <f t="shared" si="45"/>
        <v>Key-INFRA-327</v>
      </c>
      <c r="Y327" s="72" t="s">
        <v>2031</v>
      </c>
      <c r="Z327" s="99" t="s">
        <v>1</v>
      </c>
      <c r="AA327" s="72" t="s">
        <v>2089</v>
      </c>
      <c r="AB327" s="99" t="s">
        <v>1</v>
      </c>
      <c r="AC327" s="74" t="s">
        <v>1</v>
      </c>
    </row>
    <row r="328" spans="1:29" customFormat="1" ht="6.6" customHeight="1" x14ac:dyDescent="0.25">
      <c r="A328" s="64">
        <v>328</v>
      </c>
      <c r="B328" s="69" t="s">
        <v>2140</v>
      </c>
      <c r="C328" s="78" t="s">
        <v>2177</v>
      </c>
      <c r="D328" s="69" t="s">
        <v>2179</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2522</v>
      </c>
      <c r="S328" s="72" t="s">
        <v>1</v>
      </c>
      <c r="T328" s="72" t="str">
        <f t="shared" si="42"/>
        <v>Infraestruturais</v>
      </c>
      <c r="U328" s="72" t="str">
        <f t="shared" si="42"/>
        <v>Hidroviários</v>
      </c>
      <c r="V328" s="72" t="str">
        <f t="shared" si="42"/>
        <v>Portos Partes</v>
      </c>
      <c r="W328" s="72" t="s">
        <v>2136</v>
      </c>
      <c r="X328" s="73" t="str">
        <f t="shared" si="45"/>
        <v>Key-INFRA-328</v>
      </c>
      <c r="Y328" s="72" t="s">
        <v>2031</v>
      </c>
      <c r="Z328" s="99" t="s">
        <v>1</v>
      </c>
      <c r="AA328" s="72" t="s">
        <v>2089</v>
      </c>
      <c r="AB328" s="99" t="s">
        <v>1</v>
      </c>
      <c r="AC328" s="74" t="s">
        <v>1</v>
      </c>
    </row>
    <row r="329" spans="1:29" customFormat="1" ht="6.6" customHeight="1" x14ac:dyDescent="0.25">
      <c r="A329" s="64">
        <v>329</v>
      </c>
      <c r="B329" s="69" t="s">
        <v>2140</v>
      </c>
      <c r="C329" s="78" t="s">
        <v>2177</v>
      </c>
      <c r="D329" s="69" t="s">
        <v>2179</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2523</v>
      </c>
      <c r="S329" s="72" t="s">
        <v>1</v>
      </c>
      <c r="T329" s="72" t="str">
        <f t="shared" si="42"/>
        <v>Infraestruturais</v>
      </c>
      <c r="U329" s="72" t="str">
        <f t="shared" si="42"/>
        <v>Hidroviários</v>
      </c>
      <c r="V329" s="72" t="str">
        <f t="shared" si="42"/>
        <v>Portos Zonas</v>
      </c>
      <c r="W329" s="72" t="s">
        <v>2136</v>
      </c>
      <c r="X329" s="73" t="str">
        <f t="shared" si="45"/>
        <v>Key-INFRA-329</v>
      </c>
      <c r="Y329" s="72" t="s">
        <v>2031</v>
      </c>
      <c r="Z329" s="99" t="s">
        <v>1</v>
      </c>
      <c r="AA329" s="72" t="s">
        <v>2089</v>
      </c>
      <c r="AB329" s="99" t="s">
        <v>1</v>
      </c>
      <c r="AC329" s="74" t="s">
        <v>1</v>
      </c>
    </row>
    <row r="330" spans="1:29" customFormat="1" ht="6.6" customHeight="1" x14ac:dyDescent="0.25">
      <c r="A330" s="64">
        <v>330</v>
      </c>
      <c r="B330" s="69" t="s">
        <v>2140</v>
      </c>
      <c r="C330" s="78" t="s">
        <v>2177</v>
      </c>
      <c r="D330" s="69" t="s">
        <v>2179</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2524</v>
      </c>
      <c r="S330" s="72" t="s">
        <v>1</v>
      </c>
      <c r="T330" s="72" t="str">
        <f t="shared" si="42"/>
        <v>Infraestruturais</v>
      </c>
      <c r="U330" s="72" t="str">
        <f t="shared" si="42"/>
        <v>Hidroviários</v>
      </c>
      <c r="V330" s="72" t="str">
        <f t="shared" si="42"/>
        <v>Portos Zonas</v>
      </c>
      <c r="W330" s="72" t="s">
        <v>2136</v>
      </c>
      <c r="X330" s="73" t="str">
        <f t="shared" si="45"/>
        <v>Key-INFRA-330</v>
      </c>
      <c r="Y330" s="72" t="s">
        <v>2031</v>
      </c>
      <c r="Z330" s="99" t="s">
        <v>1</v>
      </c>
      <c r="AA330" s="72" t="s">
        <v>2187</v>
      </c>
      <c r="AB330" s="99" t="s">
        <v>1</v>
      </c>
      <c r="AC330" s="74" t="s">
        <v>1</v>
      </c>
    </row>
    <row r="331" spans="1:29" customFormat="1" ht="6.6" customHeight="1" x14ac:dyDescent="0.25">
      <c r="A331" s="64">
        <v>331</v>
      </c>
      <c r="B331" s="69" t="s">
        <v>2140</v>
      </c>
      <c r="C331" s="78" t="s">
        <v>2177</v>
      </c>
      <c r="D331" s="69" t="s">
        <v>2179</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2525</v>
      </c>
      <c r="S331" s="72" t="s">
        <v>1</v>
      </c>
      <c r="T331" s="72" t="str">
        <f t="shared" si="42"/>
        <v>Infraestruturais</v>
      </c>
      <c r="U331" s="72" t="str">
        <f t="shared" si="42"/>
        <v>Hidroviários</v>
      </c>
      <c r="V331" s="72" t="str">
        <f t="shared" si="42"/>
        <v>Portos Zonas</v>
      </c>
      <c r="W331" s="72" t="s">
        <v>2136</v>
      </c>
      <c r="X331" s="73" t="str">
        <f t="shared" si="45"/>
        <v>Key-INFRA-331</v>
      </c>
      <c r="Y331" s="72" t="s">
        <v>2194</v>
      </c>
      <c r="Z331" s="99" t="s">
        <v>1</v>
      </c>
      <c r="AA331" s="72" t="s">
        <v>2187</v>
      </c>
      <c r="AB331" s="99" t="s">
        <v>1</v>
      </c>
      <c r="AC331" s="74" t="s">
        <v>1</v>
      </c>
    </row>
    <row r="332" spans="1:29" customFormat="1" ht="6.6" customHeight="1" x14ac:dyDescent="0.25">
      <c r="A332" s="64">
        <v>332</v>
      </c>
      <c r="B332" s="69" t="s">
        <v>2140</v>
      </c>
      <c r="C332" s="78" t="s">
        <v>2177</v>
      </c>
      <c r="D332" s="69" t="s">
        <v>2179</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2526</v>
      </c>
      <c r="S332" s="72" t="s">
        <v>1</v>
      </c>
      <c r="T332" s="72" t="str">
        <f t="shared" si="42"/>
        <v>Infraestruturais</v>
      </c>
      <c r="U332" s="72" t="str">
        <f t="shared" si="42"/>
        <v>Hidroviários</v>
      </c>
      <c r="V332" s="72" t="str">
        <f t="shared" si="42"/>
        <v>Portos Zonas</v>
      </c>
      <c r="W332" s="72" t="s">
        <v>2136</v>
      </c>
      <c r="X332" s="73" t="str">
        <f t="shared" si="45"/>
        <v>Key-INFRA-332</v>
      </c>
      <c r="Y332" s="72" t="s">
        <v>2194</v>
      </c>
      <c r="Z332" s="99" t="s">
        <v>1</v>
      </c>
      <c r="AA332" s="72" t="s">
        <v>2187</v>
      </c>
      <c r="AB332" s="99" t="s">
        <v>1</v>
      </c>
      <c r="AC332" s="74" t="s">
        <v>1</v>
      </c>
    </row>
    <row r="333" spans="1:29" customFormat="1" ht="6.6" customHeight="1" x14ac:dyDescent="0.25">
      <c r="A333" s="64">
        <v>333</v>
      </c>
      <c r="B333" s="69" t="s">
        <v>2140</v>
      </c>
      <c r="C333" s="78" t="s">
        <v>2177</v>
      </c>
      <c r="D333" s="69" t="s">
        <v>2179</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2527</v>
      </c>
      <c r="S333" s="72" t="s">
        <v>1</v>
      </c>
      <c r="T333" s="72" t="str">
        <f t="shared" si="42"/>
        <v>Infraestruturais</v>
      </c>
      <c r="U333" s="72" t="str">
        <f t="shared" si="42"/>
        <v>Hidroviários</v>
      </c>
      <c r="V333" s="72" t="str">
        <f t="shared" si="42"/>
        <v>Portos Zonas</v>
      </c>
      <c r="W333" s="72" t="s">
        <v>2136</v>
      </c>
      <c r="X333" s="73" t="str">
        <f t="shared" si="45"/>
        <v>Key-INFRA-333</v>
      </c>
      <c r="Y333" s="72" t="s">
        <v>2194</v>
      </c>
      <c r="Z333" s="99" t="s">
        <v>1</v>
      </c>
      <c r="AA333" s="72" t="s">
        <v>2187</v>
      </c>
      <c r="AB333" s="99" t="s">
        <v>1</v>
      </c>
      <c r="AC333" s="74" t="s">
        <v>1</v>
      </c>
    </row>
    <row r="334" spans="1:29" customFormat="1" ht="6.6" customHeight="1" x14ac:dyDescent="0.25">
      <c r="A334" s="64">
        <v>334</v>
      </c>
      <c r="B334" s="69" t="s">
        <v>2140</v>
      </c>
      <c r="C334" s="78" t="s">
        <v>2177</v>
      </c>
      <c r="D334" s="69" t="s">
        <v>2179</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2528</v>
      </c>
      <c r="S334" s="72" t="s">
        <v>1</v>
      </c>
      <c r="T334" s="72" t="str">
        <f t="shared" si="42"/>
        <v>Infraestruturais</v>
      </c>
      <c r="U334" s="72" t="str">
        <f t="shared" si="42"/>
        <v>Hidroviários</v>
      </c>
      <c r="V334" s="72" t="str">
        <f t="shared" si="42"/>
        <v>Portos Zonas</v>
      </c>
      <c r="W334" s="72" t="s">
        <v>2136</v>
      </c>
      <c r="X334" s="73" t="str">
        <f t="shared" si="45"/>
        <v>Key-INFRA-334</v>
      </c>
      <c r="Y334" s="72" t="s">
        <v>2194</v>
      </c>
      <c r="Z334" s="99" t="s">
        <v>1</v>
      </c>
      <c r="AA334" s="72" t="s">
        <v>2187</v>
      </c>
      <c r="AB334" s="99" t="s">
        <v>1</v>
      </c>
      <c r="AC334" s="74" t="s">
        <v>1</v>
      </c>
    </row>
    <row r="335" spans="1:29" customFormat="1" ht="6.6" customHeight="1" x14ac:dyDescent="0.25">
      <c r="A335" s="64">
        <v>335</v>
      </c>
      <c r="B335" s="69" t="s">
        <v>2140</v>
      </c>
      <c r="C335" s="78" t="s">
        <v>2177</v>
      </c>
      <c r="D335" s="69" t="s">
        <v>2179</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2529</v>
      </c>
      <c r="S335" s="72" t="s">
        <v>1</v>
      </c>
      <c r="T335" s="72" t="str">
        <f t="shared" si="42"/>
        <v>Infraestruturais</v>
      </c>
      <c r="U335" s="72" t="str">
        <f t="shared" si="42"/>
        <v>Hidroviários</v>
      </c>
      <c r="V335" s="72" t="str">
        <f t="shared" si="42"/>
        <v>Portos Zonas</v>
      </c>
      <c r="W335" s="72" t="s">
        <v>2136</v>
      </c>
      <c r="X335" s="73" t="str">
        <f t="shared" si="45"/>
        <v>Key-INFRA-335</v>
      </c>
      <c r="Y335" s="72" t="s">
        <v>2194</v>
      </c>
      <c r="Z335" s="99" t="s">
        <v>1</v>
      </c>
      <c r="AA335" s="72" t="s">
        <v>2187</v>
      </c>
      <c r="AB335" s="99" t="s">
        <v>1</v>
      </c>
      <c r="AC335" s="74" t="s">
        <v>1</v>
      </c>
    </row>
    <row r="336" spans="1:29" customFormat="1" ht="6.6" customHeight="1" x14ac:dyDescent="0.25">
      <c r="A336" s="64">
        <v>336</v>
      </c>
      <c r="B336" s="69" t="s">
        <v>2140</v>
      </c>
      <c r="C336" s="78" t="s">
        <v>2177</v>
      </c>
      <c r="D336" s="69" t="s">
        <v>2179</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2530</v>
      </c>
      <c r="S336" s="72" t="s">
        <v>1</v>
      </c>
      <c r="T336" s="72" t="str">
        <f t="shared" si="42"/>
        <v>Infraestruturais</v>
      </c>
      <c r="U336" s="72" t="str">
        <f t="shared" si="42"/>
        <v>Hidroviários</v>
      </c>
      <c r="V336" s="72" t="str">
        <f t="shared" si="42"/>
        <v>Portos Zonas</v>
      </c>
      <c r="W336" s="72" t="s">
        <v>2136</v>
      </c>
      <c r="X336" s="73" t="str">
        <f t="shared" si="45"/>
        <v>Key-INFRA-336</v>
      </c>
      <c r="Y336" s="72" t="s">
        <v>2194</v>
      </c>
      <c r="Z336" s="99" t="s">
        <v>1</v>
      </c>
      <c r="AA336" s="72" t="s">
        <v>2187</v>
      </c>
      <c r="AB336" s="99" t="s">
        <v>1</v>
      </c>
      <c r="AC336" s="74" t="s">
        <v>1</v>
      </c>
    </row>
    <row r="337" spans="1:29" customFormat="1" ht="6.6" customHeight="1" x14ac:dyDescent="0.25">
      <c r="A337" s="64">
        <v>337</v>
      </c>
      <c r="B337" s="69" t="s">
        <v>2140</v>
      </c>
      <c r="C337" s="78" t="s">
        <v>2177</v>
      </c>
      <c r="D337" s="69" t="s">
        <v>2179</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2531</v>
      </c>
      <c r="S337" s="72"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2194</v>
      </c>
      <c r="Z337" s="99" t="s">
        <v>1</v>
      </c>
      <c r="AA337" s="72" t="s">
        <v>2187</v>
      </c>
      <c r="AB337" s="99" t="s">
        <v>1</v>
      </c>
      <c r="AC337" s="74" t="s">
        <v>1</v>
      </c>
    </row>
    <row r="338" spans="1:29" customFormat="1" ht="6.6" customHeight="1" x14ac:dyDescent="0.25">
      <c r="A338" s="64">
        <v>338</v>
      </c>
      <c r="B338" s="69" t="s">
        <v>2140</v>
      </c>
      <c r="C338" s="78" t="s">
        <v>2177</v>
      </c>
      <c r="D338" s="69" t="s">
        <v>2179</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2532</v>
      </c>
      <c r="S338" s="72" t="s">
        <v>1</v>
      </c>
      <c r="T338" s="72" t="str">
        <f t="shared" si="46"/>
        <v>Infraestruturais</v>
      </c>
      <c r="U338" s="72" t="str">
        <f t="shared" si="46"/>
        <v>Hidroviários</v>
      </c>
      <c r="V338" s="72" t="str">
        <f t="shared" si="46"/>
        <v>Portos Zonas</v>
      </c>
      <c r="W338" s="72" t="s">
        <v>2136</v>
      </c>
      <c r="X338" s="73" t="str">
        <f t="shared" si="45"/>
        <v>Key-INFRA-338</v>
      </c>
      <c r="Y338" s="72" t="s">
        <v>2194</v>
      </c>
      <c r="Z338" s="99" t="s">
        <v>1</v>
      </c>
      <c r="AA338" s="72" t="s">
        <v>2069</v>
      </c>
      <c r="AB338" s="99" t="s">
        <v>1</v>
      </c>
      <c r="AC338" s="74" t="s">
        <v>1</v>
      </c>
    </row>
    <row r="339" spans="1:29" customFormat="1" ht="6.6" customHeight="1" x14ac:dyDescent="0.25">
      <c r="A339" s="64">
        <v>339</v>
      </c>
      <c r="B339" s="69" t="s">
        <v>2140</v>
      </c>
      <c r="C339" s="78" t="s">
        <v>2177</v>
      </c>
      <c r="D339" s="69" t="s">
        <v>2180</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2533</v>
      </c>
      <c r="S339" s="72" t="s">
        <v>1</v>
      </c>
      <c r="T339" s="72" t="str">
        <f t="shared" si="46"/>
        <v>Infraestruturais</v>
      </c>
      <c r="U339" s="72" t="str">
        <f t="shared" si="46"/>
        <v>Aeroportuários</v>
      </c>
      <c r="V339" s="72" t="str">
        <f t="shared" si="46"/>
        <v>Aeródromos</v>
      </c>
      <c r="W339" s="72" t="s">
        <v>2136</v>
      </c>
      <c r="X339" s="73" t="str">
        <f t="shared" si="45"/>
        <v>Key-INFRA-339</v>
      </c>
      <c r="Y339" s="72" t="s">
        <v>2030</v>
      </c>
      <c r="Z339" s="99" t="s">
        <v>1</v>
      </c>
      <c r="AA339" s="74" t="s">
        <v>2069</v>
      </c>
      <c r="AB339" s="99" t="s">
        <v>1</v>
      </c>
      <c r="AC339" s="74" t="s">
        <v>1</v>
      </c>
    </row>
    <row r="340" spans="1:29" customFormat="1" ht="6.6" customHeight="1" x14ac:dyDescent="0.25">
      <c r="A340" s="64">
        <v>340</v>
      </c>
      <c r="B340" s="69" t="s">
        <v>2140</v>
      </c>
      <c r="C340" s="78" t="s">
        <v>2177</v>
      </c>
      <c r="D340" s="69" t="s">
        <v>2180</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2534</v>
      </c>
      <c r="S340" s="72" t="s">
        <v>1</v>
      </c>
      <c r="T340" s="72" t="str">
        <f t="shared" si="46"/>
        <v>Infraestruturais</v>
      </c>
      <c r="U340" s="72" t="str">
        <f t="shared" si="46"/>
        <v>Aeroportuários</v>
      </c>
      <c r="V340" s="72" t="str">
        <f t="shared" si="46"/>
        <v>Aeródromos</v>
      </c>
      <c r="W340" s="72" t="s">
        <v>2136</v>
      </c>
      <c r="X340" s="73" t="str">
        <f t="shared" si="45"/>
        <v>Key-INFRA-340</v>
      </c>
      <c r="Y340" s="72" t="s">
        <v>2030</v>
      </c>
      <c r="Z340" s="99" t="s">
        <v>1</v>
      </c>
      <c r="AA340" s="74" t="s">
        <v>2069</v>
      </c>
      <c r="AB340" s="99" t="s">
        <v>1</v>
      </c>
      <c r="AC340" s="74" t="s">
        <v>1</v>
      </c>
    </row>
    <row r="341" spans="1:29" customFormat="1" ht="6.6" customHeight="1" x14ac:dyDescent="0.25">
      <c r="A341" s="64">
        <v>341</v>
      </c>
      <c r="B341" s="69" t="s">
        <v>2140</v>
      </c>
      <c r="C341" s="78" t="s">
        <v>2177</v>
      </c>
      <c r="D341" s="69" t="s">
        <v>2180</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2535</v>
      </c>
      <c r="S341" s="72" t="s">
        <v>1</v>
      </c>
      <c r="T341" s="72" t="str">
        <f t="shared" si="46"/>
        <v>Infraestruturais</v>
      </c>
      <c r="U341" s="72" t="str">
        <f t="shared" si="46"/>
        <v>Aeroportuários</v>
      </c>
      <c r="V341" s="72" t="str">
        <f t="shared" si="46"/>
        <v>Aeródromos</v>
      </c>
      <c r="W341" s="72" t="s">
        <v>2136</v>
      </c>
      <c r="X341" s="73" t="str">
        <f t="shared" si="45"/>
        <v>Key-INFRA-341</v>
      </c>
      <c r="Y341" s="72" t="s">
        <v>2030</v>
      </c>
      <c r="Z341" s="99" t="s">
        <v>1</v>
      </c>
      <c r="AA341" s="74" t="s">
        <v>2069</v>
      </c>
      <c r="AB341" s="99" t="s">
        <v>1</v>
      </c>
      <c r="AC341" s="74" t="s">
        <v>1</v>
      </c>
    </row>
    <row r="342" spans="1:29" customFormat="1" ht="6.6" customHeight="1" x14ac:dyDescent="0.25">
      <c r="A342" s="64">
        <v>342</v>
      </c>
      <c r="B342" s="69" t="s">
        <v>2140</v>
      </c>
      <c r="C342" s="78" t="s">
        <v>2177</v>
      </c>
      <c r="D342" s="69" t="s">
        <v>2180</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2536</v>
      </c>
      <c r="S342" s="72" t="s">
        <v>1</v>
      </c>
      <c r="T342" s="72" t="str">
        <f t="shared" si="46"/>
        <v>Infraestruturais</v>
      </c>
      <c r="U342" s="72" t="str">
        <f t="shared" si="46"/>
        <v>Aeroportuários</v>
      </c>
      <c r="V342" s="72" t="str">
        <f t="shared" si="46"/>
        <v>Aeródromos</v>
      </c>
      <c r="W342" s="72" t="s">
        <v>2136</v>
      </c>
      <c r="X342" s="73" t="str">
        <f t="shared" si="45"/>
        <v>Key-INFRA-342</v>
      </c>
      <c r="Y342" s="72" t="s">
        <v>2030</v>
      </c>
      <c r="Z342" s="99" t="s">
        <v>1</v>
      </c>
      <c r="AA342" s="74" t="s">
        <v>2069</v>
      </c>
      <c r="AB342" s="99" t="s">
        <v>1</v>
      </c>
      <c r="AC342" s="74" t="s">
        <v>1</v>
      </c>
    </row>
    <row r="343" spans="1:29" customFormat="1" ht="6.6" customHeight="1" x14ac:dyDescent="0.25">
      <c r="A343" s="64">
        <v>343</v>
      </c>
      <c r="B343" s="69" t="s">
        <v>2140</v>
      </c>
      <c r="C343" s="78" t="s">
        <v>2177</v>
      </c>
      <c r="D343" s="69" t="s">
        <v>2180</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2537</v>
      </c>
      <c r="S343" s="72" t="s">
        <v>1</v>
      </c>
      <c r="T343" s="72" t="str">
        <f t="shared" si="46"/>
        <v>Infraestruturais</v>
      </c>
      <c r="U343" s="72" t="str">
        <f t="shared" si="46"/>
        <v>Aeroportuários</v>
      </c>
      <c r="V343" s="72" t="str">
        <f t="shared" si="46"/>
        <v>Aeródromos</v>
      </c>
      <c r="W343" s="72" t="s">
        <v>2136</v>
      </c>
      <c r="X343" s="73" t="str">
        <f t="shared" si="45"/>
        <v>Key-INFRA-343</v>
      </c>
      <c r="Y343" s="72" t="s">
        <v>2030</v>
      </c>
      <c r="Z343" s="99" t="s">
        <v>1</v>
      </c>
      <c r="AA343" s="74" t="s">
        <v>2069</v>
      </c>
      <c r="AB343" s="99" t="s">
        <v>1</v>
      </c>
      <c r="AC343" s="74" t="s">
        <v>1</v>
      </c>
    </row>
    <row r="344" spans="1:29" customFormat="1" ht="6.6" customHeight="1" x14ac:dyDescent="0.25">
      <c r="A344" s="64">
        <v>344</v>
      </c>
      <c r="B344" s="69" t="s">
        <v>2140</v>
      </c>
      <c r="C344" s="78" t="s">
        <v>2177</v>
      </c>
      <c r="D344" s="69" t="s">
        <v>2180</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2538</v>
      </c>
      <c r="S344" s="72" t="s">
        <v>1</v>
      </c>
      <c r="T344" s="72" t="str">
        <f t="shared" si="46"/>
        <v>Infraestruturais</v>
      </c>
      <c r="U344" s="72" t="str">
        <f t="shared" si="46"/>
        <v>Aeroportuários</v>
      </c>
      <c r="V344" s="72" t="str">
        <f t="shared" si="46"/>
        <v>Aeródromos</v>
      </c>
      <c r="W344" s="72" t="s">
        <v>2136</v>
      </c>
      <c r="X344" s="73" t="str">
        <f t="shared" si="45"/>
        <v>Key-INFRA-344</v>
      </c>
      <c r="Y344" s="72" t="s">
        <v>2030</v>
      </c>
      <c r="Z344" s="99" t="s">
        <v>1</v>
      </c>
      <c r="AA344" s="74" t="s">
        <v>2069</v>
      </c>
      <c r="AB344" s="99" t="s">
        <v>1</v>
      </c>
      <c r="AC344" s="74" t="s">
        <v>1</v>
      </c>
    </row>
    <row r="345" spans="1:29" customFormat="1" ht="6.6" customHeight="1" x14ac:dyDescent="0.25">
      <c r="A345" s="64">
        <v>345</v>
      </c>
      <c r="B345" s="69" t="s">
        <v>2140</v>
      </c>
      <c r="C345" s="78" t="s">
        <v>2177</v>
      </c>
      <c r="D345" s="69" t="s">
        <v>2180</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2539</v>
      </c>
      <c r="S345" s="72" t="s">
        <v>1</v>
      </c>
      <c r="T345" s="72" t="str">
        <f t="shared" si="46"/>
        <v>Infraestruturais</v>
      </c>
      <c r="U345" s="72" t="str">
        <f t="shared" si="46"/>
        <v>Aeroportuários</v>
      </c>
      <c r="V345" s="72" t="str">
        <f t="shared" si="46"/>
        <v>Aeródromos</v>
      </c>
      <c r="W345" s="72" t="s">
        <v>2136</v>
      </c>
      <c r="X345" s="73" t="str">
        <f t="shared" si="45"/>
        <v>Key-INFRA-345</v>
      </c>
      <c r="Y345" s="72" t="s">
        <v>2030</v>
      </c>
      <c r="Z345" s="99" t="s">
        <v>1</v>
      </c>
      <c r="AA345" s="74" t="s">
        <v>2069</v>
      </c>
      <c r="AB345" s="99" t="s">
        <v>1</v>
      </c>
      <c r="AC345" s="74" t="s">
        <v>1</v>
      </c>
    </row>
    <row r="346" spans="1:29" customFormat="1" ht="6.6" customHeight="1" x14ac:dyDescent="0.25">
      <c r="A346" s="64">
        <v>346</v>
      </c>
      <c r="B346" s="69" t="s">
        <v>2140</v>
      </c>
      <c r="C346" s="78" t="s">
        <v>2177</v>
      </c>
      <c r="D346" s="69" t="s">
        <v>2180</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2540</v>
      </c>
      <c r="S346" s="72" t="s">
        <v>1</v>
      </c>
      <c r="T346" s="72" t="str">
        <f t="shared" si="46"/>
        <v>Infraestruturais</v>
      </c>
      <c r="U346" s="72" t="str">
        <f t="shared" si="46"/>
        <v>Aeroportuários</v>
      </c>
      <c r="V346" s="72" t="str">
        <f t="shared" si="46"/>
        <v>Aeródromos</v>
      </c>
      <c r="W346" s="72" t="s">
        <v>2136</v>
      </c>
      <c r="X346" s="73" t="str">
        <f t="shared" si="45"/>
        <v>Key-INFRA-346</v>
      </c>
      <c r="Y346" s="72" t="s">
        <v>2030</v>
      </c>
      <c r="Z346" s="99" t="s">
        <v>1</v>
      </c>
      <c r="AA346" s="74" t="s">
        <v>2069</v>
      </c>
      <c r="AB346" s="99" t="s">
        <v>1</v>
      </c>
      <c r="AC346" s="74" t="s">
        <v>1</v>
      </c>
    </row>
    <row r="347" spans="1:29" customFormat="1" ht="6.6" customHeight="1" x14ac:dyDescent="0.25">
      <c r="A347" s="64">
        <v>347</v>
      </c>
      <c r="B347" s="69" t="s">
        <v>2140</v>
      </c>
      <c r="C347" s="78" t="s">
        <v>2177</v>
      </c>
      <c r="D347" s="69" t="s">
        <v>2180</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2541</v>
      </c>
      <c r="S347" s="72" t="s">
        <v>1</v>
      </c>
      <c r="T347" s="72" t="str">
        <f t="shared" si="46"/>
        <v>Infraestruturais</v>
      </c>
      <c r="U347" s="72" t="str">
        <f t="shared" si="46"/>
        <v>Aeroportuários</v>
      </c>
      <c r="V347" s="72" t="str">
        <f t="shared" si="46"/>
        <v>Aeródromos</v>
      </c>
      <c r="W347" s="72" t="s">
        <v>2136</v>
      </c>
      <c r="X347" s="73" t="str">
        <f t="shared" si="45"/>
        <v>Key-INFRA-347</v>
      </c>
      <c r="Y347" s="72" t="s">
        <v>2030</v>
      </c>
      <c r="Z347" s="99" t="s">
        <v>1</v>
      </c>
      <c r="AA347" s="74" t="s">
        <v>2091</v>
      </c>
      <c r="AB347" s="99" t="s">
        <v>1</v>
      </c>
      <c r="AC347" s="74" t="s">
        <v>1</v>
      </c>
    </row>
    <row r="348" spans="1:29" customFormat="1" ht="6.6" customHeight="1" x14ac:dyDescent="0.25">
      <c r="A348" s="64">
        <v>348</v>
      </c>
      <c r="B348" s="69" t="s">
        <v>2140</v>
      </c>
      <c r="C348" s="78" t="s">
        <v>2181</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2542</v>
      </c>
      <c r="S348" s="72" t="s">
        <v>1</v>
      </c>
      <c r="T348" s="72" t="str">
        <f t="shared" si="46"/>
        <v>Redes Urbanas</v>
      </c>
      <c r="U348" s="72" t="str">
        <f t="shared" si="46"/>
        <v>Redes de Fluídos</v>
      </c>
      <c r="V348" s="72" t="str">
        <f t="shared" si="46"/>
        <v>Redes Fornecedoras</v>
      </c>
      <c r="W348" s="72" t="s">
        <v>2136</v>
      </c>
      <c r="X348" s="73" t="str">
        <f t="shared" si="45"/>
        <v>Key-INFRA-348</v>
      </c>
      <c r="Y348" s="72" t="s">
        <v>2051</v>
      </c>
      <c r="Z348" s="99" t="s">
        <v>1</v>
      </c>
      <c r="AA348" s="74" t="s">
        <v>2092</v>
      </c>
      <c r="AB348" s="99" t="s">
        <v>1</v>
      </c>
      <c r="AC348" s="74" t="s">
        <v>1</v>
      </c>
    </row>
    <row r="349" spans="1:29" customFormat="1" ht="6.6" customHeight="1" x14ac:dyDescent="0.25">
      <c r="A349" s="64">
        <v>349</v>
      </c>
      <c r="B349" s="69" t="s">
        <v>2140</v>
      </c>
      <c r="C349" s="78" t="s">
        <v>2181</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2543</v>
      </c>
      <c r="S349" s="72" t="s">
        <v>1</v>
      </c>
      <c r="T349" s="72" t="str">
        <f t="shared" si="46"/>
        <v>Redes Urbanas</v>
      </c>
      <c r="U349" s="72" t="str">
        <f t="shared" si="46"/>
        <v>Redes de Fluídos</v>
      </c>
      <c r="V349" s="72" t="str">
        <f t="shared" si="46"/>
        <v>Redes Fornecedoras</v>
      </c>
      <c r="W349" s="72" t="s">
        <v>2136</v>
      </c>
      <c r="X349" s="73" t="str">
        <f t="shared" si="45"/>
        <v>Key-INFRA-349</v>
      </c>
      <c r="Y349" s="72" t="s">
        <v>2051</v>
      </c>
      <c r="Z349" s="99" t="s">
        <v>1</v>
      </c>
      <c r="AA349" s="74" t="s">
        <v>2093</v>
      </c>
      <c r="AB349" s="99" t="s">
        <v>1</v>
      </c>
      <c r="AC349" s="74" t="s">
        <v>1</v>
      </c>
    </row>
    <row r="350" spans="1:29" customFormat="1" ht="6.6" customHeight="1" x14ac:dyDescent="0.25">
      <c r="A350" s="64">
        <v>350</v>
      </c>
      <c r="B350" s="69" t="s">
        <v>2140</v>
      </c>
      <c r="C350" s="78" t="s">
        <v>2181</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2544</v>
      </c>
      <c r="S350" s="72" t="s">
        <v>1</v>
      </c>
      <c r="T350" s="72" t="str">
        <f t="shared" si="46"/>
        <v>Redes Urbanas</v>
      </c>
      <c r="U350" s="72" t="str">
        <f t="shared" si="46"/>
        <v>Redes de Fluídos</v>
      </c>
      <c r="V350" s="72" t="str">
        <f t="shared" si="46"/>
        <v>Redes Fornecedoras</v>
      </c>
      <c r="W350" s="72" t="s">
        <v>2136</v>
      </c>
      <c r="X350" s="73" t="str">
        <f t="shared" si="45"/>
        <v>Key-INFRA-350</v>
      </c>
      <c r="Y350" s="72" t="s">
        <v>2051</v>
      </c>
      <c r="Z350" s="99" t="s">
        <v>1</v>
      </c>
      <c r="AA350" s="74" t="s">
        <v>2094</v>
      </c>
      <c r="AB350" s="99" t="s">
        <v>1</v>
      </c>
      <c r="AC350" s="74" t="s">
        <v>1</v>
      </c>
    </row>
    <row r="351" spans="1:29" customFormat="1" ht="6.6" customHeight="1" x14ac:dyDescent="0.25">
      <c r="A351" s="64">
        <v>351</v>
      </c>
      <c r="B351" s="69" t="s">
        <v>2140</v>
      </c>
      <c r="C351" s="78" t="s">
        <v>2181</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2545</v>
      </c>
      <c r="S351" s="72" t="s">
        <v>1</v>
      </c>
      <c r="T351" s="72" t="str">
        <f t="shared" si="46"/>
        <v>Redes Urbanas</v>
      </c>
      <c r="U351" s="72" t="str">
        <f t="shared" si="46"/>
        <v>Redes de Fluídos</v>
      </c>
      <c r="V351" s="72" t="str">
        <f t="shared" si="46"/>
        <v>Redes Fornecedoras</v>
      </c>
      <c r="W351" s="72" t="s">
        <v>2136</v>
      </c>
      <c r="X351" s="73" t="str">
        <f t="shared" si="45"/>
        <v>Key-INFRA-351</v>
      </c>
      <c r="Y351" s="72" t="s">
        <v>2051</v>
      </c>
      <c r="Z351" s="99" t="s">
        <v>1</v>
      </c>
      <c r="AA351" s="74" t="s">
        <v>2095</v>
      </c>
      <c r="AB351" s="99" t="s">
        <v>1</v>
      </c>
      <c r="AC351" s="74" t="s">
        <v>1</v>
      </c>
    </row>
    <row r="352" spans="1:29" customFormat="1" ht="6.6" customHeight="1" x14ac:dyDescent="0.25">
      <c r="A352" s="64">
        <v>352</v>
      </c>
      <c r="B352" s="69" t="s">
        <v>2140</v>
      </c>
      <c r="C352" s="78" t="s">
        <v>2181</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2546</v>
      </c>
      <c r="S352" s="72" t="s">
        <v>1</v>
      </c>
      <c r="T352" s="72" t="str">
        <f t="shared" si="46"/>
        <v>Redes Urbanas</v>
      </c>
      <c r="U352" s="72" t="str">
        <f t="shared" si="46"/>
        <v>Redes de Fluídos</v>
      </c>
      <c r="V352" s="72" t="str">
        <f t="shared" si="46"/>
        <v>Redes Fornecedoras</v>
      </c>
      <c r="W352" s="72" t="s">
        <v>2136</v>
      </c>
      <c r="X352" s="73" t="str">
        <f t="shared" si="45"/>
        <v>Key-INFRA-352</v>
      </c>
      <c r="Y352" s="72" t="s">
        <v>2051</v>
      </c>
      <c r="Z352" s="99" t="s">
        <v>1</v>
      </c>
      <c r="AA352" s="74" t="s">
        <v>2096</v>
      </c>
      <c r="AB352" s="99" t="s">
        <v>1</v>
      </c>
      <c r="AC352" s="74" t="s">
        <v>1</v>
      </c>
    </row>
    <row r="353" spans="1:29" customFormat="1" ht="6.6" customHeight="1" x14ac:dyDescent="0.25">
      <c r="A353" s="64">
        <v>353</v>
      </c>
      <c r="B353" s="69" t="s">
        <v>2140</v>
      </c>
      <c r="C353" s="78" t="s">
        <v>2181</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2547</v>
      </c>
      <c r="S353" s="72"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99" t="s">
        <v>1</v>
      </c>
      <c r="AA353" s="74" t="s">
        <v>2097</v>
      </c>
      <c r="AB353" s="99" t="s">
        <v>1</v>
      </c>
      <c r="AC353" s="74" t="s">
        <v>1</v>
      </c>
    </row>
    <row r="354" spans="1:29" customFormat="1" ht="6.6" customHeight="1" x14ac:dyDescent="0.25">
      <c r="A354" s="64">
        <v>354</v>
      </c>
      <c r="B354" s="69" t="s">
        <v>2140</v>
      </c>
      <c r="C354" s="78" t="s">
        <v>2181</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2548</v>
      </c>
      <c r="S354" s="72" t="s">
        <v>1</v>
      </c>
      <c r="T354" s="72" t="str">
        <f t="shared" si="50"/>
        <v>Redes Urbanas</v>
      </c>
      <c r="U354" s="72" t="str">
        <f t="shared" si="50"/>
        <v>Redes de Fluídos</v>
      </c>
      <c r="V354" s="72" t="str">
        <f t="shared" si="50"/>
        <v>Redes Coletoras</v>
      </c>
      <c r="W354" s="72" t="s">
        <v>2136</v>
      </c>
      <c r="X354" s="73" t="str">
        <f t="shared" si="45"/>
        <v>Key-INFRA-354</v>
      </c>
      <c r="Y354" s="72" t="s">
        <v>2051</v>
      </c>
      <c r="Z354" s="99" t="s">
        <v>1</v>
      </c>
      <c r="AA354" s="74" t="s">
        <v>2098</v>
      </c>
      <c r="AB354" s="99" t="s">
        <v>1</v>
      </c>
      <c r="AC354" s="74" t="s">
        <v>1</v>
      </c>
    </row>
    <row r="355" spans="1:29" customFormat="1" ht="6.6" customHeight="1" x14ac:dyDescent="0.25">
      <c r="A355" s="64">
        <v>355</v>
      </c>
      <c r="B355" s="69" t="s">
        <v>2140</v>
      </c>
      <c r="C355" s="78" t="s">
        <v>2181</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2549</v>
      </c>
      <c r="S355" s="72" t="s">
        <v>1</v>
      </c>
      <c r="T355" s="72" t="str">
        <f t="shared" si="50"/>
        <v>Redes Urbanas</v>
      </c>
      <c r="U355" s="72" t="str">
        <f t="shared" si="50"/>
        <v>Redes de Fluídos</v>
      </c>
      <c r="V355" s="72" t="str">
        <f t="shared" si="50"/>
        <v>Redes Coletoras</v>
      </c>
      <c r="W355" s="72" t="s">
        <v>2136</v>
      </c>
      <c r="X355" s="73" t="str">
        <f t="shared" si="45"/>
        <v>Key-INFRA-355</v>
      </c>
      <c r="Y355" s="72" t="s">
        <v>2051</v>
      </c>
      <c r="Z355" s="99" t="s">
        <v>1</v>
      </c>
      <c r="AA355" s="74" t="s">
        <v>2099</v>
      </c>
      <c r="AB355" s="99" t="s">
        <v>1</v>
      </c>
      <c r="AC355" s="74" t="s">
        <v>1</v>
      </c>
    </row>
    <row r="356" spans="1:29" customFormat="1" ht="6.6" customHeight="1" x14ac:dyDescent="0.25">
      <c r="A356" s="64">
        <v>356</v>
      </c>
      <c r="B356" s="69" t="s">
        <v>2140</v>
      </c>
      <c r="C356" s="78" t="s">
        <v>2181</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2550</v>
      </c>
      <c r="S356" s="72" t="s">
        <v>1</v>
      </c>
      <c r="T356" s="72" t="str">
        <f t="shared" si="50"/>
        <v>Redes Urbanas</v>
      </c>
      <c r="U356" s="72" t="str">
        <f t="shared" si="50"/>
        <v>Redes de Fluídos</v>
      </c>
      <c r="V356" s="72" t="str">
        <f t="shared" si="50"/>
        <v>Redes Coletoras</v>
      </c>
      <c r="W356" s="72" t="s">
        <v>2136</v>
      </c>
      <c r="X356" s="73" t="str">
        <f t="shared" si="45"/>
        <v>Key-INFRA-356</v>
      </c>
      <c r="Y356" s="72" t="s">
        <v>2051</v>
      </c>
      <c r="Z356" s="99" t="s">
        <v>1</v>
      </c>
      <c r="AA356" s="74" t="s">
        <v>2100</v>
      </c>
      <c r="AB356" s="99" t="s">
        <v>1</v>
      </c>
      <c r="AC356" s="74" t="s">
        <v>1</v>
      </c>
    </row>
    <row r="357" spans="1:29" customFormat="1" ht="6.6" customHeight="1" x14ac:dyDescent="0.25">
      <c r="A357" s="64">
        <v>357</v>
      </c>
      <c r="B357" s="69" t="s">
        <v>2140</v>
      </c>
      <c r="C357" s="78" t="s">
        <v>2181</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2551</v>
      </c>
      <c r="S357" s="72" t="s">
        <v>1</v>
      </c>
      <c r="T357" s="72" t="str">
        <f t="shared" si="50"/>
        <v>Redes Urbanas</v>
      </c>
      <c r="U357" s="72" t="str">
        <f t="shared" si="50"/>
        <v>Redes de Fluídos</v>
      </c>
      <c r="V357" s="72" t="str">
        <f t="shared" si="50"/>
        <v>Redes Coletoras</v>
      </c>
      <c r="W357" s="72" t="s">
        <v>2136</v>
      </c>
      <c r="X357" s="73" t="str">
        <f t="shared" si="45"/>
        <v>Key-INFRA-357</v>
      </c>
      <c r="Y357" s="72" t="s">
        <v>2051</v>
      </c>
      <c r="Z357" s="99" t="s">
        <v>1</v>
      </c>
      <c r="AA357" s="74" t="s">
        <v>2101</v>
      </c>
      <c r="AB357" s="99" t="s">
        <v>1</v>
      </c>
      <c r="AC357" s="74" t="s">
        <v>1</v>
      </c>
    </row>
    <row r="358" spans="1:29" customFormat="1" ht="6.6" customHeight="1" x14ac:dyDescent="0.25">
      <c r="A358" s="64">
        <v>358</v>
      </c>
      <c r="B358" s="69" t="s">
        <v>2140</v>
      </c>
      <c r="C358" s="78" t="s">
        <v>2181</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2552</v>
      </c>
      <c r="S358" s="72" t="s">
        <v>1</v>
      </c>
      <c r="T358" s="72" t="str">
        <f t="shared" si="50"/>
        <v>Redes Urbanas</v>
      </c>
      <c r="U358" s="72" t="str">
        <f t="shared" si="50"/>
        <v>Redes Elétricas</v>
      </c>
      <c r="V358" s="72" t="str">
        <f t="shared" si="50"/>
        <v>Redes de Transmissão</v>
      </c>
      <c r="W358" s="72" t="s">
        <v>2136</v>
      </c>
      <c r="X358" s="73" t="str">
        <f t="shared" si="45"/>
        <v>Key-INFRA-358</v>
      </c>
      <c r="Y358" s="72" t="s">
        <v>2052</v>
      </c>
      <c r="Z358" s="99" t="s">
        <v>1</v>
      </c>
      <c r="AA358" s="74" t="s">
        <v>2101</v>
      </c>
      <c r="AB358" s="99" t="s">
        <v>1</v>
      </c>
      <c r="AC358" s="74" t="s">
        <v>1</v>
      </c>
    </row>
    <row r="359" spans="1:29" customFormat="1" ht="6.6" customHeight="1" x14ac:dyDescent="0.25">
      <c r="A359" s="64">
        <v>359</v>
      </c>
      <c r="B359" s="69" t="s">
        <v>2140</v>
      </c>
      <c r="C359" s="78" t="s">
        <v>2181</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2553</v>
      </c>
      <c r="S359" s="72" t="s">
        <v>1</v>
      </c>
      <c r="T359" s="72" t="str">
        <f t="shared" si="50"/>
        <v>Redes Urbanas</v>
      </c>
      <c r="U359" s="72" t="str">
        <f t="shared" si="50"/>
        <v>Redes Elétricas</v>
      </c>
      <c r="V359" s="72" t="str">
        <f t="shared" si="50"/>
        <v>Redes de Transmissão</v>
      </c>
      <c r="W359" s="72" t="s">
        <v>2136</v>
      </c>
      <c r="X359" s="73" t="str">
        <f t="shared" si="45"/>
        <v>Key-INFRA-359</v>
      </c>
      <c r="Y359" s="72" t="s">
        <v>2052</v>
      </c>
      <c r="Z359" s="99" t="s">
        <v>1</v>
      </c>
      <c r="AA359" s="74" t="s">
        <v>2101</v>
      </c>
      <c r="AB359" s="99" t="s">
        <v>1</v>
      </c>
      <c r="AC359" s="74" t="s">
        <v>1</v>
      </c>
    </row>
    <row r="360" spans="1:29" customFormat="1" ht="6.6" customHeight="1" x14ac:dyDescent="0.25">
      <c r="A360" s="64">
        <v>360</v>
      </c>
      <c r="B360" s="69" t="s">
        <v>2140</v>
      </c>
      <c r="C360" s="78" t="s">
        <v>2181</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2554</v>
      </c>
      <c r="S360" s="72" t="s">
        <v>1</v>
      </c>
      <c r="T360" s="72" t="str">
        <f t="shared" si="50"/>
        <v>Redes Urbanas</v>
      </c>
      <c r="U360" s="72" t="str">
        <f t="shared" si="50"/>
        <v>Redes Elétricas</v>
      </c>
      <c r="V360" s="72" t="str">
        <f t="shared" si="50"/>
        <v>Redes de Distribuição</v>
      </c>
      <c r="W360" s="72" t="s">
        <v>2136</v>
      </c>
      <c r="X360" s="73" t="str">
        <f t="shared" si="45"/>
        <v>Key-INFRA-360</v>
      </c>
      <c r="Y360" s="72" t="s">
        <v>2052</v>
      </c>
      <c r="Z360" s="99" t="s">
        <v>1</v>
      </c>
      <c r="AA360" s="74" t="s">
        <v>2101</v>
      </c>
      <c r="AB360" s="99" t="s">
        <v>1</v>
      </c>
      <c r="AC360" s="74" t="s">
        <v>1</v>
      </c>
    </row>
    <row r="361" spans="1:29" customFormat="1" ht="6.6" customHeight="1" x14ac:dyDescent="0.25">
      <c r="A361" s="64">
        <v>361</v>
      </c>
      <c r="B361" s="69" t="s">
        <v>2140</v>
      </c>
      <c r="C361" s="78" t="s">
        <v>2181</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2555</v>
      </c>
      <c r="S361" s="72" t="s">
        <v>1</v>
      </c>
      <c r="T361" s="72" t="str">
        <f t="shared" si="50"/>
        <v>Redes Urbanas</v>
      </c>
      <c r="U361" s="72" t="str">
        <f t="shared" si="50"/>
        <v>Redes Elétricas</v>
      </c>
      <c r="V361" s="72" t="str">
        <f t="shared" si="50"/>
        <v>Redes de Distribuição</v>
      </c>
      <c r="W361" s="72" t="s">
        <v>2136</v>
      </c>
      <c r="X361" s="73" t="str">
        <f t="shared" si="45"/>
        <v>Key-INFRA-361</v>
      </c>
      <c r="Y361" s="72" t="s">
        <v>2052</v>
      </c>
      <c r="Z361" s="99" t="s">
        <v>1</v>
      </c>
      <c r="AA361" s="74" t="s">
        <v>2101</v>
      </c>
      <c r="AB361" s="99" t="s">
        <v>1</v>
      </c>
      <c r="AC361" s="74" t="s">
        <v>1</v>
      </c>
    </row>
    <row r="362" spans="1:29" customFormat="1" ht="6.6" customHeight="1" x14ac:dyDescent="0.25">
      <c r="A362" s="64">
        <v>362</v>
      </c>
      <c r="B362" s="69" t="s">
        <v>2140</v>
      </c>
      <c r="C362" s="78" t="s">
        <v>2181</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2556</v>
      </c>
      <c r="S362" s="72" t="s">
        <v>1</v>
      </c>
      <c r="T362" s="72" t="str">
        <f t="shared" si="50"/>
        <v>Redes Urbanas</v>
      </c>
      <c r="U362" s="72" t="str">
        <f t="shared" si="50"/>
        <v>Redes Elétricas</v>
      </c>
      <c r="V362" s="72" t="str">
        <f t="shared" si="50"/>
        <v>Redes de Distribuição</v>
      </c>
      <c r="W362" s="72" t="s">
        <v>2136</v>
      </c>
      <c r="X362" s="73" t="str">
        <f t="shared" si="45"/>
        <v>Key-INFRA-362</v>
      </c>
      <c r="Y362" s="72" t="s">
        <v>2052</v>
      </c>
      <c r="Z362" s="99" t="s">
        <v>1</v>
      </c>
      <c r="AA362" s="74" t="s">
        <v>2101</v>
      </c>
      <c r="AB362" s="99" t="s">
        <v>1</v>
      </c>
      <c r="AC362" s="74" t="s">
        <v>1</v>
      </c>
    </row>
    <row r="363" spans="1:29" customFormat="1" ht="6.6" customHeight="1" x14ac:dyDescent="0.25">
      <c r="A363" s="64">
        <v>363</v>
      </c>
      <c r="B363" s="69" t="s">
        <v>2140</v>
      </c>
      <c r="C363" s="78" t="s">
        <v>2181</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2557</v>
      </c>
      <c r="S363" s="72" t="s">
        <v>1</v>
      </c>
      <c r="T363" s="72" t="str">
        <f t="shared" si="50"/>
        <v>Redes Urbanas</v>
      </c>
      <c r="U363" s="72" t="str">
        <f t="shared" si="50"/>
        <v>Redes Elétricas</v>
      </c>
      <c r="V363" s="72" t="str">
        <f t="shared" si="50"/>
        <v>Redes de Distribuição</v>
      </c>
      <c r="W363" s="72" t="s">
        <v>2136</v>
      </c>
      <c r="X363" s="73" t="str">
        <f t="shared" si="45"/>
        <v>Key-INFRA-363</v>
      </c>
      <c r="Y363" s="72" t="s">
        <v>2052</v>
      </c>
      <c r="Z363" s="99" t="s">
        <v>1</v>
      </c>
      <c r="AA363" s="74" t="s">
        <v>2101</v>
      </c>
      <c r="AB363" s="99" t="s">
        <v>1</v>
      </c>
      <c r="AC363" s="74" t="s">
        <v>1</v>
      </c>
    </row>
    <row r="364" spans="1:29" customFormat="1" ht="6.6" customHeight="1" x14ac:dyDescent="0.25">
      <c r="A364" s="64">
        <v>364</v>
      </c>
      <c r="B364" s="69" t="s">
        <v>2140</v>
      </c>
      <c r="C364" s="78" t="s">
        <v>2181</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2558</v>
      </c>
      <c r="S364" s="72" t="s">
        <v>1</v>
      </c>
      <c r="T364" s="72" t="str">
        <f t="shared" si="50"/>
        <v>Redes Urbanas</v>
      </c>
      <c r="U364" s="72" t="str">
        <f t="shared" si="50"/>
        <v>Redes Elétricas</v>
      </c>
      <c r="V364" s="72" t="str">
        <f t="shared" si="50"/>
        <v>Redes de Distribuição</v>
      </c>
      <c r="W364" s="72" t="s">
        <v>2136</v>
      </c>
      <c r="X364" s="73" t="str">
        <f t="shared" si="45"/>
        <v>Key-INFRA-364</v>
      </c>
      <c r="Y364" s="72" t="s">
        <v>2052</v>
      </c>
      <c r="Z364" s="99" t="s">
        <v>1</v>
      </c>
      <c r="AA364" s="74" t="s">
        <v>2101</v>
      </c>
      <c r="AB364" s="99" t="s">
        <v>1</v>
      </c>
      <c r="AC364" s="74" t="s">
        <v>1</v>
      </c>
    </row>
    <row r="365" spans="1:29" customFormat="1" ht="6.6" customHeight="1" x14ac:dyDescent="0.25">
      <c r="A365" s="64">
        <v>365</v>
      </c>
      <c r="B365" s="69" t="s">
        <v>2140</v>
      </c>
      <c r="C365" s="78" t="s">
        <v>2181</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2559</v>
      </c>
      <c r="S365" s="72" t="s">
        <v>1</v>
      </c>
      <c r="T365" s="72" t="str">
        <f t="shared" si="50"/>
        <v>Redes Urbanas</v>
      </c>
      <c r="U365" s="72" t="str">
        <f t="shared" si="50"/>
        <v>Redes Elétricas</v>
      </c>
      <c r="V365" s="72" t="str">
        <f t="shared" si="50"/>
        <v>Redes de Distribuição</v>
      </c>
      <c r="W365" s="72" t="s">
        <v>2136</v>
      </c>
      <c r="X365" s="73" t="str">
        <f t="shared" si="45"/>
        <v>Key-INFRA-365</v>
      </c>
      <c r="Y365" s="72" t="s">
        <v>2052</v>
      </c>
      <c r="Z365" s="99" t="s">
        <v>1</v>
      </c>
      <c r="AA365" s="74" t="s">
        <v>2101</v>
      </c>
      <c r="AB365" s="99" t="s">
        <v>1</v>
      </c>
      <c r="AC365" s="74" t="s">
        <v>1</v>
      </c>
    </row>
    <row r="366" spans="1:29" customFormat="1" ht="6.6" customHeight="1" x14ac:dyDescent="0.25">
      <c r="A366" s="64">
        <v>366</v>
      </c>
      <c r="B366" s="69" t="s">
        <v>2140</v>
      </c>
      <c r="C366" s="78" t="s">
        <v>2181</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2560</v>
      </c>
      <c r="S366" s="72" t="s">
        <v>1</v>
      </c>
      <c r="T366" s="72" t="str">
        <f t="shared" si="50"/>
        <v>Redes Urbanas</v>
      </c>
      <c r="U366" s="72" t="str">
        <f t="shared" si="50"/>
        <v>Redes Elétricas</v>
      </c>
      <c r="V366" s="72" t="str">
        <f t="shared" si="50"/>
        <v>Redes de Distribuição</v>
      </c>
      <c r="W366" s="72" t="s">
        <v>2136</v>
      </c>
      <c r="X366" s="73" t="str">
        <f t="shared" si="45"/>
        <v>Key-INFRA-366</v>
      </c>
      <c r="Y366" s="72" t="s">
        <v>2052</v>
      </c>
      <c r="Z366" s="99" t="s">
        <v>1</v>
      </c>
      <c r="AA366" s="74" t="s">
        <v>2101</v>
      </c>
      <c r="AB366" s="99" t="s">
        <v>1</v>
      </c>
      <c r="AC366" s="74" t="s">
        <v>1</v>
      </c>
    </row>
    <row r="367" spans="1:29" customFormat="1" ht="6.6" customHeight="1" x14ac:dyDescent="0.25">
      <c r="A367" s="64">
        <v>367</v>
      </c>
      <c r="B367" s="69" t="s">
        <v>2140</v>
      </c>
      <c r="C367" s="78" t="s">
        <v>2181</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2561</v>
      </c>
      <c r="S367" s="72" t="s">
        <v>1</v>
      </c>
      <c r="T367" s="72" t="str">
        <f t="shared" si="50"/>
        <v>Redes Urbanas</v>
      </c>
      <c r="U367" s="72" t="str">
        <f t="shared" si="50"/>
        <v>Redes Elétricas</v>
      </c>
      <c r="V367" s="72" t="str">
        <f t="shared" si="50"/>
        <v>Redes de Distribuição</v>
      </c>
      <c r="W367" s="72" t="s">
        <v>2136</v>
      </c>
      <c r="X367" s="73" t="str">
        <f t="shared" si="45"/>
        <v>Key-INFRA-367</v>
      </c>
      <c r="Y367" s="72" t="s">
        <v>2052</v>
      </c>
      <c r="Z367" s="99" t="s">
        <v>1</v>
      </c>
      <c r="AA367" s="74" t="s">
        <v>2101</v>
      </c>
      <c r="AB367" s="99" t="s">
        <v>1</v>
      </c>
      <c r="AC367" s="74" t="s">
        <v>1</v>
      </c>
    </row>
    <row r="368" spans="1:29" customFormat="1" ht="6.6" customHeight="1" x14ac:dyDescent="0.25">
      <c r="A368" s="64">
        <v>368</v>
      </c>
      <c r="B368" s="69" t="s">
        <v>2140</v>
      </c>
      <c r="C368" s="78" t="s">
        <v>2181</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2562</v>
      </c>
      <c r="S368" s="72" t="s">
        <v>1</v>
      </c>
      <c r="T368" s="72" t="str">
        <f t="shared" si="50"/>
        <v>Redes Urbanas</v>
      </c>
      <c r="U368" s="72" t="str">
        <f t="shared" si="50"/>
        <v>Redes Elétricas</v>
      </c>
      <c r="V368" s="72" t="str">
        <f t="shared" si="50"/>
        <v>Conexões de EE</v>
      </c>
      <c r="W368" s="72" t="s">
        <v>2136</v>
      </c>
      <c r="X368" s="73" t="str">
        <f t="shared" si="45"/>
        <v>Key-INFRA-368</v>
      </c>
      <c r="Y368" s="72" t="s">
        <v>2052</v>
      </c>
      <c r="Z368" s="99" t="s">
        <v>1</v>
      </c>
      <c r="AA368" s="74" t="s">
        <v>2101</v>
      </c>
      <c r="AB368" s="99" t="s">
        <v>1</v>
      </c>
      <c r="AC368" s="74" t="s">
        <v>1</v>
      </c>
    </row>
    <row r="369" spans="1:29" customFormat="1" ht="6.6" customHeight="1" x14ac:dyDescent="0.25">
      <c r="A369" s="64">
        <v>369</v>
      </c>
      <c r="B369" s="69" t="s">
        <v>2140</v>
      </c>
      <c r="C369" s="78" t="s">
        <v>2181</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2563</v>
      </c>
      <c r="S369" s="72" t="s">
        <v>1</v>
      </c>
      <c r="T369" s="72" t="str">
        <f t="shared" si="50"/>
        <v>Redes Urbanas</v>
      </c>
      <c r="U369" s="72" t="str">
        <f t="shared" si="50"/>
        <v>Redes Elétricas</v>
      </c>
      <c r="V369" s="72" t="str">
        <f t="shared" si="50"/>
        <v>Conexões de EE</v>
      </c>
      <c r="W369" s="72" t="s">
        <v>2136</v>
      </c>
      <c r="X369" s="73" t="str">
        <f t="shared" si="45"/>
        <v>Key-INFRA-369</v>
      </c>
      <c r="Y369" s="72" t="s">
        <v>2052</v>
      </c>
      <c r="Z369" s="99" t="s">
        <v>1</v>
      </c>
      <c r="AA369" s="74" t="s">
        <v>2101</v>
      </c>
      <c r="AB369" s="99" t="s">
        <v>1</v>
      </c>
      <c r="AC369" s="74" t="s">
        <v>1</v>
      </c>
    </row>
    <row r="370" spans="1:29" customFormat="1" ht="6.6" customHeight="1" x14ac:dyDescent="0.25">
      <c r="A370" s="64">
        <v>370</v>
      </c>
      <c r="B370" s="69" t="s">
        <v>2140</v>
      </c>
      <c r="C370" s="78" t="s">
        <v>2181</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2564</v>
      </c>
      <c r="S370" s="72" t="s">
        <v>1</v>
      </c>
      <c r="T370" s="72" t="str">
        <f t="shared" si="50"/>
        <v>Redes Urbanas</v>
      </c>
      <c r="U370" s="72" t="str">
        <f t="shared" si="50"/>
        <v>Redes Elétricas</v>
      </c>
      <c r="V370" s="72" t="str">
        <f t="shared" si="50"/>
        <v>Conexões de EE</v>
      </c>
      <c r="W370" s="72" t="s">
        <v>2136</v>
      </c>
      <c r="X370" s="73" t="str">
        <f t="shared" si="45"/>
        <v>Key-INFRA-370</v>
      </c>
      <c r="Y370" s="72" t="s">
        <v>2052</v>
      </c>
      <c r="Z370" s="99" t="s">
        <v>1</v>
      </c>
      <c r="AA370" s="74" t="s">
        <v>2101</v>
      </c>
      <c r="AB370" s="99" t="s">
        <v>1</v>
      </c>
      <c r="AC370" s="74" t="s">
        <v>1</v>
      </c>
    </row>
    <row r="371" spans="1:29" customFormat="1" ht="6.6" customHeight="1" x14ac:dyDescent="0.25">
      <c r="A371" s="64">
        <v>371</v>
      </c>
      <c r="B371" s="69" t="s">
        <v>2140</v>
      </c>
      <c r="C371" s="78" t="s">
        <v>2181</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2565</v>
      </c>
      <c r="S371" s="72" t="s">
        <v>1</v>
      </c>
      <c r="T371" s="72" t="str">
        <f t="shared" si="50"/>
        <v>Redes Urbanas</v>
      </c>
      <c r="U371" s="72" t="str">
        <f t="shared" si="50"/>
        <v>Redes Elétricas</v>
      </c>
      <c r="V371" s="72" t="str">
        <f t="shared" si="50"/>
        <v>Conexões de EE</v>
      </c>
      <c r="W371" s="72" t="s">
        <v>2136</v>
      </c>
      <c r="X371" s="73" t="str">
        <f t="shared" si="45"/>
        <v>Key-INFRA-371</v>
      </c>
      <c r="Y371" s="72" t="s">
        <v>2052</v>
      </c>
      <c r="Z371" s="99" t="s">
        <v>1</v>
      </c>
      <c r="AA371" s="74" t="s">
        <v>2101</v>
      </c>
      <c r="AB371" s="99" t="s">
        <v>1</v>
      </c>
      <c r="AC371" s="74" t="s">
        <v>1</v>
      </c>
    </row>
    <row r="372" spans="1:29" customFormat="1" ht="6.6" customHeight="1" x14ac:dyDescent="0.25">
      <c r="A372" s="64">
        <v>372</v>
      </c>
      <c r="B372" s="69" t="s">
        <v>2140</v>
      </c>
      <c r="C372" s="78" t="s">
        <v>2181</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2566</v>
      </c>
      <c r="S372" s="72" t="s">
        <v>1</v>
      </c>
      <c r="T372" s="72" t="str">
        <f t="shared" si="50"/>
        <v>Redes Urbanas</v>
      </c>
      <c r="U372" s="72" t="str">
        <f t="shared" si="50"/>
        <v>Redes Elétricas</v>
      </c>
      <c r="V372" s="72" t="str">
        <f t="shared" si="50"/>
        <v>Conexões de EE</v>
      </c>
      <c r="W372" s="72" t="s">
        <v>2136</v>
      </c>
      <c r="X372" s="73" t="str">
        <f t="shared" si="45"/>
        <v>Key-INFRA-372</v>
      </c>
      <c r="Y372" s="72" t="s">
        <v>2052</v>
      </c>
      <c r="Z372" s="99" t="s">
        <v>1</v>
      </c>
      <c r="AA372" s="74" t="s">
        <v>2102</v>
      </c>
      <c r="AB372" s="99" t="s">
        <v>1</v>
      </c>
      <c r="AC372" s="74" t="s">
        <v>1</v>
      </c>
    </row>
    <row r="373" spans="1:29" customFormat="1" ht="6.6" customHeight="1" x14ac:dyDescent="0.25">
      <c r="A373" s="64">
        <v>373</v>
      </c>
      <c r="B373" s="69" t="s">
        <v>2140</v>
      </c>
      <c r="C373" s="78" t="s">
        <v>2181</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2567</v>
      </c>
      <c r="S373" s="72" t="s">
        <v>1</v>
      </c>
      <c r="T373" s="72" t="str">
        <f t="shared" si="50"/>
        <v>Redes Urbanas</v>
      </c>
      <c r="U373" s="72" t="str">
        <f t="shared" si="50"/>
        <v>Redes Iluminação</v>
      </c>
      <c r="V373" s="72" t="str">
        <f t="shared" si="50"/>
        <v>Redes de Iluminação</v>
      </c>
      <c r="W373" s="72" t="s">
        <v>2136</v>
      </c>
      <c r="X373" s="73" t="str">
        <f t="shared" si="45"/>
        <v>Key-INFRA-373</v>
      </c>
      <c r="Y373" s="72" t="s">
        <v>2052</v>
      </c>
      <c r="Z373" s="99" t="s">
        <v>1</v>
      </c>
      <c r="AA373" s="74" t="s">
        <v>2103</v>
      </c>
      <c r="AB373" s="99" t="s">
        <v>1</v>
      </c>
      <c r="AC373" s="74" t="s">
        <v>1</v>
      </c>
    </row>
    <row r="374" spans="1:29" customFormat="1" ht="6.6" customHeight="1" x14ac:dyDescent="0.25">
      <c r="A374" s="64">
        <v>374</v>
      </c>
      <c r="B374" s="69" t="s">
        <v>2140</v>
      </c>
      <c r="C374" s="78" t="s">
        <v>2181</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2568</v>
      </c>
      <c r="S374" s="72" t="s">
        <v>1</v>
      </c>
      <c r="T374" s="72" t="str">
        <f t="shared" si="50"/>
        <v>Redes Urbanas</v>
      </c>
      <c r="U374" s="72" t="str">
        <f t="shared" si="50"/>
        <v>Redes Iluminação</v>
      </c>
      <c r="V374" s="72" t="str">
        <f t="shared" si="50"/>
        <v>Redes de Iluminação</v>
      </c>
      <c r="W374" s="72" t="s">
        <v>2136</v>
      </c>
      <c r="X374" s="73" t="str">
        <f t="shared" si="45"/>
        <v>Key-INFRA-374</v>
      </c>
      <c r="Y374" s="72" t="s">
        <v>2052</v>
      </c>
      <c r="Z374" s="99" t="s">
        <v>1</v>
      </c>
      <c r="AA374" s="74" t="s">
        <v>2104</v>
      </c>
      <c r="AB374" s="99" t="s">
        <v>1</v>
      </c>
      <c r="AC374" s="74" t="s">
        <v>1</v>
      </c>
    </row>
    <row r="375" spans="1:29" customFormat="1" ht="6.6" customHeight="1" x14ac:dyDescent="0.25">
      <c r="A375" s="64">
        <v>375</v>
      </c>
      <c r="B375" s="69" t="s">
        <v>2140</v>
      </c>
      <c r="C375" s="78" t="s">
        <v>2181</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2569</v>
      </c>
      <c r="S375" s="72" t="s">
        <v>1</v>
      </c>
      <c r="T375" s="72" t="str">
        <f t="shared" si="50"/>
        <v>Redes Urbanas</v>
      </c>
      <c r="U375" s="72" t="str">
        <f t="shared" si="50"/>
        <v>Redes de Telecom</v>
      </c>
      <c r="V375" s="72" t="str">
        <f t="shared" si="50"/>
        <v>Redes de Fibra Ótica</v>
      </c>
      <c r="W375" s="72" t="s">
        <v>2136</v>
      </c>
      <c r="X375" s="73" t="str">
        <f t="shared" si="45"/>
        <v>Key-INFRA-375</v>
      </c>
      <c r="Y375" s="72" t="s">
        <v>2052</v>
      </c>
      <c r="Z375" s="99" t="s">
        <v>1</v>
      </c>
      <c r="AA375" s="74" t="s">
        <v>2104</v>
      </c>
      <c r="AB375" s="99" t="s">
        <v>1</v>
      </c>
      <c r="AC375" s="74" t="s">
        <v>1</v>
      </c>
    </row>
    <row r="376" spans="1:29" customFormat="1" ht="6.6" customHeight="1" x14ac:dyDescent="0.25">
      <c r="A376" s="64">
        <v>376</v>
      </c>
      <c r="B376" s="69" t="s">
        <v>2140</v>
      </c>
      <c r="C376" s="78" t="s">
        <v>2181</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2570</v>
      </c>
      <c r="S376" s="72" t="s">
        <v>1</v>
      </c>
      <c r="T376" s="72" t="str">
        <f t="shared" si="50"/>
        <v>Redes Urbanas</v>
      </c>
      <c r="U376" s="72" t="str">
        <f t="shared" si="50"/>
        <v>Redes de Telecom</v>
      </c>
      <c r="V376" s="72" t="str">
        <f t="shared" si="50"/>
        <v>Redes de Fibra Ótica</v>
      </c>
      <c r="W376" s="72" t="s">
        <v>2136</v>
      </c>
      <c r="X376" s="73" t="str">
        <f t="shared" si="45"/>
        <v>Key-INFRA-376</v>
      </c>
      <c r="Y376" s="72" t="s">
        <v>2052</v>
      </c>
      <c r="Z376" s="99" t="s">
        <v>1</v>
      </c>
      <c r="AA376" s="74" t="s">
        <v>2105</v>
      </c>
      <c r="AB376" s="99" t="s">
        <v>1</v>
      </c>
      <c r="AC376" s="74" t="s">
        <v>1</v>
      </c>
    </row>
    <row r="377" spans="1:29" customFormat="1" ht="6.6" customHeight="1" x14ac:dyDescent="0.25">
      <c r="A377" s="64">
        <v>377</v>
      </c>
      <c r="B377" s="69" t="s">
        <v>2140</v>
      </c>
      <c r="C377" s="78" t="s">
        <v>2181</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2571</v>
      </c>
      <c r="S377" s="72" t="s">
        <v>1</v>
      </c>
      <c r="T377" s="72" t="str">
        <f t="shared" si="50"/>
        <v>Redes Urbanas</v>
      </c>
      <c r="U377" s="72" t="str">
        <f t="shared" si="50"/>
        <v>Redes de Telecom</v>
      </c>
      <c r="V377" s="72" t="str">
        <f t="shared" si="50"/>
        <v>Redes de Dados</v>
      </c>
      <c r="W377" s="72" t="s">
        <v>2136</v>
      </c>
      <c r="X377" s="73" t="str">
        <f t="shared" si="45"/>
        <v>Key-INFRA-377</v>
      </c>
      <c r="Y377" s="72" t="s">
        <v>2052</v>
      </c>
      <c r="Z377" s="99" t="s">
        <v>1</v>
      </c>
      <c r="AA377" s="74" t="s">
        <v>2105</v>
      </c>
      <c r="AB377" s="99" t="s">
        <v>1</v>
      </c>
      <c r="AC377" s="74" t="s">
        <v>1</v>
      </c>
    </row>
    <row r="378" spans="1:29" customFormat="1" ht="6.6" customHeight="1" x14ac:dyDescent="0.25">
      <c r="A378" s="64">
        <v>378</v>
      </c>
      <c r="B378" s="69" t="s">
        <v>2140</v>
      </c>
      <c r="C378" s="78" t="s">
        <v>2181</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2572</v>
      </c>
      <c r="S378" s="72" t="s">
        <v>1</v>
      </c>
      <c r="T378" s="72" t="str">
        <f t="shared" si="50"/>
        <v>Redes Urbanas</v>
      </c>
      <c r="U378" s="72" t="str">
        <f t="shared" si="50"/>
        <v>Redes de Telecom</v>
      </c>
      <c r="V378" s="72" t="str">
        <f t="shared" si="50"/>
        <v>Redes de Dados</v>
      </c>
      <c r="W378" s="72" t="s">
        <v>2136</v>
      </c>
      <c r="X378" s="73" t="str">
        <f t="shared" si="45"/>
        <v>Key-INFRA-378</v>
      </c>
      <c r="Y378" s="72" t="s">
        <v>2052</v>
      </c>
      <c r="Z378" s="99" t="s">
        <v>1</v>
      </c>
      <c r="AA378" s="74" t="s">
        <v>2106</v>
      </c>
      <c r="AB378" s="99" t="s">
        <v>1</v>
      </c>
      <c r="AC378" s="74" t="s">
        <v>1</v>
      </c>
    </row>
    <row r="379" spans="1:29" customFormat="1" ht="6.6" customHeight="1" x14ac:dyDescent="0.25">
      <c r="A379" s="64">
        <v>379</v>
      </c>
      <c r="B379" s="69" t="s">
        <v>2140</v>
      </c>
      <c r="C379" s="78" t="s">
        <v>2181</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2573</v>
      </c>
      <c r="S379" s="72" t="s">
        <v>1</v>
      </c>
      <c r="T379" s="72" t="str">
        <f t="shared" si="50"/>
        <v>Redes Urbanas</v>
      </c>
      <c r="U379" s="72" t="str">
        <f t="shared" si="50"/>
        <v>Redes de Telecom</v>
      </c>
      <c r="V379" s="72" t="str">
        <f t="shared" si="50"/>
        <v>Redes de Dados</v>
      </c>
      <c r="W379" s="72" t="s">
        <v>2136</v>
      </c>
      <c r="X379" s="73" t="str">
        <f t="shared" si="45"/>
        <v>Key-INFRA-379</v>
      </c>
      <c r="Y379" s="72" t="s">
        <v>2052</v>
      </c>
      <c r="Z379" s="99" t="s">
        <v>1</v>
      </c>
      <c r="AA379" s="74" t="s">
        <v>2182</v>
      </c>
      <c r="AB379" s="99" t="s">
        <v>1</v>
      </c>
      <c r="AC379" s="74" t="s">
        <v>1</v>
      </c>
    </row>
    <row r="380" spans="1:29" customFormat="1" ht="6.6" customHeight="1" x14ac:dyDescent="0.25">
      <c r="A380" s="64">
        <v>380</v>
      </c>
      <c r="B380" s="69" t="s">
        <v>2140</v>
      </c>
      <c r="C380" s="78" t="s">
        <v>2181</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2574</v>
      </c>
      <c r="S380" s="72"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99" t="s">
        <v>1</v>
      </c>
      <c r="AA380" s="74" t="s">
        <v>2182</v>
      </c>
      <c r="AB380" s="99" t="s">
        <v>1</v>
      </c>
      <c r="AC380" s="74" t="s">
        <v>1</v>
      </c>
    </row>
    <row r="381" spans="1:29" customFormat="1" ht="6.6" customHeight="1" x14ac:dyDescent="0.25">
      <c r="A381" s="64">
        <v>381</v>
      </c>
      <c r="B381" s="69" t="s">
        <v>2140</v>
      </c>
      <c r="C381" s="78" t="s">
        <v>2181</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2575</v>
      </c>
      <c r="S381" s="72" t="s">
        <v>1</v>
      </c>
      <c r="T381" s="72" t="str">
        <f t="shared" si="52"/>
        <v>Redes Urbanas</v>
      </c>
      <c r="U381" s="72" t="str">
        <f t="shared" si="52"/>
        <v>Redes de Telecom</v>
      </c>
      <c r="V381" s="72" t="str">
        <f t="shared" si="52"/>
        <v>Redes de Net</v>
      </c>
      <c r="W381" s="72" t="s">
        <v>2136</v>
      </c>
      <c r="X381" s="73" t="str">
        <f t="shared" si="45"/>
        <v>Key-INFRA-381</v>
      </c>
      <c r="Y381" s="72" t="s">
        <v>2052</v>
      </c>
      <c r="Z381" s="99" t="s">
        <v>1</v>
      </c>
      <c r="AA381" s="74" t="s">
        <v>2104</v>
      </c>
      <c r="AB381" s="99" t="s">
        <v>1</v>
      </c>
      <c r="AC381" s="74" t="s">
        <v>1</v>
      </c>
    </row>
    <row r="382" spans="1:29" customFormat="1" ht="6.6" customHeight="1" x14ac:dyDescent="0.25">
      <c r="A382" s="64">
        <v>382</v>
      </c>
      <c r="B382" s="69" t="s">
        <v>2140</v>
      </c>
      <c r="C382" s="78" t="s">
        <v>2181</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2576</v>
      </c>
      <c r="S382" s="72" t="s">
        <v>1</v>
      </c>
      <c r="T382" s="72" t="str">
        <f t="shared" si="52"/>
        <v>Redes Urbanas</v>
      </c>
      <c r="U382" s="72" t="str">
        <f t="shared" si="52"/>
        <v>Redes de Telecom</v>
      </c>
      <c r="V382" s="72" t="str">
        <f t="shared" si="52"/>
        <v>Redes de Telefonia</v>
      </c>
      <c r="W382" s="72" t="s">
        <v>2136</v>
      </c>
      <c r="X382" s="73" t="str">
        <f t="shared" si="45"/>
        <v>Key-INFRA-382</v>
      </c>
      <c r="Y382" s="72" t="s">
        <v>2052</v>
      </c>
      <c r="Z382" s="99" t="s">
        <v>1</v>
      </c>
      <c r="AA382" s="74" t="s">
        <v>2104</v>
      </c>
      <c r="AB382" s="99" t="s">
        <v>1</v>
      </c>
      <c r="AC382" s="74" t="s">
        <v>1</v>
      </c>
    </row>
    <row r="383" spans="1:29" customFormat="1" ht="6.6" customHeight="1" x14ac:dyDescent="0.25">
      <c r="A383" s="64">
        <v>383</v>
      </c>
      <c r="B383" s="69" t="s">
        <v>2140</v>
      </c>
      <c r="C383" s="78" t="s">
        <v>2181</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2570</v>
      </c>
      <c r="S383" s="72" t="s">
        <v>1</v>
      </c>
      <c r="T383" s="72" t="str">
        <f t="shared" si="52"/>
        <v>Redes Urbanas</v>
      </c>
      <c r="U383" s="72" t="str">
        <f t="shared" si="52"/>
        <v>Redes de Telecom</v>
      </c>
      <c r="V383" s="72" t="str">
        <f t="shared" si="52"/>
        <v>Redes de Telefonia</v>
      </c>
      <c r="W383" s="72" t="s">
        <v>2136</v>
      </c>
      <c r="X383" s="73" t="str">
        <f t="shared" si="45"/>
        <v>Key-INFRA-383</v>
      </c>
      <c r="Y383" s="72" t="s">
        <v>2052</v>
      </c>
      <c r="Z383" s="99" t="s">
        <v>1</v>
      </c>
      <c r="AA383" s="74" t="s">
        <v>1</v>
      </c>
      <c r="AB383" s="99" t="s">
        <v>1</v>
      </c>
      <c r="AC383" s="74" t="s">
        <v>1</v>
      </c>
    </row>
    <row r="384" spans="1:29" customFormat="1" ht="6.6" customHeight="1" x14ac:dyDescent="0.25">
      <c r="A384" s="64">
        <v>384</v>
      </c>
      <c r="B384" s="69" t="s">
        <v>2140</v>
      </c>
      <c r="C384" s="78" t="s">
        <v>2183</v>
      </c>
      <c r="D384" s="69" t="s">
        <v>2184</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2577</v>
      </c>
      <c r="S384" s="72" t="s">
        <v>1</v>
      </c>
      <c r="T384" s="72" t="str">
        <f t="shared" si="52"/>
        <v>Materialidades</v>
      </c>
      <c r="U384" s="72" t="str">
        <f t="shared" si="52"/>
        <v>De Tubulações</v>
      </c>
      <c r="V384" s="72" t="str">
        <f t="shared" si="52"/>
        <v>Materiais</v>
      </c>
      <c r="W384" s="72" t="s">
        <v>2136</v>
      </c>
      <c r="X384" s="73" t="str">
        <f t="shared" si="45"/>
        <v>Key-INFRA-384</v>
      </c>
      <c r="Y384" s="72" t="s">
        <v>2016</v>
      </c>
      <c r="Z384" s="99" t="s">
        <v>1</v>
      </c>
      <c r="AA384" s="72" t="s">
        <v>2017</v>
      </c>
      <c r="AB384" s="99" t="s">
        <v>1</v>
      </c>
      <c r="AC384" s="74" t="s">
        <v>1</v>
      </c>
    </row>
    <row r="385" spans="1:29" customFormat="1" ht="6.6" customHeight="1" x14ac:dyDescent="0.25">
      <c r="A385" s="64">
        <v>385</v>
      </c>
      <c r="B385" s="69" t="s">
        <v>2140</v>
      </c>
      <c r="C385" s="78" t="s">
        <v>2183</v>
      </c>
      <c r="D385" s="69" t="s">
        <v>2184</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2578</v>
      </c>
      <c r="S385" s="72" t="s">
        <v>1</v>
      </c>
      <c r="T385" s="72" t="str">
        <f t="shared" si="52"/>
        <v>Materialidades</v>
      </c>
      <c r="U385" s="72" t="str">
        <f t="shared" si="52"/>
        <v>De Tubulações</v>
      </c>
      <c r="V385" s="72" t="str">
        <f t="shared" si="52"/>
        <v>Materiais</v>
      </c>
      <c r="W385" s="72" t="s">
        <v>2136</v>
      </c>
      <c r="X385" s="73" t="str">
        <f t="shared" si="45"/>
        <v>Key-INFRA-385</v>
      </c>
      <c r="Y385" s="72" t="s">
        <v>2016</v>
      </c>
      <c r="Z385" s="99" t="s">
        <v>1</v>
      </c>
      <c r="AA385" s="72" t="s">
        <v>2017</v>
      </c>
      <c r="AB385" s="99" t="s">
        <v>1</v>
      </c>
      <c r="AC385" s="74" t="s">
        <v>1</v>
      </c>
    </row>
    <row r="386" spans="1:29" customFormat="1" ht="6.6" customHeight="1" x14ac:dyDescent="0.25">
      <c r="A386" s="64">
        <v>386</v>
      </c>
      <c r="B386" s="69" t="s">
        <v>2140</v>
      </c>
      <c r="C386" s="78" t="s">
        <v>2183</v>
      </c>
      <c r="D386" s="69" t="s">
        <v>2184</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2579</v>
      </c>
      <c r="S386" s="72" t="s">
        <v>1</v>
      </c>
      <c r="T386" s="72" t="str">
        <f t="shared" si="52"/>
        <v>Materialidades</v>
      </c>
      <c r="U386" s="72" t="str">
        <f t="shared" si="52"/>
        <v>De Tubulações</v>
      </c>
      <c r="V386" s="72" t="str">
        <f t="shared" si="52"/>
        <v>Materiais</v>
      </c>
      <c r="W386" s="72" t="s">
        <v>2136</v>
      </c>
      <c r="X386" s="73" t="str">
        <f t="shared" si="45"/>
        <v>Key-INFRA-386</v>
      </c>
      <c r="Y386" s="72" t="s">
        <v>2016</v>
      </c>
      <c r="Z386" s="99" t="s">
        <v>1</v>
      </c>
      <c r="AA386" s="72" t="s">
        <v>2017</v>
      </c>
      <c r="AB386" s="99" t="s">
        <v>1</v>
      </c>
      <c r="AC386" s="74" t="s">
        <v>1</v>
      </c>
    </row>
    <row r="387" spans="1:29" customFormat="1" ht="6.6" customHeight="1" x14ac:dyDescent="0.25">
      <c r="A387" s="64">
        <v>387</v>
      </c>
      <c r="B387" s="69" t="s">
        <v>2140</v>
      </c>
      <c r="C387" s="78" t="s">
        <v>2183</v>
      </c>
      <c r="D387" s="69" t="s">
        <v>2184</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2580</v>
      </c>
      <c r="S387" s="72" t="s">
        <v>1</v>
      </c>
      <c r="T387" s="72" t="str">
        <f t="shared" si="52"/>
        <v>Materialidades</v>
      </c>
      <c r="U387" s="72" t="str">
        <f t="shared" si="52"/>
        <v>De Tubulações</v>
      </c>
      <c r="V387" s="72" t="str">
        <f t="shared" si="52"/>
        <v>Materiais</v>
      </c>
      <c r="W387" s="72" t="s">
        <v>2136</v>
      </c>
      <c r="X387" s="73" t="str">
        <f t="shared" ref="X387:X390" si="53">CONCATENATE("Key-INFRA-",A387)</f>
        <v>Key-INFRA-387</v>
      </c>
      <c r="Y387" s="72" t="s">
        <v>2016</v>
      </c>
      <c r="Z387" s="99" t="s">
        <v>1</v>
      </c>
      <c r="AA387" s="72" t="s">
        <v>2017</v>
      </c>
      <c r="AB387" s="99" t="s">
        <v>1</v>
      </c>
      <c r="AC387" s="74" t="s">
        <v>1</v>
      </c>
    </row>
    <row r="388" spans="1:29" customFormat="1" ht="6.6" customHeight="1" x14ac:dyDescent="0.25">
      <c r="A388" s="64">
        <v>388</v>
      </c>
      <c r="B388" s="69" t="s">
        <v>2140</v>
      </c>
      <c r="C388" s="78" t="s">
        <v>2183</v>
      </c>
      <c r="D388" s="69" t="s">
        <v>2184</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2581</v>
      </c>
      <c r="S388" s="72" t="s">
        <v>1</v>
      </c>
      <c r="T388" s="72" t="str">
        <f t="shared" si="52"/>
        <v>Materialidades</v>
      </c>
      <c r="U388" s="72" t="str">
        <f t="shared" si="52"/>
        <v>De Tubulações</v>
      </c>
      <c r="V388" s="72" t="str">
        <f t="shared" si="52"/>
        <v>Materiais</v>
      </c>
      <c r="W388" s="72" t="s">
        <v>2136</v>
      </c>
      <c r="X388" s="73" t="str">
        <f t="shared" si="53"/>
        <v>Key-INFRA-388</v>
      </c>
      <c r="Y388" s="72" t="s">
        <v>2016</v>
      </c>
      <c r="Z388" s="99" t="s">
        <v>1</v>
      </c>
      <c r="AA388" s="72" t="s">
        <v>2017</v>
      </c>
      <c r="AB388" s="99" t="s">
        <v>1</v>
      </c>
      <c r="AC388" s="74" t="s">
        <v>1</v>
      </c>
    </row>
    <row r="389" spans="1:29" customFormat="1" ht="6.6" customHeight="1" x14ac:dyDescent="0.25">
      <c r="A389" s="64">
        <v>389</v>
      </c>
      <c r="B389" s="69" t="s">
        <v>2140</v>
      </c>
      <c r="C389" s="78" t="s">
        <v>2183</v>
      </c>
      <c r="D389" s="69" t="s">
        <v>2184</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2582</v>
      </c>
      <c r="S389" s="72" t="s">
        <v>1</v>
      </c>
      <c r="T389" s="72" t="str">
        <f t="shared" si="52"/>
        <v>Materialidades</v>
      </c>
      <c r="U389" s="72" t="str">
        <f t="shared" si="52"/>
        <v>De Tubulações</v>
      </c>
      <c r="V389" s="72" t="str">
        <f t="shared" si="52"/>
        <v>Materiais</v>
      </c>
      <c r="W389" s="72" t="s">
        <v>2136</v>
      </c>
      <c r="X389" s="73" t="str">
        <f t="shared" si="53"/>
        <v>Key-INFRA-389</v>
      </c>
      <c r="Y389" s="72" t="s">
        <v>2016</v>
      </c>
      <c r="Z389" s="99" t="s">
        <v>1</v>
      </c>
      <c r="AA389" s="72" t="s">
        <v>2017</v>
      </c>
      <c r="AB389" s="99" t="s">
        <v>1</v>
      </c>
      <c r="AC389" s="74" t="s">
        <v>1</v>
      </c>
    </row>
    <row r="390" spans="1:29" customFormat="1" ht="6.6" customHeight="1" x14ac:dyDescent="0.25">
      <c r="A390" s="64">
        <v>390</v>
      </c>
      <c r="B390" s="69" t="s">
        <v>2140</v>
      </c>
      <c r="C390" s="78" t="s">
        <v>2183</v>
      </c>
      <c r="D390" s="69" t="s">
        <v>2184</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2583</v>
      </c>
      <c r="S390" s="72" t="s">
        <v>1</v>
      </c>
      <c r="T390" s="72" t="str">
        <f t="shared" si="52"/>
        <v>Materialidades</v>
      </c>
      <c r="U390" s="72" t="str">
        <f t="shared" si="52"/>
        <v>De Tubulações</v>
      </c>
      <c r="V390" s="72" t="str">
        <f t="shared" si="52"/>
        <v>Materiais</v>
      </c>
      <c r="W390" s="72" t="s">
        <v>2136</v>
      </c>
      <c r="X390" s="73" t="str">
        <f t="shared" si="53"/>
        <v>Key-INFRA-390</v>
      </c>
      <c r="Y390" s="72" t="s">
        <v>2016</v>
      </c>
      <c r="Z390" s="99" t="s">
        <v>1</v>
      </c>
      <c r="AA390" s="72" t="s">
        <v>2017</v>
      </c>
      <c r="AB390" s="99" t="s">
        <v>1</v>
      </c>
      <c r="AC390" s="74" t="s">
        <v>1</v>
      </c>
    </row>
    <row r="391" spans="1:29" customFormat="1" ht="6.6" customHeight="1" x14ac:dyDescent="0.25">
      <c r="A391" s="64">
        <v>391</v>
      </c>
      <c r="B391" s="69" t="s">
        <v>2185</v>
      </c>
      <c r="C391" s="78" t="s">
        <v>2195</v>
      </c>
      <c r="D391" s="78" t="s">
        <v>2196</v>
      </c>
      <c r="E391" s="69" t="s">
        <v>2197</v>
      </c>
      <c r="F391" s="76" t="s">
        <v>2198</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2201</v>
      </c>
      <c r="Q391" s="74" t="s">
        <v>2206</v>
      </c>
      <c r="R391" s="72" t="s">
        <v>2584</v>
      </c>
      <c r="S391" s="72"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ref="X391" si="61">CONCATENATE("Key-INFRA-",A391)</f>
        <v>Key-INFRA-391</v>
      </c>
      <c r="Y391" s="72" t="s">
        <v>2016</v>
      </c>
      <c r="Z391" s="99" t="s">
        <v>1</v>
      </c>
      <c r="AA391" s="72" t="s">
        <v>2017</v>
      </c>
      <c r="AB391" s="99" t="s">
        <v>1</v>
      </c>
      <c r="AC391" s="74" t="s">
        <v>1</v>
      </c>
    </row>
    <row r="392" spans="1:29" customFormat="1" ht="6.6" customHeight="1" x14ac:dyDescent="0.25">
      <c r="A392" s="64">
        <v>392</v>
      </c>
      <c r="B392" s="69" t="s">
        <v>2185</v>
      </c>
      <c r="C392" s="78" t="s">
        <v>2195</v>
      </c>
      <c r="D392" s="78" t="s">
        <v>2196</v>
      </c>
      <c r="E392" s="69" t="s">
        <v>2197</v>
      </c>
      <c r="F392" s="76" t="s">
        <v>2199</v>
      </c>
      <c r="G392" s="70" t="s">
        <v>1</v>
      </c>
      <c r="H392" s="70" t="s">
        <v>1</v>
      </c>
      <c r="I392" s="70" t="s">
        <v>1</v>
      </c>
      <c r="J392" s="70" t="s">
        <v>1</v>
      </c>
      <c r="K392" s="70" t="s">
        <v>1</v>
      </c>
      <c r="L392" s="77" t="str">
        <f t="shared" ref="L392:O394" si="62">SUBSTITUTE(CONCATENATE("", C392), ".", " ")</f>
        <v>De Infraestrutura</v>
      </c>
      <c r="M392" s="77" t="str">
        <f t="shared" ref="M392:M393" si="63">SUBSTITUTE(CONCATENATE("", D392), ".", " ")</f>
        <v>Infraestruturas</v>
      </c>
      <c r="N392" s="77" t="str">
        <f t="shared" ref="N392:N393" si="64">SUBSTITUTE(CONCATENATE("", E392), ".", " ")</f>
        <v>Urbanas</v>
      </c>
      <c r="O392" s="77" t="str">
        <f t="shared" ref="O392:O393" si="65">SUBSTITUTE(CONCATENATE("", F392), ".", " ")</f>
        <v>Arruamento</v>
      </c>
      <c r="P392" s="74" t="s">
        <v>2202</v>
      </c>
      <c r="Q392" s="74" t="s">
        <v>2205</v>
      </c>
      <c r="R392" s="72" t="s">
        <v>2585</v>
      </c>
      <c r="S392" s="72" t="s">
        <v>1</v>
      </c>
      <c r="T392" s="72" t="str">
        <f t="shared" ref="T392:V394" si="66">SUBSTITUTE(C392, ".", " ")</f>
        <v>De Infraestrutura</v>
      </c>
      <c r="U392" s="72" t="str">
        <f t="shared" ref="U392:U393" si="67">SUBSTITUTE(D392, ".", " ")</f>
        <v>Infraestruturas</v>
      </c>
      <c r="V392" s="72" t="str">
        <f t="shared" ref="V392:V393" si="68">SUBSTITUTE(E392, ".", " ")</f>
        <v>Urbanas</v>
      </c>
      <c r="W392" s="72" t="s">
        <v>2136</v>
      </c>
      <c r="X392" s="73" t="str">
        <f t="shared" ref="X392:X394" si="69">CONCATENATE("Key-INFRA-",A392)</f>
        <v>Key-INFRA-392</v>
      </c>
      <c r="Y392" s="72" t="s">
        <v>2016</v>
      </c>
      <c r="Z392" s="99" t="s">
        <v>1</v>
      </c>
      <c r="AA392" s="72" t="s">
        <v>2017</v>
      </c>
      <c r="AB392" s="99" t="s">
        <v>1</v>
      </c>
      <c r="AC392" s="74" t="s">
        <v>1</v>
      </c>
    </row>
    <row r="393" spans="1:29" customFormat="1" ht="6.6" customHeight="1" x14ac:dyDescent="0.25">
      <c r="A393" s="64">
        <v>393</v>
      </c>
      <c r="B393" s="69" t="s">
        <v>2185</v>
      </c>
      <c r="C393" s="78" t="s">
        <v>2195</v>
      </c>
      <c r="D393" s="78" t="s">
        <v>2196</v>
      </c>
      <c r="E393" s="69" t="s">
        <v>2197</v>
      </c>
      <c r="F393" s="76" t="s">
        <v>2200</v>
      </c>
      <c r="G393" s="70" t="s">
        <v>1</v>
      </c>
      <c r="H393" s="70" t="s">
        <v>1</v>
      </c>
      <c r="I393" s="70" t="s">
        <v>1</v>
      </c>
      <c r="J393" s="70" t="s">
        <v>1</v>
      </c>
      <c r="K393" s="70" t="s">
        <v>1</v>
      </c>
      <c r="L393" s="77" t="str">
        <f t="shared" si="62"/>
        <v>De Infraestrutura</v>
      </c>
      <c r="M393" s="77" t="str">
        <f t="shared" si="63"/>
        <v>Infraestruturas</v>
      </c>
      <c r="N393" s="77" t="str">
        <f t="shared" si="64"/>
        <v>Urbanas</v>
      </c>
      <c r="O393" s="77" t="str">
        <f t="shared" si="65"/>
        <v>Iluminação Pública</v>
      </c>
      <c r="P393" s="74" t="s">
        <v>2203</v>
      </c>
      <c r="Q393" s="74" t="s">
        <v>2204</v>
      </c>
      <c r="R393" s="72" t="s">
        <v>2586</v>
      </c>
      <c r="S393" s="72" t="s">
        <v>1</v>
      </c>
      <c r="T393" s="72" t="str">
        <f t="shared" si="66"/>
        <v>De Infraestrutura</v>
      </c>
      <c r="U393" s="72" t="str">
        <f t="shared" si="67"/>
        <v>Infraestruturas</v>
      </c>
      <c r="V393" s="72" t="str">
        <f t="shared" si="68"/>
        <v>Urbanas</v>
      </c>
      <c r="W393" s="72" t="s">
        <v>2136</v>
      </c>
      <c r="X393" s="73" t="str">
        <f t="shared" si="69"/>
        <v>Key-INFRA-393</v>
      </c>
      <c r="Y393" s="72" t="s">
        <v>2016</v>
      </c>
      <c r="Z393" s="99" t="s">
        <v>1</v>
      </c>
      <c r="AA393" s="72" t="s">
        <v>2017</v>
      </c>
      <c r="AB393" s="99" t="s">
        <v>1</v>
      </c>
      <c r="AC393" s="74" t="s">
        <v>1</v>
      </c>
    </row>
    <row r="394" spans="1:29" s="100" customFormat="1" ht="6.75" customHeight="1" x14ac:dyDescent="0.2">
      <c r="A394" s="64">
        <v>394</v>
      </c>
      <c r="B394" s="94" t="s">
        <v>2185</v>
      </c>
      <c r="C394" s="95" t="s">
        <v>2590</v>
      </c>
      <c r="D394" s="95" t="s">
        <v>2591</v>
      </c>
      <c r="E394" s="95" t="s">
        <v>2592</v>
      </c>
      <c r="F394" s="95" t="s">
        <v>2593</v>
      </c>
      <c r="G394" s="96" t="s">
        <v>1</v>
      </c>
      <c r="H394" s="96" t="s">
        <v>1</v>
      </c>
      <c r="I394" s="96" t="s">
        <v>1</v>
      </c>
      <c r="J394" s="96" t="s">
        <v>1</v>
      </c>
      <c r="K394" s="96" t="s">
        <v>1</v>
      </c>
      <c r="L394" s="97" t="str">
        <f t="shared" si="62"/>
        <v>De API</v>
      </c>
      <c r="M394" s="97" t="str">
        <f t="shared" si="62"/>
        <v>Métodos</v>
      </c>
      <c r="N394" s="97" t="str">
        <f t="shared" si="62"/>
        <v>Macros</v>
      </c>
      <c r="O394" s="97" t="str">
        <f t="shared" si="62"/>
        <v>API Revit</v>
      </c>
      <c r="P394" s="98" t="s">
        <v>2594</v>
      </c>
      <c r="Q394" s="98" t="s">
        <v>2595</v>
      </c>
      <c r="R394" s="98" t="s">
        <v>2596</v>
      </c>
      <c r="S394" s="98" t="s">
        <v>1</v>
      </c>
      <c r="T394" s="98" t="str">
        <f t="shared" si="66"/>
        <v>De API</v>
      </c>
      <c r="U394" s="98" t="str">
        <f t="shared" si="66"/>
        <v>Métodos</v>
      </c>
      <c r="V394" s="72" t="str">
        <f t="shared" si="66"/>
        <v>Macros</v>
      </c>
      <c r="W394" s="72" t="s">
        <v>2136</v>
      </c>
      <c r="X394" s="73" t="str">
        <f t="shared" si="69"/>
        <v>Key-INFRA-394</v>
      </c>
      <c r="Y394" s="99" t="s">
        <v>1</v>
      </c>
      <c r="Z394" s="99" t="s">
        <v>1</v>
      </c>
      <c r="AA394" s="99" t="s">
        <v>1</v>
      </c>
      <c r="AB394" s="99" t="s">
        <v>1</v>
      </c>
      <c r="AC394" s="99" t="s">
        <v>1</v>
      </c>
    </row>
  </sheetData>
  <phoneticPr fontId="1" type="noConversion"/>
  <conditionalFormatting sqref="A2:B388 B389:B393 A389:A394 W2:W394">
    <cfRule type="cellIs" dxfId="111" priority="16" operator="equal">
      <formula>"null"</formula>
    </cfRule>
  </conditionalFormatting>
  <conditionalFormatting sqref="F1">
    <cfRule type="duplicateValues" dxfId="110" priority="1483"/>
  </conditionalFormatting>
  <conditionalFormatting sqref="F1:F393 F395:F1048576">
    <cfRule type="duplicateValues" dxfId="109" priority="14"/>
  </conditionalFormatting>
  <conditionalFormatting sqref="F2:F29 F41:F100">
    <cfRule type="duplicateValues" dxfId="108" priority="56"/>
  </conditionalFormatting>
  <conditionalFormatting sqref="F2:F29 F41:F347">
    <cfRule type="duplicateValues" dxfId="107" priority="44"/>
    <cfRule type="duplicateValues" dxfId="106" priority="49"/>
  </conditionalFormatting>
  <conditionalFormatting sqref="F2:F347">
    <cfRule type="duplicateValues" dxfId="105" priority="27"/>
    <cfRule type="duplicateValues" dxfId="104" priority="28"/>
  </conditionalFormatting>
  <conditionalFormatting sqref="F2:F393">
    <cfRule type="duplicateValues" dxfId="103" priority="15"/>
  </conditionalFormatting>
  <conditionalFormatting sqref="F30:F31">
    <cfRule type="duplicateValues" dxfId="102" priority="29"/>
    <cfRule type="duplicateValues" dxfId="101" priority="30"/>
  </conditionalFormatting>
  <conditionalFormatting sqref="F30:F40">
    <cfRule type="duplicateValues" dxfId="100" priority="50"/>
  </conditionalFormatting>
  <conditionalFormatting sqref="F32:F40">
    <cfRule type="duplicateValues" dxfId="99" priority="51"/>
    <cfRule type="duplicateValues" dxfId="98" priority="52"/>
    <cfRule type="duplicateValues" dxfId="97" priority="53"/>
    <cfRule type="duplicateValues" dxfId="96" priority="54"/>
  </conditionalFormatting>
  <conditionalFormatting sqref="F41:F347 F1:F29 L1:Q6 AD1:XFD29 T2:V28 C2:D347 L7:O9 Q7:Q9 L10:Q29 T29:U29 V29:V40 O30:O40 L41:Q338 AD41:XFD347 T41:V383 L339:P347 C348:C383 AD395:XFD1048576">
    <cfRule type="cellIs" dxfId="95" priority="32" operator="equal">
      <formula>"null"</formula>
    </cfRule>
  </conditionalFormatting>
  <conditionalFormatting sqref="F101:F110">
    <cfRule type="duplicateValues" dxfId="94" priority="22"/>
    <cfRule type="duplicateValues" dxfId="93" priority="23"/>
  </conditionalFormatting>
  <conditionalFormatting sqref="F101:F117 F122:F144 F180:F276">
    <cfRule type="duplicateValues" dxfId="92" priority="48"/>
  </conditionalFormatting>
  <conditionalFormatting sqref="F101:F347">
    <cfRule type="duplicateValues" dxfId="91" priority="45"/>
  </conditionalFormatting>
  <conditionalFormatting sqref="F118:F121">
    <cfRule type="duplicateValues" dxfId="90" priority="20"/>
    <cfRule type="duplicateValues" dxfId="89" priority="21"/>
  </conditionalFormatting>
  <conditionalFormatting sqref="F145:F163">
    <cfRule type="duplicateValues" dxfId="88" priority="25"/>
  </conditionalFormatting>
  <conditionalFormatting sqref="F145:F179">
    <cfRule type="duplicateValues" dxfId="87" priority="26"/>
  </conditionalFormatting>
  <conditionalFormatting sqref="F164:F179">
    <cfRule type="duplicateValues" dxfId="86" priority="24"/>
  </conditionalFormatting>
  <conditionalFormatting sqref="F180:F201 F111:F117 F122:F144">
    <cfRule type="duplicateValues" dxfId="85" priority="55"/>
  </conditionalFormatting>
  <conditionalFormatting sqref="F180:F207 F111:F117 F122:F144">
    <cfRule type="duplicateValues" dxfId="84" priority="46"/>
  </conditionalFormatting>
  <conditionalFormatting sqref="F180:F230 F101:F117 F122:F144">
    <cfRule type="duplicateValues" dxfId="83" priority="47"/>
  </conditionalFormatting>
  <conditionalFormatting sqref="F202:F207">
    <cfRule type="duplicateValues" dxfId="82" priority="41"/>
  </conditionalFormatting>
  <conditionalFormatting sqref="F277:F285">
    <cfRule type="duplicateValues" dxfId="81" priority="43"/>
  </conditionalFormatting>
  <conditionalFormatting sqref="F277:F347">
    <cfRule type="duplicateValues" dxfId="80" priority="59"/>
  </conditionalFormatting>
  <conditionalFormatting sqref="F286">
    <cfRule type="duplicateValues" dxfId="79" priority="31"/>
  </conditionalFormatting>
  <conditionalFormatting sqref="F287">
    <cfRule type="duplicateValues" dxfId="78" priority="33"/>
    <cfRule type="duplicateValues" dxfId="77" priority="34"/>
    <cfRule type="duplicateValues" dxfId="76" priority="35"/>
    <cfRule type="duplicateValues" dxfId="75" priority="36"/>
    <cfRule type="duplicateValues" dxfId="74" priority="37"/>
    <cfRule type="duplicateValues" dxfId="73" priority="38"/>
    <cfRule type="duplicateValues" dxfId="72" priority="39"/>
  </conditionalFormatting>
  <conditionalFormatting sqref="F288:F294">
    <cfRule type="duplicateValues" dxfId="71" priority="42"/>
  </conditionalFormatting>
  <conditionalFormatting sqref="F310:F314 F295:F301 F306:F307">
    <cfRule type="duplicateValues" dxfId="70" priority="40"/>
  </conditionalFormatting>
  <conditionalFormatting sqref="F328">
    <cfRule type="duplicateValues" dxfId="69" priority="19"/>
  </conditionalFormatting>
  <conditionalFormatting sqref="F348:F374">
    <cfRule type="duplicateValues" dxfId="68" priority="57"/>
    <cfRule type="duplicateValues" dxfId="67" priority="58"/>
  </conditionalFormatting>
  <conditionalFormatting sqref="F375:F383">
    <cfRule type="duplicateValues" dxfId="66" priority="60"/>
    <cfRule type="duplicateValues" dxfId="65" priority="61"/>
  </conditionalFormatting>
  <conditionalFormatting sqref="F384:F393">
    <cfRule type="duplicateValues" dxfId="64" priority="17"/>
    <cfRule type="duplicateValues" dxfId="63" priority="18"/>
  </conditionalFormatting>
  <conditionalFormatting sqref="F395:F1048576 A1:D1 T1:X1 A395:D1048576 L395:R1048576 T395:X1048576">
    <cfRule type="cellIs" dxfId="62" priority="445" operator="equal">
      <formula>"null"</formula>
    </cfRule>
  </conditionalFormatting>
  <conditionalFormatting sqref="F395:F1048576 F1">
    <cfRule type="duplicateValues" dxfId="61" priority="962"/>
    <cfRule type="duplicateValues" dxfId="60" priority="977"/>
    <cfRule type="duplicateValues" dxfId="59" priority="981"/>
  </conditionalFormatting>
  <conditionalFormatting sqref="F395:F1048576">
    <cfRule type="duplicateValues" dxfId="58" priority="148"/>
    <cfRule type="duplicateValues" dxfId="57" priority="149"/>
    <cfRule type="duplicateValues" dxfId="56" priority="965"/>
    <cfRule type="duplicateValues" dxfId="55" priority="969"/>
    <cfRule type="duplicateValues" dxfId="54" priority="973"/>
  </conditionalFormatting>
  <conditionalFormatting sqref="P391:P393">
    <cfRule type="duplicateValues" dxfId="53" priority="6"/>
    <cfRule type="duplicateValues" dxfId="52" priority="7"/>
    <cfRule type="duplicateValues" dxfId="51" priority="8"/>
    <cfRule type="duplicateValues" dxfId="50" priority="9"/>
  </conditionalFormatting>
  <conditionalFormatting sqref="Q391:Q393">
    <cfRule type="duplicateValues" dxfId="49" priority="10"/>
    <cfRule type="duplicateValues" dxfId="48" priority="11"/>
    <cfRule type="duplicateValues" dxfId="47" priority="12"/>
    <cfRule type="duplicateValues" dxfId="46" priority="13"/>
  </conditionalFormatting>
  <conditionalFormatting sqref="R1:R393">
    <cfRule type="cellIs" dxfId="45" priority="5" operator="equal">
      <formula>"null"</formula>
    </cfRule>
  </conditionalFormatting>
  <conditionalFormatting sqref="B394">
    <cfRule type="cellIs" dxfId="43" priority="2" operator="equal">
      <formula>"null"</formula>
    </cfRule>
  </conditionalFormatting>
  <conditionalFormatting sqref="F394">
    <cfRule type="duplicateValues" dxfId="42" priority="3"/>
  </conditionalFormatting>
  <conditionalFormatting sqref="R394">
    <cfRule type="cellIs" dxfId="4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40"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673</v>
      </c>
      <c r="C2" s="50" t="s">
        <v>671</v>
      </c>
      <c r="D2" s="50" t="s">
        <v>1</v>
      </c>
    </row>
    <row r="3" spans="1:4" s="34" customFormat="1" ht="6" customHeight="1" x14ac:dyDescent="0.15">
      <c r="A3" s="13">
        <v>3</v>
      </c>
      <c r="B3" s="49" t="s">
        <v>628</v>
      </c>
      <c r="C3" s="50" t="s">
        <v>629</v>
      </c>
      <c r="D3" s="50" t="s">
        <v>1</v>
      </c>
    </row>
    <row r="4" spans="1:4" s="34" customFormat="1" ht="6" customHeight="1" x14ac:dyDescent="0.15">
      <c r="A4" s="13">
        <v>4</v>
      </c>
      <c r="B4" s="49" t="s">
        <v>633</v>
      </c>
      <c r="C4" s="50" t="s">
        <v>634</v>
      </c>
      <c r="D4" s="50" t="s">
        <v>636</v>
      </c>
    </row>
    <row r="5" spans="1:4" s="34" customFormat="1" ht="6" customHeight="1" x14ac:dyDescent="0.15">
      <c r="A5" s="13">
        <v>5</v>
      </c>
      <c r="B5" s="49" t="s">
        <v>58</v>
      </c>
      <c r="C5" s="29" t="s">
        <v>639</v>
      </c>
      <c r="D5" s="29" t="s">
        <v>640</v>
      </c>
    </row>
    <row r="6" spans="1:4" s="34" customFormat="1" ht="6" customHeight="1" x14ac:dyDescent="0.15">
      <c r="A6" s="13">
        <v>6</v>
      </c>
      <c r="B6" s="49" t="s">
        <v>642</v>
      </c>
      <c r="C6" s="29" t="s">
        <v>644</v>
      </c>
      <c r="D6" s="50" t="s">
        <v>1</v>
      </c>
    </row>
    <row r="7" spans="1:4" ht="6" customHeight="1" x14ac:dyDescent="0.25">
      <c r="A7" s="13">
        <v>7</v>
      </c>
      <c r="B7" s="49" t="s">
        <v>543</v>
      </c>
      <c r="C7" s="50" t="s">
        <v>560</v>
      </c>
      <c r="D7" s="50" t="s">
        <v>1</v>
      </c>
    </row>
    <row r="8" spans="1:4" ht="6" customHeight="1" x14ac:dyDescent="0.25">
      <c r="A8" s="13">
        <v>8</v>
      </c>
      <c r="B8" s="51" t="s">
        <v>1634</v>
      </c>
      <c r="C8" s="27" t="s">
        <v>1504</v>
      </c>
      <c r="D8" s="50" t="s">
        <v>1</v>
      </c>
    </row>
    <row r="9" spans="1:4" ht="6" customHeight="1" x14ac:dyDescent="0.25">
      <c r="A9" s="13">
        <v>9</v>
      </c>
      <c r="B9" s="51" t="s">
        <v>1642</v>
      </c>
      <c r="C9" s="27" t="s">
        <v>1641</v>
      </c>
      <c r="D9" s="50" t="s">
        <v>1</v>
      </c>
    </row>
    <row r="10" spans="1:4" ht="6" customHeight="1" x14ac:dyDescent="0.25">
      <c r="A10" s="13">
        <v>10</v>
      </c>
      <c r="B10" s="51" t="s">
        <v>1640</v>
      </c>
      <c r="C10" s="27" t="s">
        <v>1639</v>
      </c>
      <c r="D10" s="50" t="s">
        <v>1</v>
      </c>
    </row>
    <row r="11" spans="1:4" ht="6" customHeight="1" x14ac:dyDescent="0.25">
      <c r="A11" s="13">
        <v>11</v>
      </c>
      <c r="B11" s="51" t="s">
        <v>1625</v>
      </c>
      <c r="C11" s="27" t="s">
        <v>1678</v>
      </c>
      <c r="D11" s="50" t="s">
        <v>1679</v>
      </c>
    </row>
    <row r="12" spans="1:4" ht="6" customHeight="1" x14ac:dyDescent="0.25">
      <c r="A12" s="13">
        <v>12</v>
      </c>
      <c r="B12" s="51" t="s">
        <v>1682</v>
      </c>
      <c r="C12" s="27" t="s">
        <v>1687</v>
      </c>
      <c r="D12" s="50" t="s">
        <v>1</v>
      </c>
    </row>
  </sheetData>
  <conditionalFormatting sqref="A1:A12">
    <cfRule type="cellIs" dxfId="39" priority="32" operator="equal">
      <formula>"null"</formula>
    </cfRule>
  </conditionalFormatting>
  <conditionalFormatting sqref="B8:B9">
    <cfRule type="duplicateValues" dxfId="38" priority="1667"/>
  </conditionalFormatting>
  <conditionalFormatting sqref="B10:B12">
    <cfRule type="duplicateValues" dxfId="37" priority="13"/>
  </conditionalFormatting>
  <conditionalFormatting sqref="B8:C12">
    <cfRule type="cellIs" dxfId="36" priority="9" operator="equal">
      <formula>"null"</formula>
    </cfRule>
  </conditionalFormatting>
  <conditionalFormatting sqref="C8:C9">
    <cfRule type="duplicateValues" dxfId="35" priority="1669"/>
    <cfRule type="duplicateValues" dxfId="34" priority="1670"/>
    <cfRule type="duplicateValues" dxfId="33" priority="1671"/>
  </conditionalFormatting>
  <conditionalFormatting sqref="C10:C12">
    <cfRule type="duplicateValues" dxfId="32" priority="10"/>
    <cfRule type="duplicateValues" dxfId="31" priority="11"/>
    <cfRule type="duplicateValues" dxfId="30"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Q523"/>
  <sheetViews>
    <sheetView tabSelected="1" zoomScale="190" zoomScaleNormal="190" workbookViewId="0">
      <pane ySplit="1" topLeftCell="A2" activePane="bottomLeft" state="frozen"/>
      <selection pane="bottomLeft" activeCell="B525" sqref="B525"/>
    </sheetView>
  </sheetViews>
  <sheetFormatPr defaultColWidth="8.7109375" defaultRowHeight="7.5" customHeight="1" x14ac:dyDescent="0.25"/>
  <cols>
    <col min="1" max="1" width="3.140625" style="68" bestFit="1" customWidth="1"/>
    <col min="2" max="2" width="11.140625" style="57" customWidth="1"/>
    <col min="3" max="3" width="12.42578125" style="57" bestFit="1" customWidth="1"/>
    <col min="4" max="4" width="10" style="57" bestFit="1" customWidth="1"/>
    <col min="5" max="5" width="12.42578125" style="57" bestFit="1" customWidth="1"/>
    <col min="6" max="6" width="8.85546875" style="57" bestFit="1" customWidth="1"/>
    <col min="7" max="7" width="8.570312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1.42578125" style="57" customWidth="1"/>
    <col min="20" max="20" width="10.570312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11.71093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4.28515625" style="57" bestFit="1" customWidth="1"/>
    <col min="58" max="58" width="5.85546875" style="57" customWidth="1"/>
    <col min="59" max="59" width="7.42578125" style="57" customWidth="1"/>
    <col min="60" max="60" width="4.28515625" style="57" bestFit="1" customWidth="1"/>
    <col min="61" max="61" width="3.85546875" style="57" bestFit="1" customWidth="1"/>
    <col min="62" max="62" width="4.28515625" style="57" bestFit="1" customWidth="1"/>
    <col min="63" max="63" width="3.85546875" style="57" bestFit="1" customWidth="1"/>
    <col min="64" max="64" width="4.28515625" style="57" bestFit="1" customWidth="1"/>
    <col min="65" max="65" width="3.85546875" style="57" bestFit="1" customWidth="1"/>
    <col min="66" max="66" width="4.28515625" style="57" bestFit="1" customWidth="1"/>
    <col min="67" max="67" width="3.85546875" style="57" bestFit="1" customWidth="1"/>
    <col min="68" max="68" width="4.28515625" style="57" bestFit="1" customWidth="1"/>
    <col min="69" max="69" width="3.85546875" style="57" bestFit="1" customWidth="1"/>
    <col min="70" max="16384" width="8.7109375" style="57"/>
  </cols>
  <sheetData>
    <row r="1" spans="1:69" ht="16.899999999999999" customHeight="1" x14ac:dyDescent="0.25">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c r="BF1" s="19" t="s">
        <v>33</v>
      </c>
      <c r="BG1" s="33" t="s">
        <v>75</v>
      </c>
      <c r="BH1" s="19" t="s">
        <v>33</v>
      </c>
      <c r="BI1" s="33" t="s">
        <v>75</v>
      </c>
      <c r="BJ1" s="19" t="s">
        <v>33</v>
      </c>
      <c r="BK1" s="33" t="s">
        <v>75</v>
      </c>
      <c r="BL1" s="19" t="s">
        <v>33</v>
      </c>
      <c r="BM1" s="33" t="s">
        <v>75</v>
      </c>
      <c r="BN1" s="19" t="s">
        <v>33</v>
      </c>
      <c r="BO1" s="33" t="s">
        <v>75</v>
      </c>
      <c r="BP1" s="19" t="s">
        <v>33</v>
      </c>
      <c r="BQ1" s="33" t="s">
        <v>75</v>
      </c>
    </row>
    <row r="2" spans="1:69" ht="7.5" customHeight="1" x14ac:dyDescent="0.25">
      <c r="A2" s="67">
        <v>2</v>
      </c>
      <c r="B2" s="58" t="s">
        <v>376</v>
      </c>
      <c r="C2" s="76" t="s">
        <v>2198</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c r="BF2" s="30" t="s">
        <v>1</v>
      </c>
      <c r="BG2" s="37" t="s">
        <v>1</v>
      </c>
      <c r="BH2" s="102" t="s">
        <v>1</v>
      </c>
      <c r="BI2" s="103" t="s">
        <v>1</v>
      </c>
      <c r="BJ2" s="102" t="s">
        <v>1</v>
      </c>
      <c r="BK2" s="103" t="s">
        <v>1</v>
      </c>
      <c r="BL2" s="102" t="s">
        <v>1</v>
      </c>
      <c r="BM2" s="103" t="s">
        <v>1</v>
      </c>
      <c r="BN2" s="102" t="s">
        <v>1</v>
      </c>
      <c r="BO2" s="103" t="s">
        <v>1</v>
      </c>
      <c r="BP2" s="102" t="s">
        <v>1</v>
      </c>
      <c r="BQ2" s="103" t="s">
        <v>1</v>
      </c>
    </row>
    <row r="3" spans="1:69" ht="7.5" customHeight="1" x14ac:dyDescent="0.25">
      <c r="A3" s="67">
        <v>3</v>
      </c>
      <c r="B3" s="58" t="s">
        <v>100</v>
      </c>
      <c r="C3" s="76" t="s">
        <v>2199</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c r="BF3" s="30" t="s">
        <v>1</v>
      </c>
      <c r="BG3" s="37" t="s">
        <v>1</v>
      </c>
      <c r="BH3" s="102" t="s">
        <v>1</v>
      </c>
      <c r="BI3" s="103" t="s">
        <v>1</v>
      </c>
      <c r="BJ3" s="102" t="s">
        <v>1</v>
      </c>
      <c r="BK3" s="103" t="s">
        <v>1</v>
      </c>
      <c r="BL3" s="102" t="s">
        <v>1</v>
      </c>
      <c r="BM3" s="103" t="s">
        <v>1</v>
      </c>
      <c r="BN3" s="102" t="s">
        <v>1</v>
      </c>
      <c r="BO3" s="103" t="s">
        <v>1</v>
      </c>
      <c r="BP3" s="102" t="s">
        <v>1</v>
      </c>
      <c r="BQ3" s="103" t="s">
        <v>1</v>
      </c>
    </row>
    <row r="4" spans="1:69" ht="7.5" customHeight="1" x14ac:dyDescent="0.25">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c r="BF4" s="30" t="s">
        <v>1</v>
      </c>
      <c r="BG4" s="37" t="s">
        <v>1</v>
      </c>
      <c r="BH4" s="102" t="s">
        <v>1</v>
      </c>
      <c r="BI4" s="103" t="s">
        <v>1</v>
      </c>
      <c r="BJ4" s="102" t="s">
        <v>1</v>
      </c>
      <c r="BK4" s="103" t="s">
        <v>1</v>
      </c>
      <c r="BL4" s="102" t="s">
        <v>1</v>
      </c>
      <c r="BM4" s="103" t="s">
        <v>1</v>
      </c>
      <c r="BN4" s="102" t="s">
        <v>1</v>
      </c>
      <c r="BO4" s="103" t="s">
        <v>1</v>
      </c>
      <c r="BP4" s="102" t="s">
        <v>1</v>
      </c>
      <c r="BQ4" s="103" t="s">
        <v>1</v>
      </c>
    </row>
    <row r="5" spans="1:69" ht="7.5" customHeight="1" x14ac:dyDescent="0.25">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c r="BF5" s="30" t="s">
        <v>1</v>
      </c>
      <c r="BG5" s="37" t="s">
        <v>1</v>
      </c>
      <c r="BH5" s="102" t="s">
        <v>1</v>
      </c>
      <c r="BI5" s="103" t="s">
        <v>1</v>
      </c>
      <c r="BJ5" s="102" t="s">
        <v>1</v>
      </c>
      <c r="BK5" s="103" t="s">
        <v>1</v>
      </c>
      <c r="BL5" s="102" t="s">
        <v>1</v>
      </c>
      <c r="BM5" s="103" t="s">
        <v>1</v>
      </c>
      <c r="BN5" s="102" t="s">
        <v>1</v>
      </c>
      <c r="BO5" s="103" t="s">
        <v>1</v>
      </c>
      <c r="BP5" s="102" t="s">
        <v>1</v>
      </c>
      <c r="BQ5" s="103" t="s">
        <v>1</v>
      </c>
    </row>
    <row r="6" spans="1:69" ht="7.5" customHeight="1" x14ac:dyDescent="0.25">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c r="BF6" s="30" t="s">
        <v>1</v>
      </c>
      <c r="BG6" s="37" t="s">
        <v>1</v>
      </c>
      <c r="BH6" s="102" t="s">
        <v>1</v>
      </c>
      <c r="BI6" s="103" t="s">
        <v>1</v>
      </c>
      <c r="BJ6" s="102" t="s">
        <v>1</v>
      </c>
      <c r="BK6" s="103" t="s">
        <v>1</v>
      </c>
      <c r="BL6" s="102" t="s">
        <v>1</v>
      </c>
      <c r="BM6" s="103" t="s">
        <v>1</v>
      </c>
      <c r="BN6" s="102" t="s">
        <v>1</v>
      </c>
      <c r="BO6" s="103" t="s">
        <v>1</v>
      </c>
      <c r="BP6" s="102" t="s">
        <v>1</v>
      </c>
      <c r="BQ6" s="103" t="s">
        <v>1</v>
      </c>
    </row>
    <row r="7" spans="1:69" ht="7.5" customHeight="1" x14ac:dyDescent="0.25">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c r="BF7" s="30" t="s">
        <v>1</v>
      </c>
      <c r="BG7" s="37" t="s">
        <v>1</v>
      </c>
      <c r="BH7" s="102" t="s">
        <v>1</v>
      </c>
      <c r="BI7" s="103" t="s">
        <v>1</v>
      </c>
      <c r="BJ7" s="102" t="s">
        <v>1</v>
      </c>
      <c r="BK7" s="103" t="s">
        <v>1</v>
      </c>
      <c r="BL7" s="102" t="s">
        <v>1</v>
      </c>
      <c r="BM7" s="103" t="s">
        <v>1</v>
      </c>
      <c r="BN7" s="102" t="s">
        <v>1</v>
      </c>
      <c r="BO7" s="103" t="s">
        <v>1</v>
      </c>
      <c r="BP7" s="102" t="s">
        <v>1</v>
      </c>
      <c r="BQ7" s="103" t="s">
        <v>1</v>
      </c>
    </row>
    <row r="8" spans="1:69" ht="7.5" customHeight="1" x14ac:dyDescent="0.25">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c r="BF8" s="30" t="s">
        <v>1</v>
      </c>
      <c r="BG8" s="37" t="s">
        <v>1</v>
      </c>
      <c r="BH8" s="102" t="s">
        <v>1</v>
      </c>
      <c r="BI8" s="103" t="s">
        <v>1</v>
      </c>
      <c r="BJ8" s="102" t="s">
        <v>1</v>
      </c>
      <c r="BK8" s="103" t="s">
        <v>1</v>
      </c>
      <c r="BL8" s="102" t="s">
        <v>1</v>
      </c>
      <c r="BM8" s="103" t="s">
        <v>1</v>
      </c>
      <c r="BN8" s="102" t="s">
        <v>1</v>
      </c>
      <c r="BO8" s="103" t="s">
        <v>1</v>
      </c>
      <c r="BP8" s="102" t="s">
        <v>1</v>
      </c>
      <c r="BQ8" s="103" t="s">
        <v>1</v>
      </c>
    </row>
    <row r="9" spans="1:69" ht="7.5" customHeight="1" x14ac:dyDescent="0.25">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c r="BF9" s="30" t="s">
        <v>1</v>
      </c>
      <c r="BG9" s="37" t="s">
        <v>1</v>
      </c>
      <c r="BH9" s="102" t="s">
        <v>1</v>
      </c>
      <c r="BI9" s="103" t="s">
        <v>1</v>
      </c>
      <c r="BJ9" s="102" t="s">
        <v>1</v>
      </c>
      <c r="BK9" s="103" t="s">
        <v>1</v>
      </c>
      <c r="BL9" s="102" t="s">
        <v>1</v>
      </c>
      <c r="BM9" s="103" t="s">
        <v>1</v>
      </c>
      <c r="BN9" s="102" t="s">
        <v>1</v>
      </c>
      <c r="BO9" s="103" t="s">
        <v>1</v>
      </c>
      <c r="BP9" s="102" t="s">
        <v>1</v>
      </c>
      <c r="BQ9" s="103" t="s">
        <v>1</v>
      </c>
    </row>
    <row r="10" spans="1:69" ht="7.5" customHeight="1" x14ac:dyDescent="0.25">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c r="BF10" s="30" t="s">
        <v>1</v>
      </c>
      <c r="BG10" s="37" t="s">
        <v>1</v>
      </c>
      <c r="BH10" s="102" t="s">
        <v>1</v>
      </c>
      <c r="BI10" s="103" t="s">
        <v>1</v>
      </c>
      <c r="BJ10" s="102" t="s">
        <v>1</v>
      </c>
      <c r="BK10" s="103" t="s">
        <v>1</v>
      </c>
      <c r="BL10" s="102" t="s">
        <v>1</v>
      </c>
      <c r="BM10" s="103" t="s">
        <v>1</v>
      </c>
      <c r="BN10" s="102" t="s">
        <v>1</v>
      </c>
      <c r="BO10" s="103" t="s">
        <v>1</v>
      </c>
      <c r="BP10" s="102" t="s">
        <v>1</v>
      </c>
      <c r="BQ10" s="103" t="s">
        <v>1</v>
      </c>
    </row>
    <row r="11" spans="1:69" ht="7.5" customHeight="1" x14ac:dyDescent="0.25">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c r="BF11" s="30" t="s">
        <v>1</v>
      </c>
      <c r="BG11" s="37" t="s">
        <v>1</v>
      </c>
      <c r="BH11" s="102" t="s">
        <v>1</v>
      </c>
      <c r="BI11" s="103" t="s">
        <v>1</v>
      </c>
      <c r="BJ11" s="102" t="s">
        <v>1</v>
      </c>
      <c r="BK11" s="103" t="s">
        <v>1</v>
      </c>
      <c r="BL11" s="102" t="s">
        <v>1</v>
      </c>
      <c r="BM11" s="103" t="s">
        <v>1</v>
      </c>
      <c r="BN11" s="102" t="s">
        <v>1</v>
      </c>
      <c r="BO11" s="103" t="s">
        <v>1</v>
      </c>
      <c r="BP11" s="102" t="s">
        <v>1</v>
      </c>
      <c r="BQ11" s="103" t="s">
        <v>1</v>
      </c>
    </row>
    <row r="12" spans="1:69" ht="7.5" customHeight="1" x14ac:dyDescent="0.25">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c r="BF12" s="30" t="s">
        <v>1</v>
      </c>
      <c r="BG12" s="37" t="s">
        <v>1</v>
      </c>
      <c r="BH12" s="102" t="s">
        <v>1</v>
      </c>
      <c r="BI12" s="103" t="s">
        <v>1</v>
      </c>
      <c r="BJ12" s="102" t="s">
        <v>1</v>
      </c>
      <c r="BK12" s="103" t="s">
        <v>1</v>
      </c>
      <c r="BL12" s="102" t="s">
        <v>1</v>
      </c>
      <c r="BM12" s="103" t="s">
        <v>1</v>
      </c>
      <c r="BN12" s="102" t="s">
        <v>1</v>
      </c>
      <c r="BO12" s="103" t="s">
        <v>1</v>
      </c>
      <c r="BP12" s="102" t="s">
        <v>1</v>
      </c>
      <c r="BQ12" s="103" t="s">
        <v>1</v>
      </c>
    </row>
    <row r="13" spans="1:69" ht="7.5" customHeight="1" x14ac:dyDescent="0.25">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c r="BF13" s="30" t="s">
        <v>1</v>
      </c>
      <c r="BG13" s="37" t="s">
        <v>1</v>
      </c>
      <c r="BH13" s="102" t="s">
        <v>1</v>
      </c>
      <c r="BI13" s="103" t="s">
        <v>1</v>
      </c>
      <c r="BJ13" s="102" t="s">
        <v>1</v>
      </c>
      <c r="BK13" s="103" t="s">
        <v>1</v>
      </c>
      <c r="BL13" s="102" t="s">
        <v>1</v>
      </c>
      <c r="BM13" s="103" t="s">
        <v>1</v>
      </c>
      <c r="BN13" s="102" t="s">
        <v>1</v>
      </c>
      <c r="BO13" s="103" t="s">
        <v>1</v>
      </c>
      <c r="BP13" s="102" t="s">
        <v>1</v>
      </c>
      <c r="BQ13" s="103" t="s">
        <v>1</v>
      </c>
    </row>
    <row r="14" spans="1:69" ht="7.5" customHeight="1" x14ac:dyDescent="0.25">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c r="BF14" s="30" t="s">
        <v>1</v>
      </c>
      <c r="BG14" s="37" t="s">
        <v>1</v>
      </c>
      <c r="BH14" s="102" t="s">
        <v>1</v>
      </c>
      <c r="BI14" s="103" t="s">
        <v>1</v>
      </c>
      <c r="BJ14" s="102" t="s">
        <v>1</v>
      </c>
      <c r="BK14" s="103" t="s">
        <v>1</v>
      </c>
      <c r="BL14" s="102" t="s">
        <v>1</v>
      </c>
      <c r="BM14" s="103" t="s">
        <v>1</v>
      </c>
      <c r="BN14" s="102" t="s">
        <v>1</v>
      </c>
      <c r="BO14" s="103" t="s">
        <v>1</v>
      </c>
      <c r="BP14" s="102" t="s">
        <v>1</v>
      </c>
      <c r="BQ14" s="103" t="s">
        <v>1</v>
      </c>
    </row>
    <row r="15" spans="1:69" ht="7.5" customHeight="1" x14ac:dyDescent="0.25">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c r="BF15" s="30" t="s">
        <v>1</v>
      </c>
      <c r="BG15" s="37" t="s">
        <v>1</v>
      </c>
      <c r="BH15" s="102" t="s">
        <v>1</v>
      </c>
      <c r="BI15" s="103" t="s">
        <v>1</v>
      </c>
      <c r="BJ15" s="102" t="s">
        <v>1</v>
      </c>
      <c r="BK15" s="103" t="s">
        <v>1</v>
      </c>
      <c r="BL15" s="102" t="s">
        <v>1</v>
      </c>
      <c r="BM15" s="103" t="s">
        <v>1</v>
      </c>
      <c r="BN15" s="102" t="s">
        <v>1</v>
      </c>
      <c r="BO15" s="103" t="s">
        <v>1</v>
      </c>
      <c r="BP15" s="102" t="s">
        <v>1</v>
      </c>
      <c r="BQ15" s="103" t="s">
        <v>1</v>
      </c>
    </row>
    <row r="16" spans="1:69" ht="7.5" customHeight="1" x14ac:dyDescent="0.25">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c r="BF16" s="30" t="s">
        <v>1</v>
      </c>
      <c r="BG16" s="37" t="s">
        <v>1</v>
      </c>
      <c r="BH16" s="102" t="s">
        <v>1</v>
      </c>
      <c r="BI16" s="103" t="s">
        <v>1</v>
      </c>
      <c r="BJ16" s="102" t="s">
        <v>1</v>
      </c>
      <c r="BK16" s="103" t="s">
        <v>1</v>
      </c>
      <c r="BL16" s="102" t="s">
        <v>1</v>
      </c>
      <c r="BM16" s="103" t="s">
        <v>1</v>
      </c>
      <c r="BN16" s="102" t="s">
        <v>1</v>
      </c>
      <c r="BO16" s="103" t="s">
        <v>1</v>
      </c>
      <c r="BP16" s="102" t="s">
        <v>1</v>
      </c>
      <c r="BQ16" s="103" t="s">
        <v>1</v>
      </c>
    </row>
    <row r="17" spans="1:69" ht="7.5" customHeight="1" x14ac:dyDescent="0.25">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c r="BF17" s="30" t="s">
        <v>1</v>
      </c>
      <c r="BG17" s="37" t="s">
        <v>1</v>
      </c>
      <c r="BH17" s="102" t="s">
        <v>1</v>
      </c>
      <c r="BI17" s="103" t="s">
        <v>1</v>
      </c>
      <c r="BJ17" s="102" t="s">
        <v>1</v>
      </c>
      <c r="BK17" s="103" t="s">
        <v>1</v>
      </c>
      <c r="BL17" s="102" t="s">
        <v>1</v>
      </c>
      <c r="BM17" s="103" t="s">
        <v>1</v>
      </c>
      <c r="BN17" s="102" t="s">
        <v>1</v>
      </c>
      <c r="BO17" s="103" t="s">
        <v>1</v>
      </c>
      <c r="BP17" s="102" t="s">
        <v>1</v>
      </c>
      <c r="BQ17" s="103" t="s">
        <v>1</v>
      </c>
    </row>
    <row r="18" spans="1:69" ht="7.5" customHeight="1" x14ac:dyDescent="0.25">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c r="BF18" s="30" t="s">
        <v>1</v>
      </c>
      <c r="BG18" s="37" t="s">
        <v>1</v>
      </c>
      <c r="BH18" s="102" t="s">
        <v>1</v>
      </c>
      <c r="BI18" s="103" t="s">
        <v>1</v>
      </c>
      <c r="BJ18" s="102" t="s">
        <v>1</v>
      </c>
      <c r="BK18" s="103" t="s">
        <v>1</v>
      </c>
      <c r="BL18" s="102" t="s">
        <v>1</v>
      </c>
      <c r="BM18" s="103" t="s">
        <v>1</v>
      </c>
      <c r="BN18" s="102" t="s">
        <v>1</v>
      </c>
      <c r="BO18" s="103" t="s">
        <v>1</v>
      </c>
      <c r="BP18" s="102" t="s">
        <v>1</v>
      </c>
      <c r="BQ18" s="103" t="s">
        <v>1</v>
      </c>
    </row>
    <row r="19" spans="1:69" ht="7.5" customHeight="1" x14ac:dyDescent="0.25">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c r="BF19" s="30" t="s">
        <v>1</v>
      </c>
      <c r="BG19" s="37" t="s">
        <v>1</v>
      </c>
      <c r="BH19" s="102" t="s">
        <v>1</v>
      </c>
      <c r="BI19" s="103" t="s">
        <v>1</v>
      </c>
      <c r="BJ19" s="102" t="s">
        <v>1</v>
      </c>
      <c r="BK19" s="103" t="s">
        <v>1</v>
      </c>
      <c r="BL19" s="102" t="s">
        <v>1</v>
      </c>
      <c r="BM19" s="103" t="s">
        <v>1</v>
      </c>
      <c r="BN19" s="102" t="s">
        <v>1</v>
      </c>
      <c r="BO19" s="103" t="s">
        <v>1</v>
      </c>
      <c r="BP19" s="102" t="s">
        <v>1</v>
      </c>
      <c r="BQ19" s="103" t="s">
        <v>1</v>
      </c>
    </row>
    <row r="20" spans="1:69" ht="7.5" customHeight="1" x14ac:dyDescent="0.25">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c r="BF20" s="30" t="s">
        <v>1</v>
      </c>
      <c r="BG20" s="37" t="s">
        <v>1</v>
      </c>
      <c r="BH20" s="102" t="s">
        <v>1</v>
      </c>
      <c r="BI20" s="103" t="s">
        <v>1</v>
      </c>
      <c r="BJ20" s="102" t="s">
        <v>1</v>
      </c>
      <c r="BK20" s="103" t="s">
        <v>1</v>
      </c>
      <c r="BL20" s="102" t="s">
        <v>1</v>
      </c>
      <c r="BM20" s="103" t="s">
        <v>1</v>
      </c>
      <c r="BN20" s="102" t="s">
        <v>1</v>
      </c>
      <c r="BO20" s="103" t="s">
        <v>1</v>
      </c>
      <c r="BP20" s="102" t="s">
        <v>1</v>
      </c>
      <c r="BQ20" s="103" t="s">
        <v>1</v>
      </c>
    </row>
    <row r="21" spans="1:69" ht="7.5" customHeight="1" x14ac:dyDescent="0.25">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c r="BF21" s="30" t="s">
        <v>1</v>
      </c>
      <c r="BG21" s="37" t="s">
        <v>1</v>
      </c>
      <c r="BH21" s="102" t="s">
        <v>1</v>
      </c>
      <c r="BI21" s="103" t="s">
        <v>1</v>
      </c>
      <c r="BJ21" s="102" t="s">
        <v>1</v>
      </c>
      <c r="BK21" s="103" t="s">
        <v>1</v>
      </c>
      <c r="BL21" s="102" t="s">
        <v>1</v>
      </c>
      <c r="BM21" s="103" t="s">
        <v>1</v>
      </c>
      <c r="BN21" s="102" t="s">
        <v>1</v>
      </c>
      <c r="BO21" s="103" t="s">
        <v>1</v>
      </c>
      <c r="BP21" s="102" t="s">
        <v>1</v>
      </c>
      <c r="BQ21" s="103" t="s">
        <v>1</v>
      </c>
    </row>
    <row r="22" spans="1:69" ht="7.5" customHeight="1" x14ac:dyDescent="0.25">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c r="BF22" s="30" t="s">
        <v>1</v>
      </c>
      <c r="BG22" s="37" t="s">
        <v>1</v>
      </c>
      <c r="BH22" s="102" t="s">
        <v>1</v>
      </c>
      <c r="BI22" s="103" t="s">
        <v>1</v>
      </c>
      <c r="BJ22" s="102" t="s">
        <v>1</v>
      </c>
      <c r="BK22" s="103" t="s">
        <v>1</v>
      </c>
      <c r="BL22" s="102" t="s">
        <v>1</v>
      </c>
      <c r="BM22" s="103" t="s">
        <v>1</v>
      </c>
      <c r="BN22" s="102" t="s">
        <v>1</v>
      </c>
      <c r="BO22" s="103" t="s">
        <v>1</v>
      </c>
      <c r="BP22" s="102" t="s">
        <v>1</v>
      </c>
      <c r="BQ22" s="103" t="s">
        <v>1</v>
      </c>
    </row>
    <row r="23" spans="1:69" ht="7.5" customHeight="1" x14ac:dyDescent="0.25">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c r="BF23" s="30" t="s">
        <v>1</v>
      </c>
      <c r="BG23" s="37" t="s">
        <v>1</v>
      </c>
      <c r="BH23" s="102" t="s">
        <v>1</v>
      </c>
      <c r="BI23" s="103" t="s">
        <v>1</v>
      </c>
      <c r="BJ23" s="102" t="s">
        <v>1</v>
      </c>
      <c r="BK23" s="103" t="s">
        <v>1</v>
      </c>
      <c r="BL23" s="102" t="s">
        <v>1</v>
      </c>
      <c r="BM23" s="103" t="s">
        <v>1</v>
      </c>
      <c r="BN23" s="102" t="s">
        <v>1</v>
      </c>
      <c r="BO23" s="103" t="s">
        <v>1</v>
      </c>
      <c r="BP23" s="102" t="s">
        <v>1</v>
      </c>
      <c r="BQ23" s="103" t="s">
        <v>1</v>
      </c>
    </row>
    <row r="24" spans="1:69" ht="7.5" customHeight="1" x14ac:dyDescent="0.25">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c r="BF24" s="30" t="s">
        <v>1</v>
      </c>
      <c r="BG24" s="37" t="s">
        <v>1</v>
      </c>
      <c r="BH24" s="102" t="s">
        <v>1</v>
      </c>
      <c r="BI24" s="103" t="s">
        <v>1</v>
      </c>
      <c r="BJ24" s="102" t="s">
        <v>1</v>
      </c>
      <c r="BK24" s="103" t="s">
        <v>1</v>
      </c>
      <c r="BL24" s="102" t="s">
        <v>1</v>
      </c>
      <c r="BM24" s="103" t="s">
        <v>1</v>
      </c>
      <c r="BN24" s="102" t="s">
        <v>1</v>
      </c>
      <c r="BO24" s="103" t="s">
        <v>1</v>
      </c>
      <c r="BP24" s="102" t="s">
        <v>1</v>
      </c>
      <c r="BQ24" s="103" t="s">
        <v>1</v>
      </c>
    </row>
    <row r="25" spans="1:69" ht="7.5" customHeight="1" x14ac:dyDescent="0.25">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c r="BF25" s="30" t="s">
        <v>1</v>
      </c>
      <c r="BG25" s="37" t="s">
        <v>1</v>
      </c>
      <c r="BH25" s="102" t="s">
        <v>1</v>
      </c>
      <c r="BI25" s="103" t="s">
        <v>1</v>
      </c>
      <c r="BJ25" s="102" t="s">
        <v>1</v>
      </c>
      <c r="BK25" s="103" t="s">
        <v>1</v>
      </c>
      <c r="BL25" s="102" t="s">
        <v>1</v>
      </c>
      <c r="BM25" s="103" t="s">
        <v>1</v>
      </c>
      <c r="BN25" s="102" t="s">
        <v>1</v>
      </c>
      <c r="BO25" s="103" t="s">
        <v>1</v>
      </c>
      <c r="BP25" s="102" t="s">
        <v>1</v>
      </c>
      <c r="BQ25" s="103" t="s">
        <v>1</v>
      </c>
    </row>
    <row r="26" spans="1:69" ht="7.5" customHeight="1" x14ac:dyDescent="0.25">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c r="BF26" s="30" t="s">
        <v>1</v>
      </c>
      <c r="BG26" s="37" t="s">
        <v>1</v>
      </c>
      <c r="BH26" s="102" t="s">
        <v>1</v>
      </c>
      <c r="BI26" s="103" t="s">
        <v>1</v>
      </c>
      <c r="BJ26" s="102" t="s">
        <v>1</v>
      </c>
      <c r="BK26" s="103" t="s">
        <v>1</v>
      </c>
      <c r="BL26" s="102" t="s">
        <v>1</v>
      </c>
      <c r="BM26" s="103" t="s">
        <v>1</v>
      </c>
      <c r="BN26" s="102" t="s">
        <v>1</v>
      </c>
      <c r="BO26" s="103" t="s">
        <v>1</v>
      </c>
      <c r="BP26" s="102" t="s">
        <v>1</v>
      </c>
      <c r="BQ26" s="103" t="s">
        <v>1</v>
      </c>
    </row>
    <row r="27" spans="1:69" ht="7.5" customHeight="1" x14ac:dyDescent="0.25">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c r="BF27" s="30" t="s">
        <v>1</v>
      </c>
      <c r="BG27" s="37" t="s">
        <v>1</v>
      </c>
      <c r="BH27" s="102" t="s">
        <v>1</v>
      </c>
      <c r="BI27" s="103" t="s">
        <v>1</v>
      </c>
      <c r="BJ27" s="102" t="s">
        <v>1</v>
      </c>
      <c r="BK27" s="103" t="s">
        <v>1</v>
      </c>
      <c r="BL27" s="102" t="s">
        <v>1</v>
      </c>
      <c r="BM27" s="103" t="s">
        <v>1</v>
      </c>
      <c r="BN27" s="102" t="s">
        <v>1</v>
      </c>
      <c r="BO27" s="103" t="s">
        <v>1</v>
      </c>
      <c r="BP27" s="102" t="s">
        <v>1</v>
      </c>
      <c r="BQ27" s="103" t="s">
        <v>1</v>
      </c>
    </row>
    <row r="28" spans="1:69" ht="7.5" customHeight="1" x14ac:dyDescent="0.25">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c r="BF28" s="30" t="s">
        <v>1</v>
      </c>
      <c r="BG28" s="37" t="s">
        <v>1</v>
      </c>
      <c r="BH28" s="102" t="s">
        <v>1</v>
      </c>
      <c r="BI28" s="103" t="s">
        <v>1</v>
      </c>
      <c r="BJ28" s="102" t="s">
        <v>1</v>
      </c>
      <c r="BK28" s="103" t="s">
        <v>1</v>
      </c>
      <c r="BL28" s="102" t="s">
        <v>1</v>
      </c>
      <c r="BM28" s="103" t="s">
        <v>1</v>
      </c>
      <c r="BN28" s="102" t="s">
        <v>1</v>
      </c>
      <c r="BO28" s="103" t="s">
        <v>1</v>
      </c>
      <c r="BP28" s="102" t="s">
        <v>1</v>
      </c>
      <c r="BQ28" s="103" t="s">
        <v>1</v>
      </c>
    </row>
    <row r="29" spans="1:69" ht="7.5" customHeight="1" x14ac:dyDescent="0.25">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c r="BF29" s="30" t="s">
        <v>1</v>
      </c>
      <c r="BG29" s="37" t="s">
        <v>1</v>
      </c>
      <c r="BH29" s="102" t="s">
        <v>1</v>
      </c>
      <c r="BI29" s="103" t="s">
        <v>1</v>
      </c>
      <c r="BJ29" s="102" t="s">
        <v>1</v>
      </c>
      <c r="BK29" s="103" t="s">
        <v>1</v>
      </c>
      <c r="BL29" s="102" t="s">
        <v>1</v>
      </c>
      <c r="BM29" s="103" t="s">
        <v>1</v>
      </c>
      <c r="BN29" s="102" t="s">
        <v>1</v>
      </c>
      <c r="BO29" s="103" t="s">
        <v>1</v>
      </c>
      <c r="BP29" s="102" t="s">
        <v>1</v>
      </c>
      <c r="BQ29" s="103" t="s">
        <v>1</v>
      </c>
    </row>
    <row r="30" spans="1:69" ht="7.5" customHeight="1" x14ac:dyDescent="0.25">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c r="BF30" s="30" t="s">
        <v>1</v>
      </c>
      <c r="BG30" s="37" t="s">
        <v>1</v>
      </c>
      <c r="BH30" s="102" t="s">
        <v>1</v>
      </c>
      <c r="BI30" s="103" t="s">
        <v>1</v>
      </c>
      <c r="BJ30" s="102" t="s">
        <v>1</v>
      </c>
      <c r="BK30" s="103" t="s">
        <v>1</v>
      </c>
      <c r="BL30" s="102" t="s">
        <v>1</v>
      </c>
      <c r="BM30" s="103" t="s">
        <v>1</v>
      </c>
      <c r="BN30" s="102" t="s">
        <v>1</v>
      </c>
      <c r="BO30" s="103" t="s">
        <v>1</v>
      </c>
      <c r="BP30" s="102" t="s">
        <v>1</v>
      </c>
      <c r="BQ30" s="103" t="s">
        <v>1</v>
      </c>
    </row>
    <row r="31" spans="1:69" ht="7.5" customHeight="1" x14ac:dyDescent="0.25">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c r="BF31" s="30" t="s">
        <v>1</v>
      </c>
      <c r="BG31" s="37" t="s">
        <v>1</v>
      </c>
      <c r="BH31" s="102" t="s">
        <v>1</v>
      </c>
      <c r="BI31" s="103" t="s">
        <v>1</v>
      </c>
      <c r="BJ31" s="102" t="s">
        <v>1</v>
      </c>
      <c r="BK31" s="103" t="s">
        <v>1</v>
      </c>
      <c r="BL31" s="102" t="s">
        <v>1</v>
      </c>
      <c r="BM31" s="103" t="s">
        <v>1</v>
      </c>
      <c r="BN31" s="102" t="s">
        <v>1</v>
      </c>
      <c r="BO31" s="103" t="s">
        <v>1</v>
      </c>
      <c r="BP31" s="102" t="s">
        <v>1</v>
      </c>
      <c r="BQ31" s="103" t="s">
        <v>1</v>
      </c>
    </row>
    <row r="32" spans="1:69" ht="7.5" customHeight="1" x14ac:dyDescent="0.25">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c r="BF32" s="30" t="s">
        <v>1</v>
      </c>
      <c r="BG32" s="37" t="s">
        <v>1</v>
      </c>
      <c r="BH32" s="102" t="s">
        <v>1</v>
      </c>
      <c r="BI32" s="103" t="s">
        <v>1</v>
      </c>
      <c r="BJ32" s="102" t="s">
        <v>1</v>
      </c>
      <c r="BK32" s="103" t="s">
        <v>1</v>
      </c>
      <c r="BL32" s="102" t="s">
        <v>1</v>
      </c>
      <c r="BM32" s="103" t="s">
        <v>1</v>
      </c>
      <c r="BN32" s="102" t="s">
        <v>1</v>
      </c>
      <c r="BO32" s="103" t="s">
        <v>1</v>
      </c>
      <c r="BP32" s="102" t="s">
        <v>1</v>
      </c>
      <c r="BQ32" s="103" t="s">
        <v>1</v>
      </c>
    </row>
    <row r="33" spans="1:69" ht="7.5" customHeight="1" x14ac:dyDescent="0.25">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c r="BF33" s="30" t="s">
        <v>1</v>
      </c>
      <c r="BG33" s="37" t="s">
        <v>1</v>
      </c>
      <c r="BH33" s="102" t="s">
        <v>1</v>
      </c>
      <c r="BI33" s="103" t="s">
        <v>1</v>
      </c>
      <c r="BJ33" s="102" t="s">
        <v>1</v>
      </c>
      <c r="BK33" s="103" t="s">
        <v>1</v>
      </c>
      <c r="BL33" s="102" t="s">
        <v>1</v>
      </c>
      <c r="BM33" s="103" t="s">
        <v>1</v>
      </c>
      <c r="BN33" s="102" t="s">
        <v>1</v>
      </c>
      <c r="BO33" s="103" t="s">
        <v>1</v>
      </c>
      <c r="BP33" s="102" t="s">
        <v>1</v>
      </c>
      <c r="BQ33" s="103" t="s">
        <v>1</v>
      </c>
    </row>
    <row r="34" spans="1:69" ht="7.5" customHeight="1" x14ac:dyDescent="0.25">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c r="BF34" s="30" t="s">
        <v>1</v>
      </c>
      <c r="BG34" s="37" t="s">
        <v>1</v>
      </c>
      <c r="BH34" s="102" t="s">
        <v>1</v>
      </c>
      <c r="BI34" s="103" t="s">
        <v>1</v>
      </c>
      <c r="BJ34" s="102" t="s">
        <v>1</v>
      </c>
      <c r="BK34" s="103" t="s">
        <v>1</v>
      </c>
      <c r="BL34" s="102" t="s">
        <v>1</v>
      </c>
      <c r="BM34" s="103" t="s">
        <v>1</v>
      </c>
      <c r="BN34" s="102" t="s">
        <v>1</v>
      </c>
      <c r="BO34" s="103" t="s">
        <v>1</v>
      </c>
      <c r="BP34" s="102" t="s">
        <v>1</v>
      </c>
      <c r="BQ34" s="103" t="s">
        <v>1</v>
      </c>
    </row>
    <row r="35" spans="1:69" ht="7.5" customHeight="1" x14ac:dyDescent="0.25">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c r="BF35" s="30" t="s">
        <v>1</v>
      </c>
      <c r="BG35" s="37" t="s">
        <v>1</v>
      </c>
      <c r="BH35" s="102" t="s">
        <v>1</v>
      </c>
      <c r="BI35" s="103" t="s">
        <v>1</v>
      </c>
      <c r="BJ35" s="102" t="s">
        <v>1</v>
      </c>
      <c r="BK35" s="103" t="s">
        <v>1</v>
      </c>
      <c r="BL35" s="102" t="s">
        <v>1</v>
      </c>
      <c r="BM35" s="103" t="s">
        <v>1</v>
      </c>
      <c r="BN35" s="102" t="s">
        <v>1</v>
      </c>
      <c r="BO35" s="103" t="s">
        <v>1</v>
      </c>
      <c r="BP35" s="102" t="s">
        <v>1</v>
      </c>
      <c r="BQ35" s="103" t="s">
        <v>1</v>
      </c>
    </row>
    <row r="36" spans="1:69" ht="7.5" customHeight="1" x14ac:dyDescent="0.25">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c r="BF36" s="30" t="s">
        <v>1</v>
      </c>
      <c r="BG36" s="37" t="s">
        <v>1</v>
      </c>
      <c r="BH36" s="102" t="s">
        <v>1</v>
      </c>
      <c r="BI36" s="103" t="s">
        <v>1</v>
      </c>
      <c r="BJ36" s="102" t="s">
        <v>1</v>
      </c>
      <c r="BK36" s="103" t="s">
        <v>1</v>
      </c>
      <c r="BL36" s="102" t="s">
        <v>1</v>
      </c>
      <c r="BM36" s="103" t="s">
        <v>1</v>
      </c>
      <c r="BN36" s="102" t="s">
        <v>1</v>
      </c>
      <c r="BO36" s="103" t="s">
        <v>1</v>
      </c>
      <c r="BP36" s="102" t="s">
        <v>1</v>
      </c>
      <c r="BQ36" s="103" t="s">
        <v>1</v>
      </c>
    </row>
    <row r="37" spans="1:69" ht="7.5" customHeight="1" x14ac:dyDescent="0.25">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c r="BF37" s="30" t="s">
        <v>1</v>
      </c>
      <c r="BG37" s="37" t="s">
        <v>1</v>
      </c>
      <c r="BH37" s="102" t="s">
        <v>1</v>
      </c>
      <c r="BI37" s="103" t="s">
        <v>1</v>
      </c>
      <c r="BJ37" s="102" t="s">
        <v>1</v>
      </c>
      <c r="BK37" s="103" t="s">
        <v>1</v>
      </c>
      <c r="BL37" s="102" t="s">
        <v>1</v>
      </c>
      <c r="BM37" s="103" t="s">
        <v>1</v>
      </c>
      <c r="BN37" s="102" t="s">
        <v>1</v>
      </c>
      <c r="BO37" s="103" t="s">
        <v>1</v>
      </c>
      <c r="BP37" s="102" t="s">
        <v>1</v>
      </c>
      <c r="BQ37" s="103" t="s">
        <v>1</v>
      </c>
    </row>
    <row r="38" spans="1:69" ht="7.5" customHeight="1" x14ac:dyDescent="0.25">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c r="BF38" s="30" t="s">
        <v>1</v>
      </c>
      <c r="BG38" s="37" t="s">
        <v>1</v>
      </c>
      <c r="BH38" s="102" t="s">
        <v>1</v>
      </c>
      <c r="BI38" s="103" t="s">
        <v>1</v>
      </c>
      <c r="BJ38" s="102" t="s">
        <v>1</v>
      </c>
      <c r="BK38" s="103" t="s">
        <v>1</v>
      </c>
      <c r="BL38" s="102" t="s">
        <v>1</v>
      </c>
      <c r="BM38" s="103" t="s">
        <v>1</v>
      </c>
      <c r="BN38" s="102" t="s">
        <v>1</v>
      </c>
      <c r="BO38" s="103" t="s">
        <v>1</v>
      </c>
      <c r="BP38" s="102" t="s">
        <v>1</v>
      </c>
      <c r="BQ38" s="103" t="s">
        <v>1</v>
      </c>
    </row>
    <row r="39" spans="1:69" ht="7.5" customHeight="1" x14ac:dyDescent="0.25">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c r="BF39" s="30" t="s">
        <v>1</v>
      </c>
      <c r="BG39" s="37" t="s">
        <v>1</v>
      </c>
      <c r="BH39" s="102" t="s">
        <v>1</v>
      </c>
      <c r="BI39" s="103" t="s">
        <v>1</v>
      </c>
      <c r="BJ39" s="102" t="s">
        <v>1</v>
      </c>
      <c r="BK39" s="103" t="s">
        <v>1</v>
      </c>
      <c r="BL39" s="102" t="s">
        <v>1</v>
      </c>
      <c r="BM39" s="103" t="s">
        <v>1</v>
      </c>
      <c r="BN39" s="102" t="s">
        <v>1</v>
      </c>
      <c r="BO39" s="103" t="s">
        <v>1</v>
      </c>
      <c r="BP39" s="102" t="s">
        <v>1</v>
      </c>
      <c r="BQ39" s="103" t="s">
        <v>1</v>
      </c>
    </row>
    <row r="40" spans="1:69" ht="7.5" customHeight="1" x14ac:dyDescent="0.25">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c r="BF40" s="30" t="s">
        <v>1</v>
      </c>
      <c r="BG40" s="37" t="s">
        <v>1</v>
      </c>
      <c r="BH40" s="102" t="s">
        <v>1</v>
      </c>
      <c r="BI40" s="103" t="s">
        <v>1</v>
      </c>
      <c r="BJ40" s="102" t="s">
        <v>1</v>
      </c>
      <c r="BK40" s="103" t="s">
        <v>1</v>
      </c>
      <c r="BL40" s="102" t="s">
        <v>1</v>
      </c>
      <c r="BM40" s="103" t="s">
        <v>1</v>
      </c>
      <c r="BN40" s="102" t="s">
        <v>1</v>
      </c>
      <c r="BO40" s="103" t="s">
        <v>1</v>
      </c>
      <c r="BP40" s="102" t="s">
        <v>1</v>
      </c>
      <c r="BQ40" s="103" t="s">
        <v>1</v>
      </c>
    </row>
    <row r="41" spans="1:69" ht="7.5" customHeight="1" x14ac:dyDescent="0.25">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c r="BF41" s="30" t="s">
        <v>1</v>
      </c>
      <c r="BG41" s="37" t="s">
        <v>1</v>
      </c>
      <c r="BH41" s="102" t="s">
        <v>1</v>
      </c>
      <c r="BI41" s="103" t="s">
        <v>1</v>
      </c>
      <c r="BJ41" s="102" t="s">
        <v>1</v>
      </c>
      <c r="BK41" s="103" t="s">
        <v>1</v>
      </c>
      <c r="BL41" s="102" t="s">
        <v>1</v>
      </c>
      <c r="BM41" s="103" t="s">
        <v>1</v>
      </c>
      <c r="BN41" s="102" t="s">
        <v>1</v>
      </c>
      <c r="BO41" s="103" t="s">
        <v>1</v>
      </c>
      <c r="BP41" s="102" t="s">
        <v>1</v>
      </c>
      <c r="BQ41" s="103" t="s">
        <v>1</v>
      </c>
    </row>
    <row r="42" spans="1:69" ht="7.5" customHeight="1" x14ac:dyDescent="0.25">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c r="BF42" s="30" t="s">
        <v>1</v>
      </c>
      <c r="BG42" s="37" t="s">
        <v>1</v>
      </c>
      <c r="BH42" s="102" t="s">
        <v>1</v>
      </c>
      <c r="BI42" s="103" t="s">
        <v>1</v>
      </c>
      <c r="BJ42" s="102" t="s">
        <v>1</v>
      </c>
      <c r="BK42" s="103" t="s">
        <v>1</v>
      </c>
      <c r="BL42" s="102" t="s">
        <v>1</v>
      </c>
      <c r="BM42" s="103" t="s">
        <v>1</v>
      </c>
      <c r="BN42" s="102" t="s">
        <v>1</v>
      </c>
      <c r="BO42" s="103" t="s">
        <v>1</v>
      </c>
      <c r="BP42" s="102" t="s">
        <v>1</v>
      </c>
      <c r="BQ42" s="103" t="s">
        <v>1</v>
      </c>
    </row>
    <row r="43" spans="1:69" ht="7.5" customHeight="1" x14ac:dyDescent="0.25">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c r="BF43" s="30" t="s">
        <v>1</v>
      </c>
      <c r="BG43" s="37" t="s">
        <v>1</v>
      </c>
      <c r="BH43" s="102" t="s">
        <v>1</v>
      </c>
      <c r="BI43" s="103" t="s">
        <v>1</v>
      </c>
      <c r="BJ43" s="102" t="s">
        <v>1</v>
      </c>
      <c r="BK43" s="103" t="s">
        <v>1</v>
      </c>
      <c r="BL43" s="102" t="s">
        <v>1</v>
      </c>
      <c r="BM43" s="103" t="s">
        <v>1</v>
      </c>
      <c r="BN43" s="102" t="s">
        <v>1</v>
      </c>
      <c r="BO43" s="103" t="s">
        <v>1</v>
      </c>
      <c r="BP43" s="102" t="s">
        <v>1</v>
      </c>
      <c r="BQ43" s="103" t="s">
        <v>1</v>
      </c>
    </row>
    <row r="44" spans="1:69" ht="7.5" customHeight="1" x14ac:dyDescent="0.25">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c r="BF44" s="30" t="s">
        <v>1</v>
      </c>
      <c r="BG44" s="37" t="s">
        <v>1</v>
      </c>
      <c r="BH44" s="102" t="s">
        <v>1</v>
      </c>
      <c r="BI44" s="103" t="s">
        <v>1</v>
      </c>
      <c r="BJ44" s="102" t="s">
        <v>1</v>
      </c>
      <c r="BK44" s="103" t="s">
        <v>1</v>
      </c>
      <c r="BL44" s="102" t="s">
        <v>1</v>
      </c>
      <c r="BM44" s="103" t="s">
        <v>1</v>
      </c>
      <c r="BN44" s="102" t="s">
        <v>1</v>
      </c>
      <c r="BO44" s="103" t="s">
        <v>1</v>
      </c>
      <c r="BP44" s="102" t="s">
        <v>1</v>
      </c>
      <c r="BQ44" s="103" t="s">
        <v>1</v>
      </c>
    </row>
    <row r="45" spans="1:69" ht="7.5" customHeight="1" x14ac:dyDescent="0.25">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c r="BF45" s="30" t="s">
        <v>1</v>
      </c>
      <c r="BG45" s="37" t="s">
        <v>1</v>
      </c>
      <c r="BH45" s="102" t="s">
        <v>1</v>
      </c>
      <c r="BI45" s="103" t="s">
        <v>1</v>
      </c>
      <c r="BJ45" s="102" t="s">
        <v>1</v>
      </c>
      <c r="BK45" s="103" t="s">
        <v>1</v>
      </c>
      <c r="BL45" s="102" t="s">
        <v>1</v>
      </c>
      <c r="BM45" s="103" t="s">
        <v>1</v>
      </c>
      <c r="BN45" s="102" t="s">
        <v>1</v>
      </c>
      <c r="BO45" s="103" t="s">
        <v>1</v>
      </c>
      <c r="BP45" s="102" t="s">
        <v>1</v>
      </c>
      <c r="BQ45" s="103" t="s">
        <v>1</v>
      </c>
    </row>
    <row r="46" spans="1:69" ht="7.5" customHeight="1" x14ac:dyDescent="0.25">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c r="BF46" s="30" t="s">
        <v>1</v>
      </c>
      <c r="BG46" s="37" t="s">
        <v>1</v>
      </c>
      <c r="BH46" s="102" t="s">
        <v>1</v>
      </c>
      <c r="BI46" s="103" t="s">
        <v>1</v>
      </c>
      <c r="BJ46" s="102" t="s">
        <v>1</v>
      </c>
      <c r="BK46" s="103" t="s">
        <v>1</v>
      </c>
      <c r="BL46" s="102" t="s">
        <v>1</v>
      </c>
      <c r="BM46" s="103" t="s">
        <v>1</v>
      </c>
      <c r="BN46" s="102" t="s">
        <v>1</v>
      </c>
      <c r="BO46" s="103" t="s">
        <v>1</v>
      </c>
      <c r="BP46" s="102" t="s">
        <v>1</v>
      </c>
      <c r="BQ46" s="103" t="s">
        <v>1</v>
      </c>
    </row>
    <row r="47" spans="1:69" ht="7.5" customHeight="1" x14ac:dyDescent="0.25">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c r="BF47" s="30" t="s">
        <v>1</v>
      </c>
      <c r="BG47" s="37" t="s">
        <v>1</v>
      </c>
      <c r="BH47" s="102" t="s">
        <v>1</v>
      </c>
      <c r="BI47" s="103" t="s">
        <v>1</v>
      </c>
      <c r="BJ47" s="102" t="s">
        <v>1</v>
      </c>
      <c r="BK47" s="103" t="s">
        <v>1</v>
      </c>
      <c r="BL47" s="102" t="s">
        <v>1</v>
      </c>
      <c r="BM47" s="103" t="s">
        <v>1</v>
      </c>
      <c r="BN47" s="102" t="s">
        <v>1</v>
      </c>
      <c r="BO47" s="103" t="s">
        <v>1</v>
      </c>
      <c r="BP47" s="102" t="s">
        <v>1</v>
      </c>
      <c r="BQ47" s="103" t="s">
        <v>1</v>
      </c>
    </row>
    <row r="48" spans="1:69" ht="7.5" customHeight="1" x14ac:dyDescent="0.25">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c r="BF48" s="30" t="s">
        <v>1</v>
      </c>
      <c r="BG48" s="37" t="s">
        <v>1</v>
      </c>
      <c r="BH48" s="102" t="s">
        <v>1</v>
      </c>
      <c r="BI48" s="103" t="s">
        <v>1</v>
      </c>
      <c r="BJ48" s="102" t="s">
        <v>1</v>
      </c>
      <c r="BK48" s="103" t="s">
        <v>1</v>
      </c>
      <c r="BL48" s="102" t="s">
        <v>1</v>
      </c>
      <c r="BM48" s="103" t="s">
        <v>1</v>
      </c>
      <c r="BN48" s="102" t="s">
        <v>1</v>
      </c>
      <c r="BO48" s="103" t="s">
        <v>1</v>
      </c>
      <c r="BP48" s="102" t="s">
        <v>1</v>
      </c>
      <c r="BQ48" s="103" t="s">
        <v>1</v>
      </c>
    </row>
    <row r="49" spans="1:69" ht="7.5" customHeight="1" x14ac:dyDescent="0.25">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c r="BF49" s="30" t="s">
        <v>1</v>
      </c>
      <c r="BG49" s="37" t="s">
        <v>1</v>
      </c>
      <c r="BH49" s="102" t="s">
        <v>1</v>
      </c>
      <c r="BI49" s="103" t="s">
        <v>1</v>
      </c>
      <c r="BJ49" s="102" t="s">
        <v>1</v>
      </c>
      <c r="BK49" s="103" t="s">
        <v>1</v>
      </c>
      <c r="BL49" s="102" t="s">
        <v>1</v>
      </c>
      <c r="BM49" s="103" t="s">
        <v>1</v>
      </c>
      <c r="BN49" s="102" t="s">
        <v>1</v>
      </c>
      <c r="BO49" s="103" t="s">
        <v>1</v>
      </c>
      <c r="BP49" s="102" t="s">
        <v>1</v>
      </c>
      <c r="BQ49" s="103" t="s">
        <v>1</v>
      </c>
    </row>
    <row r="50" spans="1:69" ht="7.5" customHeight="1" x14ac:dyDescent="0.25">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c r="BF50" s="30" t="s">
        <v>1</v>
      </c>
      <c r="BG50" s="37" t="s">
        <v>1</v>
      </c>
      <c r="BH50" s="102" t="s">
        <v>1</v>
      </c>
      <c r="BI50" s="103" t="s">
        <v>1</v>
      </c>
      <c r="BJ50" s="102" t="s">
        <v>1</v>
      </c>
      <c r="BK50" s="103" t="s">
        <v>1</v>
      </c>
      <c r="BL50" s="102" t="s">
        <v>1</v>
      </c>
      <c r="BM50" s="103" t="s">
        <v>1</v>
      </c>
      <c r="BN50" s="102" t="s">
        <v>1</v>
      </c>
      <c r="BO50" s="103" t="s">
        <v>1</v>
      </c>
      <c r="BP50" s="102" t="s">
        <v>1</v>
      </c>
      <c r="BQ50" s="103" t="s">
        <v>1</v>
      </c>
    </row>
    <row r="51" spans="1:69" ht="7.5" customHeight="1" x14ac:dyDescent="0.25">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c r="BF51" s="30" t="s">
        <v>1</v>
      </c>
      <c r="BG51" s="37" t="s">
        <v>1</v>
      </c>
      <c r="BH51" s="102" t="s">
        <v>1</v>
      </c>
      <c r="BI51" s="103" t="s">
        <v>1</v>
      </c>
      <c r="BJ51" s="102" t="s">
        <v>1</v>
      </c>
      <c r="BK51" s="103" t="s">
        <v>1</v>
      </c>
      <c r="BL51" s="102" t="s">
        <v>1</v>
      </c>
      <c r="BM51" s="103" t="s">
        <v>1</v>
      </c>
      <c r="BN51" s="102" t="s">
        <v>1</v>
      </c>
      <c r="BO51" s="103" t="s">
        <v>1</v>
      </c>
      <c r="BP51" s="102" t="s">
        <v>1</v>
      </c>
      <c r="BQ51" s="103" t="s">
        <v>1</v>
      </c>
    </row>
    <row r="52" spans="1:69" ht="7.5" customHeight="1" x14ac:dyDescent="0.25">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c r="BF52" s="30" t="s">
        <v>1</v>
      </c>
      <c r="BG52" s="37" t="s">
        <v>1</v>
      </c>
      <c r="BH52" s="102" t="s">
        <v>1</v>
      </c>
      <c r="BI52" s="103" t="s">
        <v>1</v>
      </c>
      <c r="BJ52" s="102" t="s">
        <v>1</v>
      </c>
      <c r="BK52" s="103" t="s">
        <v>1</v>
      </c>
      <c r="BL52" s="102" t="s">
        <v>1</v>
      </c>
      <c r="BM52" s="103" t="s">
        <v>1</v>
      </c>
      <c r="BN52" s="102" t="s">
        <v>1</v>
      </c>
      <c r="BO52" s="103" t="s">
        <v>1</v>
      </c>
      <c r="BP52" s="102" t="s">
        <v>1</v>
      </c>
      <c r="BQ52" s="103" t="s">
        <v>1</v>
      </c>
    </row>
    <row r="53" spans="1:69" ht="7.5" customHeight="1" x14ac:dyDescent="0.25">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c r="BF53" s="30" t="s">
        <v>1</v>
      </c>
      <c r="BG53" s="37" t="s">
        <v>1</v>
      </c>
      <c r="BH53" s="102" t="s">
        <v>1</v>
      </c>
      <c r="BI53" s="103" t="s">
        <v>1</v>
      </c>
      <c r="BJ53" s="102" t="s">
        <v>1</v>
      </c>
      <c r="BK53" s="103" t="s">
        <v>1</v>
      </c>
      <c r="BL53" s="102" t="s">
        <v>1</v>
      </c>
      <c r="BM53" s="103" t="s">
        <v>1</v>
      </c>
      <c r="BN53" s="102" t="s">
        <v>1</v>
      </c>
      <c r="BO53" s="103" t="s">
        <v>1</v>
      </c>
      <c r="BP53" s="102" t="s">
        <v>1</v>
      </c>
      <c r="BQ53" s="103" t="s">
        <v>1</v>
      </c>
    </row>
    <row r="54" spans="1:69" ht="7.5" customHeight="1" x14ac:dyDescent="0.25">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c r="BF54" s="30" t="s">
        <v>1</v>
      </c>
      <c r="BG54" s="37" t="s">
        <v>1</v>
      </c>
      <c r="BH54" s="102" t="s">
        <v>1</v>
      </c>
      <c r="BI54" s="103" t="s">
        <v>1</v>
      </c>
      <c r="BJ54" s="102" t="s">
        <v>1</v>
      </c>
      <c r="BK54" s="103" t="s">
        <v>1</v>
      </c>
      <c r="BL54" s="102" t="s">
        <v>1</v>
      </c>
      <c r="BM54" s="103" t="s">
        <v>1</v>
      </c>
      <c r="BN54" s="102" t="s">
        <v>1</v>
      </c>
      <c r="BO54" s="103" t="s">
        <v>1</v>
      </c>
      <c r="BP54" s="102" t="s">
        <v>1</v>
      </c>
      <c r="BQ54" s="103" t="s">
        <v>1</v>
      </c>
    </row>
    <row r="55" spans="1:69" ht="7.5" customHeight="1" x14ac:dyDescent="0.25">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c r="BF55" s="30" t="s">
        <v>1</v>
      </c>
      <c r="BG55" s="37" t="s">
        <v>1</v>
      </c>
      <c r="BH55" s="102" t="s">
        <v>1</v>
      </c>
      <c r="BI55" s="103" t="s">
        <v>1</v>
      </c>
      <c r="BJ55" s="102" t="s">
        <v>1</v>
      </c>
      <c r="BK55" s="103" t="s">
        <v>1</v>
      </c>
      <c r="BL55" s="102" t="s">
        <v>1</v>
      </c>
      <c r="BM55" s="103" t="s">
        <v>1</v>
      </c>
      <c r="BN55" s="102" t="s">
        <v>1</v>
      </c>
      <c r="BO55" s="103" t="s">
        <v>1</v>
      </c>
      <c r="BP55" s="102" t="s">
        <v>1</v>
      </c>
      <c r="BQ55" s="103" t="s">
        <v>1</v>
      </c>
    </row>
    <row r="56" spans="1:69" ht="7.5" customHeight="1" x14ac:dyDescent="0.25">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c r="BF56" s="30" t="s">
        <v>1</v>
      </c>
      <c r="BG56" s="37" t="s">
        <v>1</v>
      </c>
      <c r="BH56" s="102" t="s">
        <v>1</v>
      </c>
      <c r="BI56" s="103" t="s">
        <v>1</v>
      </c>
      <c r="BJ56" s="102" t="s">
        <v>1</v>
      </c>
      <c r="BK56" s="103" t="s">
        <v>1</v>
      </c>
      <c r="BL56" s="102" t="s">
        <v>1</v>
      </c>
      <c r="BM56" s="103" t="s">
        <v>1</v>
      </c>
      <c r="BN56" s="102" t="s">
        <v>1</v>
      </c>
      <c r="BO56" s="103" t="s">
        <v>1</v>
      </c>
      <c r="BP56" s="102" t="s">
        <v>1</v>
      </c>
      <c r="BQ56" s="103" t="s">
        <v>1</v>
      </c>
    </row>
    <row r="57" spans="1:69" ht="7.5" customHeight="1" x14ac:dyDescent="0.25">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c r="BF57" s="30" t="s">
        <v>1</v>
      </c>
      <c r="BG57" s="37" t="s">
        <v>1</v>
      </c>
      <c r="BH57" s="102" t="s">
        <v>1</v>
      </c>
      <c r="BI57" s="103" t="s">
        <v>1</v>
      </c>
      <c r="BJ57" s="102" t="s">
        <v>1</v>
      </c>
      <c r="BK57" s="103" t="s">
        <v>1</v>
      </c>
      <c r="BL57" s="102" t="s">
        <v>1</v>
      </c>
      <c r="BM57" s="103" t="s">
        <v>1</v>
      </c>
      <c r="BN57" s="102" t="s">
        <v>1</v>
      </c>
      <c r="BO57" s="103" t="s">
        <v>1</v>
      </c>
      <c r="BP57" s="102" t="s">
        <v>1</v>
      </c>
      <c r="BQ57" s="103" t="s">
        <v>1</v>
      </c>
    </row>
    <row r="58" spans="1:69" ht="7.5" customHeight="1" x14ac:dyDescent="0.25">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c r="BF58" s="30" t="s">
        <v>1</v>
      </c>
      <c r="BG58" s="37" t="s">
        <v>1</v>
      </c>
      <c r="BH58" s="102" t="s">
        <v>1</v>
      </c>
      <c r="BI58" s="103" t="s">
        <v>1</v>
      </c>
      <c r="BJ58" s="102" t="s">
        <v>1</v>
      </c>
      <c r="BK58" s="103" t="s">
        <v>1</v>
      </c>
      <c r="BL58" s="102" t="s">
        <v>1</v>
      </c>
      <c r="BM58" s="103" t="s">
        <v>1</v>
      </c>
      <c r="BN58" s="102" t="s">
        <v>1</v>
      </c>
      <c r="BO58" s="103" t="s">
        <v>1</v>
      </c>
      <c r="BP58" s="102" t="s">
        <v>1</v>
      </c>
      <c r="BQ58" s="103" t="s">
        <v>1</v>
      </c>
    </row>
    <row r="59" spans="1:69" ht="7.5" customHeight="1" x14ac:dyDescent="0.25">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c r="BF59" s="30" t="s">
        <v>1</v>
      </c>
      <c r="BG59" s="37" t="s">
        <v>1</v>
      </c>
      <c r="BH59" s="102" t="s">
        <v>1</v>
      </c>
      <c r="BI59" s="103" t="s">
        <v>1</v>
      </c>
      <c r="BJ59" s="102" t="s">
        <v>1</v>
      </c>
      <c r="BK59" s="103" t="s">
        <v>1</v>
      </c>
      <c r="BL59" s="102" t="s">
        <v>1</v>
      </c>
      <c r="BM59" s="103" t="s">
        <v>1</v>
      </c>
      <c r="BN59" s="102" t="s">
        <v>1</v>
      </c>
      <c r="BO59" s="103" t="s">
        <v>1</v>
      </c>
      <c r="BP59" s="102" t="s">
        <v>1</v>
      </c>
      <c r="BQ59" s="103" t="s">
        <v>1</v>
      </c>
    </row>
    <row r="60" spans="1:69" ht="7.5" customHeight="1" x14ac:dyDescent="0.25">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c r="BF60" s="30" t="s">
        <v>1</v>
      </c>
      <c r="BG60" s="37" t="s">
        <v>1</v>
      </c>
      <c r="BH60" s="102" t="s">
        <v>1</v>
      </c>
      <c r="BI60" s="103" t="s">
        <v>1</v>
      </c>
      <c r="BJ60" s="102" t="s">
        <v>1</v>
      </c>
      <c r="BK60" s="103" t="s">
        <v>1</v>
      </c>
      <c r="BL60" s="102" t="s">
        <v>1</v>
      </c>
      <c r="BM60" s="103" t="s">
        <v>1</v>
      </c>
      <c r="BN60" s="102" t="s">
        <v>1</v>
      </c>
      <c r="BO60" s="103" t="s">
        <v>1</v>
      </c>
      <c r="BP60" s="102" t="s">
        <v>1</v>
      </c>
      <c r="BQ60" s="103" t="s">
        <v>1</v>
      </c>
    </row>
    <row r="61" spans="1:69" ht="7.5" customHeight="1" x14ac:dyDescent="0.25">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c r="BF61" s="30" t="s">
        <v>1</v>
      </c>
      <c r="BG61" s="37" t="s">
        <v>1</v>
      </c>
      <c r="BH61" s="102" t="s">
        <v>1</v>
      </c>
      <c r="BI61" s="103" t="s">
        <v>1</v>
      </c>
      <c r="BJ61" s="102" t="s">
        <v>1</v>
      </c>
      <c r="BK61" s="103" t="s">
        <v>1</v>
      </c>
      <c r="BL61" s="102" t="s">
        <v>1</v>
      </c>
      <c r="BM61" s="103" t="s">
        <v>1</v>
      </c>
      <c r="BN61" s="102" t="s">
        <v>1</v>
      </c>
      <c r="BO61" s="103" t="s">
        <v>1</v>
      </c>
      <c r="BP61" s="102" t="s">
        <v>1</v>
      </c>
      <c r="BQ61" s="103" t="s">
        <v>1</v>
      </c>
    </row>
    <row r="62" spans="1:69" ht="7.5" customHeight="1" x14ac:dyDescent="0.25">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c r="BF62" s="30" t="s">
        <v>1</v>
      </c>
      <c r="BG62" s="37" t="s">
        <v>1</v>
      </c>
      <c r="BH62" s="102" t="s">
        <v>1</v>
      </c>
      <c r="BI62" s="103" t="s">
        <v>1</v>
      </c>
      <c r="BJ62" s="102" t="s">
        <v>1</v>
      </c>
      <c r="BK62" s="103" t="s">
        <v>1</v>
      </c>
      <c r="BL62" s="102" t="s">
        <v>1</v>
      </c>
      <c r="BM62" s="103" t="s">
        <v>1</v>
      </c>
      <c r="BN62" s="102" t="s">
        <v>1</v>
      </c>
      <c r="BO62" s="103" t="s">
        <v>1</v>
      </c>
      <c r="BP62" s="102" t="s">
        <v>1</v>
      </c>
      <c r="BQ62" s="103" t="s">
        <v>1</v>
      </c>
    </row>
    <row r="63" spans="1:69" ht="7.5" customHeight="1" x14ac:dyDescent="0.25">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c r="BF63" s="30" t="s">
        <v>1</v>
      </c>
      <c r="BG63" s="37" t="s">
        <v>1</v>
      </c>
      <c r="BH63" s="102" t="s">
        <v>1</v>
      </c>
      <c r="BI63" s="103" t="s">
        <v>1</v>
      </c>
      <c r="BJ63" s="102" t="s">
        <v>1</v>
      </c>
      <c r="BK63" s="103" t="s">
        <v>1</v>
      </c>
      <c r="BL63" s="102" t="s">
        <v>1</v>
      </c>
      <c r="BM63" s="103" t="s">
        <v>1</v>
      </c>
      <c r="BN63" s="102" t="s">
        <v>1</v>
      </c>
      <c r="BO63" s="103" t="s">
        <v>1</v>
      </c>
      <c r="BP63" s="102" t="s">
        <v>1</v>
      </c>
      <c r="BQ63" s="103" t="s">
        <v>1</v>
      </c>
    </row>
    <row r="64" spans="1:69" ht="7.5" customHeight="1" x14ac:dyDescent="0.25">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c r="BF64" s="30" t="s">
        <v>1</v>
      </c>
      <c r="BG64" s="37" t="s">
        <v>1</v>
      </c>
      <c r="BH64" s="102" t="s">
        <v>1</v>
      </c>
      <c r="BI64" s="103" t="s">
        <v>1</v>
      </c>
      <c r="BJ64" s="102" t="s">
        <v>1</v>
      </c>
      <c r="BK64" s="103" t="s">
        <v>1</v>
      </c>
      <c r="BL64" s="102" t="s">
        <v>1</v>
      </c>
      <c r="BM64" s="103" t="s">
        <v>1</v>
      </c>
      <c r="BN64" s="102" t="s">
        <v>1</v>
      </c>
      <c r="BO64" s="103" t="s">
        <v>1</v>
      </c>
      <c r="BP64" s="102" t="s">
        <v>1</v>
      </c>
      <c r="BQ64" s="103" t="s">
        <v>1</v>
      </c>
    </row>
    <row r="65" spans="1:69" ht="7.5" customHeight="1" x14ac:dyDescent="0.25">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c r="BF65" s="30" t="s">
        <v>1</v>
      </c>
      <c r="BG65" s="37" t="s">
        <v>1</v>
      </c>
      <c r="BH65" s="102" t="s">
        <v>1</v>
      </c>
      <c r="BI65" s="103" t="s">
        <v>1</v>
      </c>
      <c r="BJ65" s="102" t="s">
        <v>1</v>
      </c>
      <c r="BK65" s="103" t="s">
        <v>1</v>
      </c>
      <c r="BL65" s="102" t="s">
        <v>1</v>
      </c>
      <c r="BM65" s="103" t="s">
        <v>1</v>
      </c>
      <c r="BN65" s="102" t="s">
        <v>1</v>
      </c>
      <c r="BO65" s="103" t="s">
        <v>1</v>
      </c>
      <c r="BP65" s="102" t="s">
        <v>1</v>
      </c>
      <c r="BQ65" s="103" t="s">
        <v>1</v>
      </c>
    </row>
    <row r="66" spans="1:69" ht="7.5" customHeight="1" x14ac:dyDescent="0.25">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c r="BF66" s="30" t="s">
        <v>1</v>
      </c>
      <c r="BG66" s="37" t="s">
        <v>1</v>
      </c>
      <c r="BH66" s="102" t="s">
        <v>1</v>
      </c>
      <c r="BI66" s="103" t="s">
        <v>1</v>
      </c>
      <c r="BJ66" s="102" t="s">
        <v>1</v>
      </c>
      <c r="BK66" s="103" t="s">
        <v>1</v>
      </c>
      <c r="BL66" s="102" t="s">
        <v>1</v>
      </c>
      <c r="BM66" s="103" t="s">
        <v>1</v>
      </c>
      <c r="BN66" s="102" t="s">
        <v>1</v>
      </c>
      <c r="BO66" s="103" t="s">
        <v>1</v>
      </c>
      <c r="BP66" s="102" t="s">
        <v>1</v>
      </c>
      <c r="BQ66" s="103" t="s">
        <v>1</v>
      </c>
    </row>
    <row r="67" spans="1:69" ht="7.5" customHeight="1" x14ac:dyDescent="0.25">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c r="BF67" s="30" t="s">
        <v>1</v>
      </c>
      <c r="BG67" s="37" t="s">
        <v>1</v>
      </c>
      <c r="BH67" s="102" t="s">
        <v>1</v>
      </c>
      <c r="BI67" s="103" t="s">
        <v>1</v>
      </c>
      <c r="BJ67" s="102" t="s">
        <v>1</v>
      </c>
      <c r="BK67" s="103" t="s">
        <v>1</v>
      </c>
      <c r="BL67" s="102" t="s">
        <v>1</v>
      </c>
      <c r="BM67" s="103" t="s">
        <v>1</v>
      </c>
      <c r="BN67" s="102" t="s">
        <v>1</v>
      </c>
      <c r="BO67" s="103" t="s">
        <v>1</v>
      </c>
      <c r="BP67" s="102" t="s">
        <v>1</v>
      </c>
      <c r="BQ67" s="103" t="s">
        <v>1</v>
      </c>
    </row>
    <row r="68" spans="1:69" ht="7.5" customHeight="1" x14ac:dyDescent="0.25">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c r="BF68" s="30" t="s">
        <v>1</v>
      </c>
      <c r="BG68" s="37" t="s">
        <v>1</v>
      </c>
      <c r="BH68" s="102" t="s">
        <v>1</v>
      </c>
      <c r="BI68" s="103" t="s">
        <v>1</v>
      </c>
      <c r="BJ68" s="102" t="s">
        <v>1</v>
      </c>
      <c r="BK68" s="103" t="s">
        <v>1</v>
      </c>
      <c r="BL68" s="102" t="s">
        <v>1</v>
      </c>
      <c r="BM68" s="103" t="s">
        <v>1</v>
      </c>
      <c r="BN68" s="102" t="s">
        <v>1</v>
      </c>
      <c r="BO68" s="103" t="s">
        <v>1</v>
      </c>
      <c r="BP68" s="102" t="s">
        <v>1</v>
      </c>
      <c r="BQ68" s="103" t="s">
        <v>1</v>
      </c>
    </row>
    <row r="69" spans="1:69" ht="7.5" customHeight="1" x14ac:dyDescent="0.25">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c r="BF69" s="30" t="s">
        <v>1</v>
      </c>
      <c r="BG69" s="37" t="s">
        <v>1</v>
      </c>
      <c r="BH69" s="102" t="s">
        <v>1</v>
      </c>
      <c r="BI69" s="103" t="s">
        <v>1</v>
      </c>
      <c r="BJ69" s="102" t="s">
        <v>1</v>
      </c>
      <c r="BK69" s="103" t="s">
        <v>1</v>
      </c>
      <c r="BL69" s="102" t="s">
        <v>1</v>
      </c>
      <c r="BM69" s="103" t="s">
        <v>1</v>
      </c>
      <c r="BN69" s="102" t="s">
        <v>1</v>
      </c>
      <c r="BO69" s="103" t="s">
        <v>1</v>
      </c>
      <c r="BP69" s="102" t="s">
        <v>1</v>
      </c>
      <c r="BQ69" s="103" t="s">
        <v>1</v>
      </c>
    </row>
    <row r="70" spans="1:69" ht="7.5" customHeight="1" x14ac:dyDescent="0.25">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c r="BF70" s="30" t="s">
        <v>1</v>
      </c>
      <c r="BG70" s="37" t="s">
        <v>1</v>
      </c>
      <c r="BH70" s="102" t="s">
        <v>1</v>
      </c>
      <c r="BI70" s="103" t="s">
        <v>1</v>
      </c>
      <c r="BJ70" s="102" t="s">
        <v>1</v>
      </c>
      <c r="BK70" s="103" t="s">
        <v>1</v>
      </c>
      <c r="BL70" s="102" t="s">
        <v>1</v>
      </c>
      <c r="BM70" s="103" t="s">
        <v>1</v>
      </c>
      <c r="BN70" s="102" t="s">
        <v>1</v>
      </c>
      <c r="BO70" s="103" t="s">
        <v>1</v>
      </c>
      <c r="BP70" s="102" t="s">
        <v>1</v>
      </c>
      <c r="BQ70" s="103" t="s">
        <v>1</v>
      </c>
    </row>
    <row r="71" spans="1:69" ht="7.5" customHeight="1" x14ac:dyDescent="0.25">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c r="BF71" s="30" t="s">
        <v>1</v>
      </c>
      <c r="BG71" s="37" t="s">
        <v>1</v>
      </c>
      <c r="BH71" s="102" t="s">
        <v>1</v>
      </c>
      <c r="BI71" s="103" t="s">
        <v>1</v>
      </c>
      <c r="BJ71" s="102" t="s">
        <v>1</v>
      </c>
      <c r="BK71" s="103" t="s">
        <v>1</v>
      </c>
      <c r="BL71" s="102" t="s">
        <v>1</v>
      </c>
      <c r="BM71" s="103" t="s">
        <v>1</v>
      </c>
      <c r="BN71" s="102" t="s">
        <v>1</v>
      </c>
      <c r="BO71" s="103" t="s">
        <v>1</v>
      </c>
      <c r="BP71" s="102" t="s">
        <v>1</v>
      </c>
      <c r="BQ71" s="103" t="s">
        <v>1</v>
      </c>
    </row>
    <row r="72" spans="1:69" ht="7.5" customHeight="1" x14ac:dyDescent="0.25">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c r="BF72" s="30" t="s">
        <v>1</v>
      </c>
      <c r="BG72" s="37" t="s">
        <v>1</v>
      </c>
      <c r="BH72" s="102" t="s">
        <v>1</v>
      </c>
      <c r="BI72" s="103" t="s">
        <v>1</v>
      </c>
      <c r="BJ72" s="102" t="s">
        <v>1</v>
      </c>
      <c r="BK72" s="103" t="s">
        <v>1</v>
      </c>
      <c r="BL72" s="102" t="s">
        <v>1</v>
      </c>
      <c r="BM72" s="103" t="s">
        <v>1</v>
      </c>
      <c r="BN72" s="102" t="s">
        <v>1</v>
      </c>
      <c r="BO72" s="103" t="s">
        <v>1</v>
      </c>
      <c r="BP72" s="102" t="s">
        <v>1</v>
      </c>
      <c r="BQ72" s="103" t="s">
        <v>1</v>
      </c>
    </row>
    <row r="73" spans="1:69" ht="7.5" customHeight="1" x14ac:dyDescent="0.25">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c r="BF73" s="30" t="s">
        <v>1</v>
      </c>
      <c r="BG73" s="37" t="s">
        <v>1</v>
      </c>
      <c r="BH73" s="102" t="s">
        <v>1</v>
      </c>
      <c r="BI73" s="103" t="s">
        <v>1</v>
      </c>
      <c r="BJ73" s="102" t="s">
        <v>1</v>
      </c>
      <c r="BK73" s="103" t="s">
        <v>1</v>
      </c>
      <c r="BL73" s="102" t="s">
        <v>1</v>
      </c>
      <c r="BM73" s="103" t="s">
        <v>1</v>
      </c>
      <c r="BN73" s="102" t="s">
        <v>1</v>
      </c>
      <c r="BO73" s="103" t="s">
        <v>1</v>
      </c>
      <c r="BP73" s="102" t="s">
        <v>1</v>
      </c>
      <c r="BQ73" s="103" t="s">
        <v>1</v>
      </c>
    </row>
    <row r="74" spans="1:69" ht="7.5" customHeight="1" x14ac:dyDescent="0.25">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c r="BF74" s="30" t="s">
        <v>1</v>
      </c>
      <c r="BG74" s="37" t="s">
        <v>1</v>
      </c>
      <c r="BH74" s="102" t="s">
        <v>1</v>
      </c>
      <c r="BI74" s="103" t="s">
        <v>1</v>
      </c>
      <c r="BJ74" s="102" t="s">
        <v>1</v>
      </c>
      <c r="BK74" s="103" t="s">
        <v>1</v>
      </c>
      <c r="BL74" s="102" t="s">
        <v>1</v>
      </c>
      <c r="BM74" s="103" t="s">
        <v>1</v>
      </c>
      <c r="BN74" s="102" t="s">
        <v>1</v>
      </c>
      <c r="BO74" s="103" t="s">
        <v>1</v>
      </c>
      <c r="BP74" s="102" t="s">
        <v>1</v>
      </c>
      <c r="BQ74" s="103" t="s">
        <v>1</v>
      </c>
    </row>
    <row r="75" spans="1:69" ht="7.5" customHeight="1" x14ac:dyDescent="0.25">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c r="BF75" s="30" t="s">
        <v>1</v>
      </c>
      <c r="BG75" s="37" t="s">
        <v>1</v>
      </c>
      <c r="BH75" s="102" t="s">
        <v>1</v>
      </c>
      <c r="BI75" s="103" t="s">
        <v>1</v>
      </c>
      <c r="BJ75" s="102" t="s">
        <v>1</v>
      </c>
      <c r="BK75" s="103" t="s">
        <v>1</v>
      </c>
      <c r="BL75" s="102" t="s">
        <v>1</v>
      </c>
      <c r="BM75" s="103" t="s">
        <v>1</v>
      </c>
      <c r="BN75" s="102" t="s">
        <v>1</v>
      </c>
      <c r="BO75" s="103" t="s">
        <v>1</v>
      </c>
      <c r="BP75" s="102" t="s">
        <v>1</v>
      </c>
      <c r="BQ75" s="103" t="s">
        <v>1</v>
      </c>
    </row>
    <row r="76" spans="1:69" ht="7.5" customHeight="1" x14ac:dyDescent="0.25">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c r="BF76" s="30" t="s">
        <v>1</v>
      </c>
      <c r="BG76" s="37" t="s">
        <v>1</v>
      </c>
      <c r="BH76" s="102" t="s">
        <v>1</v>
      </c>
      <c r="BI76" s="103" t="s">
        <v>1</v>
      </c>
      <c r="BJ76" s="102" t="s">
        <v>1</v>
      </c>
      <c r="BK76" s="103" t="s">
        <v>1</v>
      </c>
      <c r="BL76" s="102" t="s">
        <v>1</v>
      </c>
      <c r="BM76" s="103" t="s">
        <v>1</v>
      </c>
      <c r="BN76" s="102" t="s">
        <v>1</v>
      </c>
      <c r="BO76" s="103" t="s">
        <v>1</v>
      </c>
      <c r="BP76" s="102" t="s">
        <v>1</v>
      </c>
      <c r="BQ76" s="103" t="s">
        <v>1</v>
      </c>
    </row>
    <row r="77" spans="1:69" ht="7.5" customHeight="1" x14ac:dyDescent="0.25">
      <c r="A77" s="67">
        <v>77</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c r="BF77" s="30" t="s">
        <v>1</v>
      </c>
      <c r="BG77" s="37" t="s">
        <v>1</v>
      </c>
      <c r="BH77" s="102" t="s">
        <v>1</v>
      </c>
      <c r="BI77" s="103" t="s">
        <v>1</v>
      </c>
      <c r="BJ77" s="102" t="s">
        <v>1</v>
      </c>
      <c r="BK77" s="103" t="s">
        <v>1</v>
      </c>
      <c r="BL77" s="102" t="s">
        <v>1</v>
      </c>
      <c r="BM77" s="103" t="s">
        <v>1</v>
      </c>
      <c r="BN77" s="102" t="s">
        <v>1</v>
      </c>
      <c r="BO77" s="103" t="s">
        <v>1</v>
      </c>
      <c r="BP77" s="102" t="s">
        <v>1</v>
      </c>
      <c r="BQ77" s="103" t="s">
        <v>1</v>
      </c>
    </row>
    <row r="78" spans="1:69" ht="7.5" customHeight="1" x14ac:dyDescent="0.25">
      <c r="A78" s="67">
        <v>78</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c r="BF78" s="30" t="s">
        <v>1</v>
      </c>
      <c r="BG78" s="37" t="s">
        <v>1</v>
      </c>
      <c r="BH78" s="102" t="s">
        <v>1</v>
      </c>
      <c r="BI78" s="103" t="s">
        <v>1</v>
      </c>
      <c r="BJ78" s="102" t="s">
        <v>1</v>
      </c>
      <c r="BK78" s="103" t="s">
        <v>1</v>
      </c>
      <c r="BL78" s="102" t="s">
        <v>1</v>
      </c>
      <c r="BM78" s="103" t="s">
        <v>1</v>
      </c>
      <c r="BN78" s="102" t="s">
        <v>1</v>
      </c>
      <c r="BO78" s="103" t="s">
        <v>1</v>
      </c>
      <c r="BP78" s="102" t="s">
        <v>1</v>
      </c>
      <c r="BQ78" s="103" t="s">
        <v>1</v>
      </c>
    </row>
    <row r="79" spans="1:69" ht="7.5" customHeight="1" x14ac:dyDescent="0.25">
      <c r="A79" s="67">
        <v>79</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c r="BF79" s="30" t="s">
        <v>1</v>
      </c>
      <c r="BG79" s="37" t="s">
        <v>1</v>
      </c>
      <c r="BH79" s="102" t="s">
        <v>1</v>
      </c>
      <c r="BI79" s="103" t="s">
        <v>1</v>
      </c>
      <c r="BJ79" s="102" t="s">
        <v>1</v>
      </c>
      <c r="BK79" s="103" t="s">
        <v>1</v>
      </c>
      <c r="BL79" s="102" t="s">
        <v>1</v>
      </c>
      <c r="BM79" s="103" t="s">
        <v>1</v>
      </c>
      <c r="BN79" s="102" t="s">
        <v>1</v>
      </c>
      <c r="BO79" s="103" t="s">
        <v>1</v>
      </c>
      <c r="BP79" s="102" t="s">
        <v>1</v>
      </c>
      <c r="BQ79" s="103" t="s">
        <v>1</v>
      </c>
    </row>
    <row r="80" spans="1:69" ht="7.5" customHeight="1" x14ac:dyDescent="0.25">
      <c r="A80" s="67">
        <v>80</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c r="BF80" s="30" t="s">
        <v>1</v>
      </c>
      <c r="BG80" s="37" t="s">
        <v>1</v>
      </c>
      <c r="BH80" s="102" t="s">
        <v>1</v>
      </c>
      <c r="BI80" s="103" t="s">
        <v>1</v>
      </c>
      <c r="BJ80" s="102" t="s">
        <v>1</v>
      </c>
      <c r="BK80" s="103" t="s">
        <v>1</v>
      </c>
      <c r="BL80" s="102" t="s">
        <v>1</v>
      </c>
      <c r="BM80" s="103" t="s">
        <v>1</v>
      </c>
      <c r="BN80" s="102" t="s">
        <v>1</v>
      </c>
      <c r="BO80" s="103" t="s">
        <v>1</v>
      </c>
      <c r="BP80" s="102" t="s">
        <v>1</v>
      </c>
      <c r="BQ80" s="103" t="s">
        <v>1</v>
      </c>
    </row>
    <row r="81" spans="1:69" ht="7.5" customHeight="1" x14ac:dyDescent="0.25">
      <c r="A81" s="67">
        <v>81</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c r="BF81" s="30" t="s">
        <v>1</v>
      </c>
      <c r="BG81" s="37" t="s">
        <v>1</v>
      </c>
      <c r="BH81" s="102" t="s">
        <v>1</v>
      </c>
      <c r="BI81" s="103" t="s">
        <v>1</v>
      </c>
      <c r="BJ81" s="102" t="s">
        <v>1</v>
      </c>
      <c r="BK81" s="103" t="s">
        <v>1</v>
      </c>
      <c r="BL81" s="102" t="s">
        <v>1</v>
      </c>
      <c r="BM81" s="103" t="s">
        <v>1</v>
      </c>
      <c r="BN81" s="102" t="s">
        <v>1</v>
      </c>
      <c r="BO81" s="103" t="s">
        <v>1</v>
      </c>
      <c r="BP81" s="102" t="s">
        <v>1</v>
      </c>
      <c r="BQ81" s="103" t="s">
        <v>1</v>
      </c>
    </row>
    <row r="82" spans="1:69" ht="7.5" customHeight="1" x14ac:dyDescent="0.25">
      <c r="A82" s="67">
        <v>82</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c r="BF82" s="30" t="s">
        <v>1</v>
      </c>
      <c r="BG82" s="37" t="s">
        <v>1</v>
      </c>
      <c r="BH82" s="102" t="s">
        <v>1</v>
      </c>
      <c r="BI82" s="103" t="s">
        <v>1</v>
      </c>
      <c r="BJ82" s="102" t="s">
        <v>1</v>
      </c>
      <c r="BK82" s="103" t="s">
        <v>1</v>
      </c>
      <c r="BL82" s="102" t="s">
        <v>1</v>
      </c>
      <c r="BM82" s="103" t="s">
        <v>1</v>
      </c>
      <c r="BN82" s="102" t="s">
        <v>1</v>
      </c>
      <c r="BO82" s="103" t="s">
        <v>1</v>
      </c>
      <c r="BP82" s="102" t="s">
        <v>1</v>
      </c>
      <c r="BQ82" s="103" t="s">
        <v>1</v>
      </c>
    </row>
    <row r="83" spans="1:69" ht="7.5" customHeight="1" x14ac:dyDescent="0.25">
      <c r="A83" s="67">
        <v>83</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c r="BF83" s="30" t="s">
        <v>1</v>
      </c>
      <c r="BG83" s="37" t="s">
        <v>1</v>
      </c>
      <c r="BH83" s="102" t="s">
        <v>1</v>
      </c>
      <c r="BI83" s="103" t="s">
        <v>1</v>
      </c>
      <c r="BJ83" s="102" t="s">
        <v>1</v>
      </c>
      <c r="BK83" s="103" t="s">
        <v>1</v>
      </c>
      <c r="BL83" s="102" t="s">
        <v>1</v>
      </c>
      <c r="BM83" s="103" t="s">
        <v>1</v>
      </c>
      <c r="BN83" s="102" t="s">
        <v>1</v>
      </c>
      <c r="BO83" s="103" t="s">
        <v>1</v>
      </c>
      <c r="BP83" s="102" t="s">
        <v>1</v>
      </c>
      <c r="BQ83" s="103" t="s">
        <v>1</v>
      </c>
    </row>
    <row r="84" spans="1:69" ht="7.5" customHeight="1" x14ac:dyDescent="0.25">
      <c r="A84" s="67">
        <v>84</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c r="BF84" s="30" t="s">
        <v>1</v>
      </c>
      <c r="BG84" s="37" t="s">
        <v>1</v>
      </c>
      <c r="BH84" s="102" t="s">
        <v>1</v>
      </c>
      <c r="BI84" s="103" t="s">
        <v>1</v>
      </c>
      <c r="BJ84" s="102" t="s">
        <v>1</v>
      </c>
      <c r="BK84" s="103" t="s">
        <v>1</v>
      </c>
      <c r="BL84" s="102" t="s">
        <v>1</v>
      </c>
      <c r="BM84" s="103" t="s">
        <v>1</v>
      </c>
      <c r="BN84" s="102" t="s">
        <v>1</v>
      </c>
      <c r="BO84" s="103" t="s">
        <v>1</v>
      </c>
      <c r="BP84" s="102" t="s">
        <v>1</v>
      </c>
      <c r="BQ84" s="103" t="s">
        <v>1</v>
      </c>
    </row>
    <row r="85" spans="1:69" ht="7.5" customHeight="1" x14ac:dyDescent="0.25">
      <c r="A85" s="67">
        <v>85</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c r="BF85" s="30" t="s">
        <v>1</v>
      </c>
      <c r="BG85" s="37" t="s">
        <v>1</v>
      </c>
      <c r="BH85" s="102" t="s">
        <v>1</v>
      </c>
      <c r="BI85" s="103" t="s">
        <v>1</v>
      </c>
      <c r="BJ85" s="102" t="s">
        <v>1</v>
      </c>
      <c r="BK85" s="103" t="s">
        <v>1</v>
      </c>
      <c r="BL85" s="102" t="s">
        <v>1</v>
      </c>
      <c r="BM85" s="103" t="s">
        <v>1</v>
      </c>
      <c r="BN85" s="102" t="s">
        <v>1</v>
      </c>
      <c r="BO85" s="103" t="s">
        <v>1</v>
      </c>
      <c r="BP85" s="102" t="s">
        <v>1</v>
      </c>
      <c r="BQ85" s="103" t="s">
        <v>1</v>
      </c>
    </row>
    <row r="86" spans="1:69" ht="7.5" customHeight="1" x14ac:dyDescent="0.25">
      <c r="A86" s="67">
        <v>86</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c r="BF86" s="30" t="s">
        <v>1</v>
      </c>
      <c r="BG86" s="37" t="s">
        <v>1</v>
      </c>
      <c r="BH86" s="102" t="s">
        <v>1</v>
      </c>
      <c r="BI86" s="103" t="s">
        <v>1</v>
      </c>
      <c r="BJ86" s="102" t="s">
        <v>1</v>
      </c>
      <c r="BK86" s="103" t="s">
        <v>1</v>
      </c>
      <c r="BL86" s="102" t="s">
        <v>1</v>
      </c>
      <c r="BM86" s="103" t="s">
        <v>1</v>
      </c>
      <c r="BN86" s="102" t="s">
        <v>1</v>
      </c>
      <c r="BO86" s="103" t="s">
        <v>1</v>
      </c>
      <c r="BP86" s="102" t="s">
        <v>1</v>
      </c>
      <c r="BQ86" s="103" t="s">
        <v>1</v>
      </c>
    </row>
    <row r="87" spans="1:69" ht="7.5" customHeight="1" x14ac:dyDescent="0.25">
      <c r="A87" s="67">
        <v>87</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c r="BF87" s="30" t="s">
        <v>1</v>
      </c>
      <c r="BG87" s="37" t="s">
        <v>1</v>
      </c>
      <c r="BH87" s="102" t="s">
        <v>1</v>
      </c>
      <c r="BI87" s="103" t="s">
        <v>1</v>
      </c>
      <c r="BJ87" s="102" t="s">
        <v>1</v>
      </c>
      <c r="BK87" s="103" t="s">
        <v>1</v>
      </c>
      <c r="BL87" s="102" t="s">
        <v>1</v>
      </c>
      <c r="BM87" s="103" t="s">
        <v>1</v>
      </c>
      <c r="BN87" s="102" t="s">
        <v>1</v>
      </c>
      <c r="BO87" s="103" t="s">
        <v>1</v>
      </c>
      <c r="BP87" s="102" t="s">
        <v>1</v>
      </c>
      <c r="BQ87" s="103" t="s">
        <v>1</v>
      </c>
    </row>
    <row r="88" spans="1:69" ht="7.5" customHeight="1" x14ac:dyDescent="0.25">
      <c r="A88" s="67">
        <v>88</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c r="BF88" s="30" t="s">
        <v>1</v>
      </c>
      <c r="BG88" s="37" t="s">
        <v>1</v>
      </c>
      <c r="BH88" s="102" t="s">
        <v>1</v>
      </c>
      <c r="BI88" s="103" t="s">
        <v>1</v>
      </c>
      <c r="BJ88" s="102" t="s">
        <v>1</v>
      </c>
      <c r="BK88" s="103" t="s">
        <v>1</v>
      </c>
      <c r="BL88" s="102" t="s">
        <v>1</v>
      </c>
      <c r="BM88" s="103" t="s">
        <v>1</v>
      </c>
      <c r="BN88" s="102" t="s">
        <v>1</v>
      </c>
      <c r="BO88" s="103" t="s">
        <v>1</v>
      </c>
      <c r="BP88" s="102" t="s">
        <v>1</v>
      </c>
      <c r="BQ88" s="103" t="s">
        <v>1</v>
      </c>
    </row>
    <row r="89" spans="1:69" ht="7.5" customHeight="1" x14ac:dyDescent="0.25">
      <c r="A89" s="67">
        <v>89</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c r="BF89" s="30" t="s">
        <v>1</v>
      </c>
      <c r="BG89" s="37" t="s">
        <v>1</v>
      </c>
      <c r="BH89" s="102" t="s">
        <v>1</v>
      </c>
      <c r="BI89" s="103" t="s">
        <v>1</v>
      </c>
      <c r="BJ89" s="102" t="s">
        <v>1</v>
      </c>
      <c r="BK89" s="103" t="s">
        <v>1</v>
      </c>
      <c r="BL89" s="102" t="s">
        <v>1</v>
      </c>
      <c r="BM89" s="103" t="s">
        <v>1</v>
      </c>
      <c r="BN89" s="102" t="s">
        <v>1</v>
      </c>
      <c r="BO89" s="103" t="s">
        <v>1</v>
      </c>
      <c r="BP89" s="102" t="s">
        <v>1</v>
      </c>
      <c r="BQ89" s="103" t="s">
        <v>1</v>
      </c>
    </row>
    <row r="90" spans="1:69" ht="7.5" customHeight="1" x14ac:dyDescent="0.25">
      <c r="A90" s="67">
        <v>90</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c r="BF90" s="30" t="s">
        <v>1</v>
      </c>
      <c r="BG90" s="37" t="s">
        <v>1</v>
      </c>
      <c r="BH90" s="102" t="s">
        <v>1</v>
      </c>
      <c r="BI90" s="103" t="s">
        <v>1</v>
      </c>
      <c r="BJ90" s="102" t="s">
        <v>1</v>
      </c>
      <c r="BK90" s="103" t="s">
        <v>1</v>
      </c>
      <c r="BL90" s="102" t="s">
        <v>1</v>
      </c>
      <c r="BM90" s="103" t="s">
        <v>1</v>
      </c>
      <c r="BN90" s="102" t="s">
        <v>1</v>
      </c>
      <c r="BO90" s="103" t="s">
        <v>1</v>
      </c>
      <c r="BP90" s="102" t="s">
        <v>1</v>
      </c>
      <c r="BQ90" s="103" t="s">
        <v>1</v>
      </c>
    </row>
    <row r="91" spans="1:69" ht="7.5" customHeight="1" x14ac:dyDescent="0.25">
      <c r="A91" s="67">
        <v>91</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c r="BF91" s="30" t="s">
        <v>1</v>
      </c>
      <c r="BG91" s="37" t="s">
        <v>1</v>
      </c>
      <c r="BH91" s="102" t="s">
        <v>1</v>
      </c>
      <c r="BI91" s="103" t="s">
        <v>1</v>
      </c>
      <c r="BJ91" s="102" t="s">
        <v>1</v>
      </c>
      <c r="BK91" s="103" t="s">
        <v>1</v>
      </c>
      <c r="BL91" s="102" t="s">
        <v>1</v>
      </c>
      <c r="BM91" s="103" t="s">
        <v>1</v>
      </c>
      <c r="BN91" s="102" t="s">
        <v>1</v>
      </c>
      <c r="BO91" s="103" t="s">
        <v>1</v>
      </c>
      <c r="BP91" s="102" t="s">
        <v>1</v>
      </c>
      <c r="BQ91" s="103" t="s">
        <v>1</v>
      </c>
    </row>
    <row r="92" spans="1:69" ht="7.5" customHeight="1" x14ac:dyDescent="0.25">
      <c r="A92" s="67">
        <v>92</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c r="BF92" s="30" t="s">
        <v>1</v>
      </c>
      <c r="BG92" s="37" t="s">
        <v>1</v>
      </c>
      <c r="BH92" s="102" t="s">
        <v>1</v>
      </c>
      <c r="BI92" s="103" t="s">
        <v>1</v>
      </c>
      <c r="BJ92" s="102" t="s">
        <v>1</v>
      </c>
      <c r="BK92" s="103" t="s">
        <v>1</v>
      </c>
      <c r="BL92" s="102" t="s">
        <v>1</v>
      </c>
      <c r="BM92" s="103" t="s">
        <v>1</v>
      </c>
      <c r="BN92" s="102" t="s">
        <v>1</v>
      </c>
      <c r="BO92" s="103" t="s">
        <v>1</v>
      </c>
      <c r="BP92" s="102" t="s">
        <v>1</v>
      </c>
      <c r="BQ92" s="103" t="s">
        <v>1</v>
      </c>
    </row>
    <row r="93" spans="1:69" ht="7.5" customHeight="1" x14ac:dyDescent="0.25">
      <c r="A93" s="67">
        <v>93</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c r="BF93" s="30" t="s">
        <v>1</v>
      </c>
      <c r="BG93" s="37" t="s">
        <v>1</v>
      </c>
      <c r="BH93" s="102" t="s">
        <v>1</v>
      </c>
      <c r="BI93" s="103" t="s">
        <v>1</v>
      </c>
      <c r="BJ93" s="102" t="s">
        <v>1</v>
      </c>
      <c r="BK93" s="103" t="s">
        <v>1</v>
      </c>
      <c r="BL93" s="102" t="s">
        <v>1</v>
      </c>
      <c r="BM93" s="103" t="s">
        <v>1</v>
      </c>
      <c r="BN93" s="102" t="s">
        <v>1</v>
      </c>
      <c r="BO93" s="103" t="s">
        <v>1</v>
      </c>
      <c r="BP93" s="102" t="s">
        <v>1</v>
      </c>
      <c r="BQ93" s="103" t="s">
        <v>1</v>
      </c>
    </row>
    <row r="94" spans="1:69" ht="7.5" customHeight="1" x14ac:dyDescent="0.25">
      <c r="A94" s="67">
        <v>94</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c r="BF94" s="30" t="s">
        <v>1</v>
      </c>
      <c r="BG94" s="37" t="s">
        <v>1</v>
      </c>
      <c r="BH94" s="102" t="s">
        <v>1</v>
      </c>
      <c r="BI94" s="103" t="s">
        <v>1</v>
      </c>
      <c r="BJ94" s="102" t="s">
        <v>1</v>
      </c>
      <c r="BK94" s="103" t="s">
        <v>1</v>
      </c>
      <c r="BL94" s="102" t="s">
        <v>1</v>
      </c>
      <c r="BM94" s="103" t="s">
        <v>1</v>
      </c>
      <c r="BN94" s="102" t="s">
        <v>1</v>
      </c>
      <c r="BO94" s="103" t="s">
        <v>1</v>
      </c>
      <c r="BP94" s="102" t="s">
        <v>1</v>
      </c>
      <c r="BQ94" s="103" t="s">
        <v>1</v>
      </c>
    </row>
    <row r="95" spans="1:69" ht="7.5" customHeight="1" x14ac:dyDescent="0.25">
      <c r="A95" s="67">
        <v>95</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c r="BF95" s="30" t="s">
        <v>1</v>
      </c>
      <c r="BG95" s="37" t="s">
        <v>1</v>
      </c>
      <c r="BH95" s="102" t="s">
        <v>1</v>
      </c>
      <c r="BI95" s="103" t="s">
        <v>1</v>
      </c>
      <c r="BJ95" s="102" t="s">
        <v>1</v>
      </c>
      <c r="BK95" s="103" t="s">
        <v>1</v>
      </c>
      <c r="BL95" s="102" t="s">
        <v>1</v>
      </c>
      <c r="BM95" s="103" t="s">
        <v>1</v>
      </c>
      <c r="BN95" s="102" t="s">
        <v>1</v>
      </c>
      <c r="BO95" s="103" t="s">
        <v>1</v>
      </c>
      <c r="BP95" s="102" t="s">
        <v>1</v>
      </c>
      <c r="BQ95" s="103" t="s">
        <v>1</v>
      </c>
    </row>
    <row r="96" spans="1:69" ht="7.5" customHeight="1" x14ac:dyDescent="0.25">
      <c r="A96" s="67">
        <v>96</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c r="BF96" s="30" t="s">
        <v>1</v>
      </c>
      <c r="BG96" s="37" t="s">
        <v>1</v>
      </c>
      <c r="BH96" s="102" t="s">
        <v>1</v>
      </c>
      <c r="BI96" s="103" t="s">
        <v>1</v>
      </c>
      <c r="BJ96" s="102" t="s">
        <v>1</v>
      </c>
      <c r="BK96" s="103" t="s">
        <v>1</v>
      </c>
      <c r="BL96" s="102" t="s">
        <v>1</v>
      </c>
      <c r="BM96" s="103" t="s">
        <v>1</v>
      </c>
      <c r="BN96" s="102" t="s">
        <v>1</v>
      </c>
      <c r="BO96" s="103" t="s">
        <v>1</v>
      </c>
      <c r="BP96" s="102" t="s">
        <v>1</v>
      </c>
      <c r="BQ96" s="103" t="s">
        <v>1</v>
      </c>
    </row>
    <row r="97" spans="1:69" ht="7.5" customHeight="1" x14ac:dyDescent="0.25">
      <c r="A97" s="67">
        <v>97</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c r="BF97" s="30" t="s">
        <v>1</v>
      </c>
      <c r="BG97" s="37" t="s">
        <v>1</v>
      </c>
      <c r="BH97" s="102" t="s">
        <v>1</v>
      </c>
      <c r="BI97" s="103" t="s">
        <v>1</v>
      </c>
      <c r="BJ97" s="102" t="s">
        <v>1</v>
      </c>
      <c r="BK97" s="103" t="s">
        <v>1</v>
      </c>
      <c r="BL97" s="102" t="s">
        <v>1</v>
      </c>
      <c r="BM97" s="103" t="s">
        <v>1</v>
      </c>
      <c r="BN97" s="102" t="s">
        <v>1</v>
      </c>
      <c r="BO97" s="103" t="s">
        <v>1</v>
      </c>
      <c r="BP97" s="102" t="s">
        <v>1</v>
      </c>
      <c r="BQ97" s="103" t="s">
        <v>1</v>
      </c>
    </row>
    <row r="98" spans="1:69" ht="7.5" customHeight="1" x14ac:dyDescent="0.25">
      <c r="A98" s="67">
        <v>98</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c r="BF98" s="30" t="s">
        <v>1</v>
      </c>
      <c r="BG98" s="37" t="s">
        <v>1</v>
      </c>
      <c r="BH98" s="102" t="s">
        <v>1</v>
      </c>
      <c r="BI98" s="103" t="s">
        <v>1</v>
      </c>
      <c r="BJ98" s="102" t="s">
        <v>1</v>
      </c>
      <c r="BK98" s="103" t="s">
        <v>1</v>
      </c>
      <c r="BL98" s="102" t="s">
        <v>1</v>
      </c>
      <c r="BM98" s="103" t="s">
        <v>1</v>
      </c>
      <c r="BN98" s="102" t="s">
        <v>1</v>
      </c>
      <c r="BO98" s="103" t="s">
        <v>1</v>
      </c>
      <c r="BP98" s="102" t="s">
        <v>1</v>
      </c>
      <c r="BQ98" s="103" t="s">
        <v>1</v>
      </c>
    </row>
    <row r="99" spans="1:69" ht="7.5" customHeight="1" x14ac:dyDescent="0.25">
      <c r="A99" s="67">
        <v>99</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c r="BF99" s="30" t="s">
        <v>1</v>
      </c>
      <c r="BG99" s="37" t="s">
        <v>1</v>
      </c>
      <c r="BH99" s="102" t="s">
        <v>1</v>
      </c>
      <c r="BI99" s="103" t="s">
        <v>1</v>
      </c>
      <c r="BJ99" s="102" t="s">
        <v>1</v>
      </c>
      <c r="BK99" s="103" t="s">
        <v>1</v>
      </c>
      <c r="BL99" s="102" t="s">
        <v>1</v>
      </c>
      <c r="BM99" s="103" t="s">
        <v>1</v>
      </c>
      <c r="BN99" s="102" t="s">
        <v>1</v>
      </c>
      <c r="BO99" s="103" t="s">
        <v>1</v>
      </c>
      <c r="BP99" s="102" t="s">
        <v>1</v>
      </c>
      <c r="BQ99" s="103" t="s">
        <v>1</v>
      </c>
    </row>
    <row r="100" spans="1:69" ht="7.5" customHeight="1" x14ac:dyDescent="0.25">
      <c r="A100" s="67">
        <v>100</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c r="BF100" s="30" t="s">
        <v>1</v>
      </c>
      <c r="BG100" s="37" t="s">
        <v>1</v>
      </c>
      <c r="BH100" s="102" t="s">
        <v>1</v>
      </c>
      <c r="BI100" s="103" t="s">
        <v>1</v>
      </c>
      <c r="BJ100" s="102" t="s">
        <v>1</v>
      </c>
      <c r="BK100" s="103" t="s">
        <v>1</v>
      </c>
      <c r="BL100" s="102" t="s">
        <v>1</v>
      </c>
      <c r="BM100" s="103" t="s">
        <v>1</v>
      </c>
      <c r="BN100" s="102" t="s">
        <v>1</v>
      </c>
      <c r="BO100" s="103" t="s">
        <v>1</v>
      </c>
      <c r="BP100" s="102" t="s">
        <v>1</v>
      </c>
      <c r="BQ100" s="103" t="s">
        <v>1</v>
      </c>
    </row>
    <row r="101" spans="1:69" ht="7.5" customHeight="1" x14ac:dyDescent="0.25">
      <c r="A101" s="67">
        <v>101</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c r="BF101" s="30" t="s">
        <v>1</v>
      </c>
      <c r="BG101" s="37" t="s">
        <v>1</v>
      </c>
      <c r="BH101" s="102" t="s">
        <v>1</v>
      </c>
      <c r="BI101" s="103" t="s">
        <v>1</v>
      </c>
      <c r="BJ101" s="102" t="s">
        <v>1</v>
      </c>
      <c r="BK101" s="103" t="s">
        <v>1</v>
      </c>
      <c r="BL101" s="102" t="s">
        <v>1</v>
      </c>
      <c r="BM101" s="103" t="s">
        <v>1</v>
      </c>
      <c r="BN101" s="102" t="s">
        <v>1</v>
      </c>
      <c r="BO101" s="103" t="s">
        <v>1</v>
      </c>
      <c r="BP101" s="102" t="s">
        <v>1</v>
      </c>
      <c r="BQ101" s="103" t="s">
        <v>1</v>
      </c>
    </row>
    <row r="102" spans="1:69" ht="7.5" customHeight="1" x14ac:dyDescent="0.25">
      <c r="A102" s="67">
        <v>102</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c r="BF102" s="30" t="s">
        <v>1</v>
      </c>
      <c r="BG102" s="37" t="s">
        <v>1</v>
      </c>
      <c r="BH102" s="102" t="s">
        <v>1</v>
      </c>
      <c r="BI102" s="103" t="s">
        <v>1</v>
      </c>
      <c r="BJ102" s="102" t="s">
        <v>1</v>
      </c>
      <c r="BK102" s="103" t="s">
        <v>1</v>
      </c>
      <c r="BL102" s="102" t="s">
        <v>1</v>
      </c>
      <c r="BM102" s="103" t="s">
        <v>1</v>
      </c>
      <c r="BN102" s="102" t="s">
        <v>1</v>
      </c>
      <c r="BO102" s="103" t="s">
        <v>1</v>
      </c>
      <c r="BP102" s="102" t="s">
        <v>1</v>
      </c>
      <c r="BQ102" s="103" t="s">
        <v>1</v>
      </c>
    </row>
    <row r="103" spans="1:69" ht="7.5" customHeight="1" x14ac:dyDescent="0.25">
      <c r="A103" s="67">
        <v>103</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c r="BF103" s="30" t="s">
        <v>1</v>
      </c>
      <c r="BG103" s="37" t="s">
        <v>1</v>
      </c>
      <c r="BH103" s="102" t="s">
        <v>1</v>
      </c>
      <c r="BI103" s="103" t="s">
        <v>1</v>
      </c>
      <c r="BJ103" s="102" t="s">
        <v>1</v>
      </c>
      <c r="BK103" s="103" t="s">
        <v>1</v>
      </c>
      <c r="BL103" s="102" t="s">
        <v>1</v>
      </c>
      <c r="BM103" s="103" t="s">
        <v>1</v>
      </c>
      <c r="BN103" s="102" t="s">
        <v>1</v>
      </c>
      <c r="BO103" s="103" t="s">
        <v>1</v>
      </c>
      <c r="BP103" s="102" t="s">
        <v>1</v>
      </c>
      <c r="BQ103" s="103" t="s">
        <v>1</v>
      </c>
    </row>
    <row r="104" spans="1:69" ht="7.5" customHeight="1" x14ac:dyDescent="0.25">
      <c r="A104" s="67">
        <v>104</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c r="BF104" s="30" t="s">
        <v>1</v>
      </c>
      <c r="BG104" s="37" t="s">
        <v>1</v>
      </c>
      <c r="BH104" s="102" t="s">
        <v>1</v>
      </c>
      <c r="BI104" s="103" t="s">
        <v>1</v>
      </c>
      <c r="BJ104" s="102" t="s">
        <v>1</v>
      </c>
      <c r="BK104" s="103" t="s">
        <v>1</v>
      </c>
      <c r="BL104" s="102" t="s">
        <v>1</v>
      </c>
      <c r="BM104" s="103" t="s">
        <v>1</v>
      </c>
      <c r="BN104" s="102" t="s">
        <v>1</v>
      </c>
      <c r="BO104" s="103" t="s">
        <v>1</v>
      </c>
      <c r="BP104" s="102" t="s">
        <v>1</v>
      </c>
      <c r="BQ104" s="103" t="s">
        <v>1</v>
      </c>
    </row>
    <row r="105" spans="1:69" ht="7.5" customHeight="1" x14ac:dyDescent="0.25">
      <c r="A105" s="67">
        <v>105</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c r="BF105" s="30" t="s">
        <v>1</v>
      </c>
      <c r="BG105" s="37" t="s">
        <v>1</v>
      </c>
      <c r="BH105" s="102" t="s">
        <v>1</v>
      </c>
      <c r="BI105" s="103" t="s">
        <v>1</v>
      </c>
      <c r="BJ105" s="102" t="s">
        <v>1</v>
      </c>
      <c r="BK105" s="103" t="s">
        <v>1</v>
      </c>
      <c r="BL105" s="102" t="s">
        <v>1</v>
      </c>
      <c r="BM105" s="103" t="s">
        <v>1</v>
      </c>
      <c r="BN105" s="102" t="s">
        <v>1</v>
      </c>
      <c r="BO105" s="103" t="s">
        <v>1</v>
      </c>
      <c r="BP105" s="102" t="s">
        <v>1</v>
      </c>
      <c r="BQ105" s="103" t="s">
        <v>1</v>
      </c>
    </row>
    <row r="106" spans="1:69" ht="7.5" customHeight="1" x14ac:dyDescent="0.25">
      <c r="A106" s="67">
        <v>106</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c r="BF106" s="30" t="s">
        <v>1</v>
      </c>
      <c r="BG106" s="37" t="s">
        <v>1</v>
      </c>
      <c r="BH106" s="102" t="s">
        <v>1</v>
      </c>
      <c r="BI106" s="103" t="s">
        <v>1</v>
      </c>
      <c r="BJ106" s="102" t="s">
        <v>1</v>
      </c>
      <c r="BK106" s="103" t="s">
        <v>1</v>
      </c>
      <c r="BL106" s="102" t="s">
        <v>1</v>
      </c>
      <c r="BM106" s="103" t="s">
        <v>1</v>
      </c>
      <c r="BN106" s="102" t="s">
        <v>1</v>
      </c>
      <c r="BO106" s="103" t="s">
        <v>1</v>
      </c>
      <c r="BP106" s="102" t="s">
        <v>1</v>
      </c>
      <c r="BQ106" s="103" t="s">
        <v>1</v>
      </c>
    </row>
    <row r="107" spans="1:69" ht="7.5" customHeight="1" x14ac:dyDescent="0.25">
      <c r="A107" s="67">
        <v>107</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c r="BF107" s="30" t="s">
        <v>1</v>
      </c>
      <c r="BG107" s="37" t="s">
        <v>1</v>
      </c>
      <c r="BH107" s="102" t="s">
        <v>1</v>
      </c>
      <c r="BI107" s="103" t="s">
        <v>1</v>
      </c>
      <c r="BJ107" s="102" t="s">
        <v>1</v>
      </c>
      <c r="BK107" s="103" t="s">
        <v>1</v>
      </c>
      <c r="BL107" s="102" t="s">
        <v>1</v>
      </c>
      <c r="BM107" s="103" t="s">
        <v>1</v>
      </c>
      <c r="BN107" s="102" t="s">
        <v>1</v>
      </c>
      <c r="BO107" s="103" t="s">
        <v>1</v>
      </c>
      <c r="BP107" s="102" t="s">
        <v>1</v>
      </c>
      <c r="BQ107" s="103" t="s">
        <v>1</v>
      </c>
    </row>
    <row r="108" spans="1:69" ht="7.5" customHeight="1" x14ac:dyDescent="0.25">
      <c r="A108" s="67">
        <v>108</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c r="BF108" s="30" t="s">
        <v>1</v>
      </c>
      <c r="BG108" s="37" t="s">
        <v>1</v>
      </c>
      <c r="BH108" s="102" t="s">
        <v>1</v>
      </c>
      <c r="BI108" s="103" t="s">
        <v>1</v>
      </c>
      <c r="BJ108" s="102" t="s">
        <v>1</v>
      </c>
      <c r="BK108" s="103" t="s">
        <v>1</v>
      </c>
      <c r="BL108" s="102" t="s">
        <v>1</v>
      </c>
      <c r="BM108" s="103" t="s">
        <v>1</v>
      </c>
      <c r="BN108" s="102" t="s">
        <v>1</v>
      </c>
      <c r="BO108" s="103" t="s">
        <v>1</v>
      </c>
      <c r="BP108" s="102" t="s">
        <v>1</v>
      </c>
      <c r="BQ108" s="103" t="s">
        <v>1</v>
      </c>
    </row>
    <row r="109" spans="1:69" ht="7.5" customHeight="1" x14ac:dyDescent="0.25">
      <c r="A109" s="67">
        <v>109</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c r="BF109" s="30" t="s">
        <v>1</v>
      </c>
      <c r="BG109" s="37" t="s">
        <v>1</v>
      </c>
      <c r="BH109" s="102" t="s">
        <v>1</v>
      </c>
      <c r="BI109" s="103" t="s">
        <v>1</v>
      </c>
      <c r="BJ109" s="102" t="s">
        <v>1</v>
      </c>
      <c r="BK109" s="103" t="s">
        <v>1</v>
      </c>
      <c r="BL109" s="102" t="s">
        <v>1</v>
      </c>
      <c r="BM109" s="103" t="s">
        <v>1</v>
      </c>
      <c r="BN109" s="102" t="s">
        <v>1</v>
      </c>
      <c r="BO109" s="103" t="s">
        <v>1</v>
      </c>
      <c r="BP109" s="102" t="s">
        <v>1</v>
      </c>
      <c r="BQ109" s="103" t="s">
        <v>1</v>
      </c>
    </row>
    <row r="110" spans="1:69" ht="7.5" customHeight="1" x14ac:dyDescent="0.25">
      <c r="A110" s="67">
        <v>110</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c r="BF110" s="30" t="s">
        <v>1</v>
      </c>
      <c r="BG110" s="37" t="s">
        <v>1</v>
      </c>
      <c r="BH110" s="102" t="s">
        <v>1</v>
      </c>
      <c r="BI110" s="103" t="s">
        <v>1</v>
      </c>
      <c r="BJ110" s="102" t="s">
        <v>1</v>
      </c>
      <c r="BK110" s="103" t="s">
        <v>1</v>
      </c>
      <c r="BL110" s="102" t="s">
        <v>1</v>
      </c>
      <c r="BM110" s="103" t="s">
        <v>1</v>
      </c>
      <c r="BN110" s="102" t="s">
        <v>1</v>
      </c>
      <c r="BO110" s="103" t="s">
        <v>1</v>
      </c>
      <c r="BP110" s="102" t="s">
        <v>1</v>
      </c>
      <c r="BQ110" s="103" t="s">
        <v>1</v>
      </c>
    </row>
    <row r="111" spans="1:69" ht="7.5" customHeight="1" x14ac:dyDescent="0.25">
      <c r="A111" s="67">
        <v>111</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c r="BF111" s="30" t="s">
        <v>1</v>
      </c>
      <c r="BG111" s="37" t="s">
        <v>1</v>
      </c>
      <c r="BH111" s="102" t="s">
        <v>1</v>
      </c>
      <c r="BI111" s="103" t="s">
        <v>1</v>
      </c>
      <c r="BJ111" s="102" t="s">
        <v>1</v>
      </c>
      <c r="BK111" s="103" t="s">
        <v>1</v>
      </c>
      <c r="BL111" s="102" t="s">
        <v>1</v>
      </c>
      <c r="BM111" s="103" t="s">
        <v>1</v>
      </c>
      <c r="BN111" s="102" t="s">
        <v>1</v>
      </c>
      <c r="BO111" s="103" t="s">
        <v>1</v>
      </c>
      <c r="BP111" s="102" t="s">
        <v>1</v>
      </c>
      <c r="BQ111" s="103" t="s">
        <v>1</v>
      </c>
    </row>
    <row r="112" spans="1:69" ht="7.5" customHeight="1" x14ac:dyDescent="0.25">
      <c r="A112" s="67">
        <v>112</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c r="BF112" s="30" t="s">
        <v>1</v>
      </c>
      <c r="BG112" s="37" t="s">
        <v>1</v>
      </c>
      <c r="BH112" s="102" t="s">
        <v>1</v>
      </c>
      <c r="BI112" s="103" t="s">
        <v>1</v>
      </c>
      <c r="BJ112" s="102" t="s">
        <v>1</v>
      </c>
      <c r="BK112" s="103" t="s">
        <v>1</v>
      </c>
      <c r="BL112" s="102" t="s">
        <v>1</v>
      </c>
      <c r="BM112" s="103" t="s">
        <v>1</v>
      </c>
      <c r="BN112" s="102" t="s">
        <v>1</v>
      </c>
      <c r="BO112" s="103" t="s">
        <v>1</v>
      </c>
      <c r="BP112" s="102" t="s">
        <v>1</v>
      </c>
      <c r="BQ112" s="103" t="s">
        <v>1</v>
      </c>
    </row>
    <row r="113" spans="1:69" ht="7.5" customHeight="1" x14ac:dyDescent="0.25">
      <c r="A113" s="67">
        <v>113</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c r="BF113" s="30" t="s">
        <v>1</v>
      </c>
      <c r="BG113" s="37" t="s">
        <v>1</v>
      </c>
      <c r="BH113" s="102" t="s">
        <v>1</v>
      </c>
      <c r="BI113" s="103" t="s">
        <v>1</v>
      </c>
      <c r="BJ113" s="102" t="s">
        <v>1</v>
      </c>
      <c r="BK113" s="103" t="s">
        <v>1</v>
      </c>
      <c r="BL113" s="102" t="s">
        <v>1</v>
      </c>
      <c r="BM113" s="103" t="s">
        <v>1</v>
      </c>
      <c r="BN113" s="102" t="s">
        <v>1</v>
      </c>
      <c r="BO113" s="103" t="s">
        <v>1</v>
      </c>
      <c r="BP113" s="102" t="s">
        <v>1</v>
      </c>
      <c r="BQ113" s="103" t="s">
        <v>1</v>
      </c>
    </row>
    <row r="114" spans="1:69" ht="7.5" customHeight="1" x14ac:dyDescent="0.25">
      <c r="A114" s="67">
        <v>114</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c r="BF114" s="30" t="s">
        <v>1</v>
      </c>
      <c r="BG114" s="37" t="s">
        <v>1</v>
      </c>
      <c r="BH114" s="102" t="s">
        <v>1</v>
      </c>
      <c r="BI114" s="103" t="s">
        <v>1</v>
      </c>
      <c r="BJ114" s="102" t="s">
        <v>1</v>
      </c>
      <c r="BK114" s="103" t="s">
        <v>1</v>
      </c>
      <c r="BL114" s="102" t="s">
        <v>1</v>
      </c>
      <c r="BM114" s="103" t="s">
        <v>1</v>
      </c>
      <c r="BN114" s="102" t="s">
        <v>1</v>
      </c>
      <c r="BO114" s="103" t="s">
        <v>1</v>
      </c>
      <c r="BP114" s="102" t="s">
        <v>1</v>
      </c>
      <c r="BQ114" s="103" t="s">
        <v>1</v>
      </c>
    </row>
    <row r="115" spans="1:69" ht="7.5" customHeight="1" x14ac:dyDescent="0.25">
      <c r="A115" s="67">
        <v>115</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c r="BF115" s="30" t="s">
        <v>1</v>
      </c>
      <c r="BG115" s="37" t="s">
        <v>1</v>
      </c>
      <c r="BH115" s="102" t="s">
        <v>1</v>
      </c>
      <c r="BI115" s="103" t="s">
        <v>1</v>
      </c>
      <c r="BJ115" s="102" t="s">
        <v>1</v>
      </c>
      <c r="BK115" s="103" t="s">
        <v>1</v>
      </c>
      <c r="BL115" s="102" t="s">
        <v>1</v>
      </c>
      <c r="BM115" s="103" t="s">
        <v>1</v>
      </c>
      <c r="BN115" s="102" t="s">
        <v>1</v>
      </c>
      <c r="BO115" s="103" t="s">
        <v>1</v>
      </c>
      <c r="BP115" s="102" t="s">
        <v>1</v>
      </c>
      <c r="BQ115" s="103" t="s">
        <v>1</v>
      </c>
    </row>
    <row r="116" spans="1:69" ht="7.5" customHeight="1" x14ac:dyDescent="0.25">
      <c r="A116" s="67">
        <v>116</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c r="BF116" s="30" t="s">
        <v>1</v>
      </c>
      <c r="BG116" s="37" t="s">
        <v>1</v>
      </c>
      <c r="BH116" s="102" t="s">
        <v>1</v>
      </c>
      <c r="BI116" s="103" t="s">
        <v>1</v>
      </c>
      <c r="BJ116" s="102" t="s">
        <v>1</v>
      </c>
      <c r="BK116" s="103" t="s">
        <v>1</v>
      </c>
      <c r="BL116" s="102" t="s">
        <v>1</v>
      </c>
      <c r="BM116" s="103" t="s">
        <v>1</v>
      </c>
      <c r="BN116" s="102" t="s">
        <v>1</v>
      </c>
      <c r="BO116" s="103" t="s">
        <v>1</v>
      </c>
      <c r="BP116" s="102" t="s">
        <v>1</v>
      </c>
      <c r="BQ116" s="103" t="s">
        <v>1</v>
      </c>
    </row>
    <row r="117" spans="1:69" ht="7.5" customHeight="1" x14ac:dyDescent="0.25">
      <c r="A117" s="67">
        <v>117</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c r="BF117" s="30" t="s">
        <v>1</v>
      </c>
      <c r="BG117" s="37" t="s">
        <v>1</v>
      </c>
      <c r="BH117" s="102" t="s">
        <v>1</v>
      </c>
      <c r="BI117" s="103" t="s">
        <v>1</v>
      </c>
      <c r="BJ117" s="102" t="s">
        <v>1</v>
      </c>
      <c r="BK117" s="103" t="s">
        <v>1</v>
      </c>
      <c r="BL117" s="102" t="s">
        <v>1</v>
      </c>
      <c r="BM117" s="103" t="s">
        <v>1</v>
      </c>
      <c r="BN117" s="102" t="s">
        <v>1</v>
      </c>
      <c r="BO117" s="103" t="s">
        <v>1</v>
      </c>
      <c r="BP117" s="102" t="s">
        <v>1</v>
      </c>
      <c r="BQ117" s="103" t="s">
        <v>1</v>
      </c>
    </row>
    <row r="118" spans="1:69" ht="7.5" customHeight="1" x14ac:dyDescent="0.25">
      <c r="A118" s="67">
        <v>118</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c r="BF118" s="30" t="s">
        <v>1</v>
      </c>
      <c r="BG118" s="37" t="s">
        <v>1</v>
      </c>
      <c r="BH118" s="102" t="s">
        <v>1</v>
      </c>
      <c r="BI118" s="103" t="s">
        <v>1</v>
      </c>
      <c r="BJ118" s="102" t="s">
        <v>1</v>
      </c>
      <c r="BK118" s="103" t="s">
        <v>1</v>
      </c>
      <c r="BL118" s="102" t="s">
        <v>1</v>
      </c>
      <c r="BM118" s="103" t="s">
        <v>1</v>
      </c>
      <c r="BN118" s="102" t="s">
        <v>1</v>
      </c>
      <c r="BO118" s="103" t="s">
        <v>1</v>
      </c>
      <c r="BP118" s="102" t="s">
        <v>1</v>
      </c>
      <c r="BQ118" s="103" t="s">
        <v>1</v>
      </c>
    </row>
    <row r="119" spans="1:69" ht="7.5" customHeight="1" x14ac:dyDescent="0.25">
      <c r="A119" s="67">
        <v>119</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c r="BF119" s="30" t="s">
        <v>1</v>
      </c>
      <c r="BG119" s="37" t="s">
        <v>1</v>
      </c>
      <c r="BH119" s="102" t="s">
        <v>1</v>
      </c>
      <c r="BI119" s="103" t="s">
        <v>1</v>
      </c>
      <c r="BJ119" s="102" t="s">
        <v>1</v>
      </c>
      <c r="BK119" s="103" t="s">
        <v>1</v>
      </c>
      <c r="BL119" s="102" t="s">
        <v>1</v>
      </c>
      <c r="BM119" s="103" t="s">
        <v>1</v>
      </c>
      <c r="BN119" s="102" t="s">
        <v>1</v>
      </c>
      <c r="BO119" s="103" t="s">
        <v>1</v>
      </c>
      <c r="BP119" s="102" t="s">
        <v>1</v>
      </c>
      <c r="BQ119" s="103" t="s">
        <v>1</v>
      </c>
    </row>
    <row r="120" spans="1:69" ht="7.5" customHeight="1" x14ac:dyDescent="0.25">
      <c r="A120" s="67">
        <v>120</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c r="BF120" s="30" t="s">
        <v>1</v>
      </c>
      <c r="BG120" s="37" t="s">
        <v>1</v>
      </c>
      <c r="BH120" s="102" t="s">
        <v>1</v>
      </c>
      <c r="BI120" s="103" t="s">
        <v>1</v>
      </c>
      <c r="BJ120" s="102" t="s">
        <v>1</v>
      </c>
      <c r="BK120" s="103" t="s">
        <v>1</v>
      </c>
      <c r="BL120" s="102" t="s">
        <v>1</v>
      </c>
      <c r="BM120" s="103" t="s">
        <v>1</v>
      </c>
      <c r="BN120" s="102" t="s">
        <v>1</v>
      </c>
      <c r="BO120" s="103" t="s">
        <v>1</v>
      </c>
      <c r="BP120" s="102" t="s">
        <v>1</v>
      </c>
      <c r="BQ120" s="103" t="s">
        <v>1</v>
      </c>
    </row>
    <row r="121" spans="1:69" ht="7.5" customHeight="1" x14ac:dyDescent="0.25">
      <c r="A121" s="67">
        <v>121</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c r="BF121" s="30" t="s">
        <v>1</v>
      </c>
      <c r="BG121" s="37" t="s">
        <v>1</v>
      </c>
      <c r="BH121" s="102" t="s">
        <v>1</v>
      </c>
      <c r="BI121" s="103" t="s">
        <v>1</v>
      </c>
      <c r="BJ121" s="102" t="s">
        <v>1</v>
      </c>
      <c r="BK121" s="103" t="s">
        <v>1</v>
      </c>
      <c r="BL121" s="102" t="s">
        <v>1</v>
      </c>
      <c r="BM121" s="103" t="s">
        <v>1</v>
      </c>
      <c r="BN121" s="102" t="s">
        <v>1</v>
      </c>
      <c r="BO121" s="103" t="s">
        <v>1</v>
      </c>
      <c r="BP121" s="102" t="s">
        <v>1</v>
      </c>
      <c r="BQ121" s="103" t="s">
        <v>1</v>
      </c>
    </row>
    <row r="122" spans="1:69" ht="7.5" customHeight="1" x14ac:dyDescent="0.25">
      <c r="A122" s="67">
        <v>122</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c r="BF122" s="30" t="s">
        <v>1</v>
      </c>
      <c r="BG122" s="37" t="s">
        <v>1</v>
      </c>
      <c r="BH122" s="102" t="s">
        <v>1</v>
      </c>
      <c r="BI122" s="103" t="s">
        <v>1</v>
      </c>
      <c r="BJ122" s="102" t="s">
        <v>1</v>
      </c>
      <c r="BK122" s="103" t="s">
        <v>1</v>
      </c>
      <c r="BL122" s="102" t="s">
        <v>1</v>
      </c>
      <c r="BM122" s="103" t="s">
        <v>1</v>
      </c>
      <c r="BN122" s="102" t="s">
        <v>1</v>
      </c>
      <c r="BO122" s="103" t="s">
        <v>1</v>
      </c>
      <c r="BP122" s="102" t="s">
        <v>1</v>
      </c>
      <c r="BQ122" s="103" t="s">
        <v>1</v>
      </c>
    </row>
    <row r="123" spans="1:69" ht="7.5" customHeight="1" x14ac:dyDescent="0.25">
      <c r="A123" s="67">
        <v>123</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c r="BF123" s="30" t="s">
        <v>1</v>
      </c>
      <c r="BG123" s="37" t="s">
        <v>1</v>
      </c>
      <c r="BH123" s="102" t="s">
        <v>1</v>
      </c>
      <c r="BI123" s="103" t="s">
        <v>1</v>
      </c>
      <c r="BJ123" s="102" t="s">
        <v>1</v>
      </c>
      <c r="BK123" s="103" t="s">
        <v>1</v>
      </c>
      <c r="BL123" s="102" t="s">
        <v>1</v>
      </c>
      <c r="BM123" s="103" t="s">
        <v>1</v>
      </c>
      <c r="BN123" s="102" t="s">
        <v>1</v>
      </c>
      <c r="BO123" s="103" t="s">
        <v>1</v>
      </c>
      <c r="BP123" s="102" t="s">
        <v>1</v>
      </c>
      <c r="BQ123" s="103" t="s">
        <v>1</v>
      </c>
    </row>
    <row r="124" spans="1:69" ht="7.5" customHeight="1" x14ac:dyDescent="0.25">
      <c r="A124" s="67">
        <v>124</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c r="BF124" s="30" t="s">
        <v>1</v>
      </c>
      <c r="BG124" s="37" t="s">
        <v>1</v>
      </c>
      <c r="BH124" s="102" t="s">
        <v>1</v>
      </c>
      <c r="BI124" s="103" t="s">
        <v>1</v>
      </c>
      <c r="BJ124" s="102" t="s">
        <v>1</v>
      </c>
      <c r="BK124" s="103" t="s">
        <v>1</v>
      </c>
      <c r="BL124" s="102" t="s">
        <v>1</v>
      </c>
      <c r="BM124" s="103" t="s">
        <v>1</v>
      </c>
      <c r="BN124" s="102" t="s">
        <v>1</v>
      </c>
      <c r="BO124" s="103" t="s">
        <v>1</v>
      </c>
      <c r="BP124" s="102" t="s">
        <v>1</v>
      </c>
      <c r="BQ124" s="103" t="s">
        <v>1</v>
      </c>
    </row>
    <row r="125" spans="1:69" ht="7.5" customHeight="1" x14ac:dyDescent="0.25">
      <c r="A125" s="67">
        <v>125</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c r="BF125" s="30" t="s">
        <v>1</v>
      </c>
      <c r="BG125" s="37" t="s">
        <v>1</v>
      </c>
      <c r="BH125" s="102" t="s">
        <v>1</v>
      </c>
      <c r="BI125" s="103" t="s">
        <v>1</v>
      </c>
      <c r="BJ125" s="102" t="s">
        <v>1</v>
      </c>
      <c r="BK125" s="103" t="s">
        <v>1</v>
      </c>
      <c r="BL125" s="102" t="s">
        <v>1</v>
      </c>
      <c r="BM125" s="103" t="s">
        <v>1</v>
      </c>
      <c r="BN125" s="102" t="s">
        <v>1</v>
      </c>
      <c r="BO125" s="103" t="s">
        <v>1</v>
      </c>
      <c r="BP125" s="102" t="s">
        <v>1</v>
      </c>
      <c r="BQ125" s="103" t="s">
        <v>1</v>
      </c>
    </row>
    <row r="126" spans="1:69" ht="7.5" customHeight="1" x14ac:dyDescent="0.25">
      <c r="A126" s="67">
        <v>126</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c r="BF126" s="30" t="s">
        <v>1</v>
      </c>
      <c r="BG126" s="37" t="s">
        <v>1</v>
      </c>
      <c r="BH126" s="102" t="s">
        <v>1</v>
      </c>
      <c r="BI126" s="103" t="s">
        <v>1</v>
      </c>
      <c r="BJ126" s="102" t="s">
        <v>1</v>
      </c>
      <c r="BK126" s="103" t="s">
        <v>1</v>
      </c>
      <c r="BL126" s="102" t="s">
        <v>1</v>
      </c>
      <c r="BM126" s="103" t="s">
        <v>1</v>
      </c>
      <c r="BN126" s="102" t="s">
        <v>1</v>
      </c>
      <c r="BO126" s="103" t="s">
        <v>1</v>
      </c>
      <c r="BP126" s="102" t="s">
        <v>1</v>
      </c>
      <c r="BQ126" s="103" t="s">
        <v>1</v>
      </c>
    </row>
    <row r="127" spans="1:69" ht="7.5" customHeight="1" x14ac:dyDescent="0.25">
      <c r="A127" s="67">
        <v>127</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c r="BF127" s="30" t="s">
        <v>1</v>
      </c>
      <c r="BG127" s="37" t="s">
        <v>1</v>
      </c>
      <c r="BH127" s="102" t="s">
        <v>1</v>
      </c>
      <c r="BI127" s="103" t="s">
        <v>1</v>
      </c>
      <c r="BJ127" s="102" t="s">
        <v>1</v>
      </c>
      <c r="BK127" s="103" t="s">
        <v>1</v>
      </c>
      <c r="BL127" s="102" t="s">
        <v>1</v>
      </c>
      <c r="BM127" s="103" t="s">
        <v>1</v>
      </c>
      <c r="BN127" s="102" t="s">
        <v>1</v>
      </c>
      <c r="BO127" s="103" t="s">
        <v>1</v>
      </c>
      <c r="BP127" s="102" t="s">
        <v>1</v>
      </c>
      <c r="BQ127" s="103" t="s">
        <v>1</v>
      </c>
    </row>
    <row r="128" spans="1:69" ht="7.5" customHeight="1" x14ac:dyDescent="0.25">
      <c r="A128" s="67">
        <v>128</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c r="BF128" s="30" t="s">
        <v>1</v>
      </c>
      <c r="BG128" s="37" t="s">
        <v>1</v>
      </c>
      <c r="BH128" s="102" t="s">
        <v>1</v>
      </c>
      <c r="BI128" s="103" t="s">
        <v>1</v>
      </c>
      <c r="BJ128" s="102" t="s">
        <v>1</v>
      </c>
      <c r="BK128" s="103" t="s">
        <v>1</v>
      </c>
      <c r="BL128" s="102" t="s">
        <v>1</v>
      </c>
      <c r="BM128" s="103" t="s">
        <v>1</v>
      </c>
      <c r="BN128" s="102" t="s">
        <v>1</v>
      </c>
      <c r="BO128" s="103" t="s">
        <v>1</v>
      </c>
      <c r="BP128" s="102" t="s">
        <v>1</v>
      </c>
      <c r="BQ128" s="103" t="s">
        <v>1</v>
      </c>
    </row>
    <row r="129" spans="1:69" ht="7.5" customHeight="1" x14ac:dyDescent="0.25">
      <c r="A129" s="67">
        <v>129</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c r="BF129" s="30" t="s">
        <v>1</v>
      </c>
      <c r="BG129" s="37" t="s">
        <v>1</v>
      </c>
      <c r="BH129" s="102" t="s">
        <v>1</v>
      </c>
      <c r="BI129" s="103" t="s">
        <v>1</v>
      </c>
      <c r="BJ129" s="102" t="s">
        <v>1</v>
      </c>
      <c r="BK129" s="103" t="s">
        <v>1</v>
      </c>
      <c r="BL129" s="102" t="s">
        <v>1</v>
      </c>
      <c r="BM129" s="103" t="s">
        <v>1</v>
      </c>
      <c r="BN129" s="102" t="s">
        <v>1</v>
      </c>
      <c r="BO129" s="103" t="s">
        <v>1</v>
      </c>
      <c r="BP129" s="102" t="s">
        <v>1</v>
      </c>
      <c r="BQ129" s="103" t="s">
        <v>1</v>
      </c>
    </row>
    <row r="130" spans="1:69" ht="7.5" customHeight="1" x14ac:dyDescent="0.25">
      <c r="A130" s="67">
        <v>130</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c r="BF130" s="30" t="s">
        <v>1</v>
      </c>
      <c r="BG130" s="37" t="s">
        <v>1</v>
      </c>
      <c r="BH130" s="102" t="s">
        <v>1</v>
      </c>
      <c r="BI130" s="103" t="s">
        <v>1</v>
      </c>
      <c r="BJ130" s="102" t="s">
        <v>1</v>
      </c>
      <c r="BK130" s="103" t="s">
        <v>1</v>
      </c>
      <c r="BL130" s="102" t="s">
        <v>1</v>
      </c>
      <c r="BM130" s="103" t="s">
        <v>1</v>
      </c>
      <c r="BN130" s="102" t="s">
        <v>1</v>
      </c>
      <c r="BO130" s="103" t="s">
        <v>1</v>
      </c>
      <c r="BP130" s="102" t="s">
        <v>1</v>
      </c>
      <c r="BQ130" s="103" t="s">
        <v>1</v>
      </c>
    </row>
    <row r="131" spans="1:69" ht="7.5" customHeight="1" x14ac:dyDescent="0.25">
      <c r="A131" s="67">
        <v>131</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c r="BF131" s="30" t="s">
        <v>1</v>
      </c>
      <c r="BG131" s="37" t="s">
        <v>1</v>
      </c>
      <c r="BH131" s="102" t="s">
        <v>1</v>
      </c>
      <c r="BI131" s="103" t="s">
        <v>1</v>
      </c>
      <c r="BJ131" s="102" t="s">
        <v>1</v>
      </c>
      <c r="BK131" s="103" t="s">
        <v>1</v>
      </c>
      <c r="BL131" s="102" t="s">
        <v>1</v>
      </c>
      <c r="BM131" s="103" t="s">
        <v>1</v>
      </c>
      <c r="BN131" s="102" t="s">
        <v>1</v>
      </c>
      <c r="BO131" s="103" t="s">
        <v>1</v>
      </c>
      <c r="BP131" s="102" t="s">
        <v>1</v>
      </c>
      <c r="BQ131" s="103" t="s">
        <v>1</v>
      </c>
    </row>
    <row r="132" spans="1:69" ht="7.5" customHeight="1" x14ac:dyDescent="0.25">
      <c r="A132" s="67">
        <v>132</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c r="BF132" s="30" t="s">
        <v>1</v>
      </c>
      <c r="BG132" s="37" t="s">
        <v>1</v>
      </c>
      <c r="BH132" s="102" t="s">
        <v>1</v>
      </c>
      <c r="BI132" s="103" t="s">
        <v>1</v>
      </c>
      <c r="BJ132" s="102" t="s">
        <v>1</v>
      </c>
      <c r="BK132" s="103" t="s">
        <v>1</v>
      </c>
      <c r="BL132" s="102" t="s">
        <v>1</v>
      </c>
      <c r="BM132" s="103" t="s">
        <v>1</v>
      </c>
      <c r="BN132" s="102" t="s">
        <v>1</v>
      </c>
      <c r="BO132" s="103" t="s">
        <v>1</v>
      </c>
      <c r="BP132" s="102" t="s">
        <v>1</v>
      </c>
      <c r="BQ132" s="103" t="s">
        <v>1</v>
      </c>
    </row>
    <row r="133" spans="1:69" ht="7.5" customHeight="1" x14ac:dyDescent="0.25">
      <c r="A133" s="67">
        <v>133</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c r="BF133" s="30" t="s">
        <v>1</v>
      </c>
      <c r="BG133" s="37" t="s">
        <v>1</v>
      </c>
      <c r="BH133" s="102" t="s">
        <v>1</v>
      </c>
      <c r="BI133" s="103" t="s">
        <v>1</v>
      </c>
      <c r="BJ133" s="102" t="s">
        <v>1</v>
      </c>
      <c r="BK133" s="103" t="s">
        <v>1</v>
      </c>
      <c r="BL133" s="102" t="s">
        <v>1</v>
      </c>
      <c r="BM133" s="103" t="s">
        <v>1</v>
      </c>
      <c r="BN133" s="102" t="s">
        <v>1</v>
      </c>
      <c r="BO133" s="103" t="s">
        <v>1</v>
      </c>
      <c r="BP133" s="102" t="s">
        <v>1</v>
      </c>
      <c r="BQ133" s="103" t="s">
        <v>1</v>
      </c>
    </row>
    <row r="134" spans="1:69" ht="7.5" customHeight="1" x14ac:dyDescent="0.25">
      <c r="A134" s="67">
        <v>134</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c r="BF134" s="30" t="s">
        <v>1</v>
      </c>
      <c r="BG134" s="37" t="s">
        <v>1</v>
      </c>
      <c r="BH134" s="102" t="s">
        <v>1</v>
      </c>
      <c r="BI134" s="103" t="s">
        <v>1</v>
      </c>
      <c r="BJ134" s="102" t="s">
        <v>1</v>
      </c>
      <c r="BK134" s="103" t="s">
        <v>1</v>
      </c>
      <c r="BL134" s="102" t="s">
        <v>1</v>
      </c>
      <c r="BM134" s="103" t="s">
        <v>1</v>
      </c>
      <c r="BN134" s="102" t="s">
        <v>1</v>
      </c>
      <c r="BO134" s="103" t="s">
        <v>1</v>
      </c>
      <c r="BP134" s="102" t="s">
        <v>1</v>
      </c>
      <c r="BQ134" s="103" t="s">
        <v>1</v>
      </c>
    </row>
    <row r="135" spans="1:69" ht="7.5" customHeight="1" x14ac:dyDescent="0.25">
      <c r="A135" s="67">
        <v>135</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c r="BF135" s="30" t="s">
        <v>1</v>
      </c>
      <c r="BG135" s="37" t="s">
        <v>1</v>
      </c>
      <c r="BH135" s="102" t="s">
        <v>1</v>
      </c>
      <c r="BI135" s="103" t="s">
        <v>1</v>
      </c>
      <c r="BJ135" s="102" t="s">
        <v>1</v>
      </c>
      <c r="BK135" s="103" t="s">
        <v>1</v>
      </c>
      <c r="BL135" s="102" t="s">
        <v>1</v>
      </c>
      <c r="BM135" s="103" t="s">
        <v>1</v>
      </c>
      <c r="BN135" s="102" t="s">
        <v>1</v>
      </c>
      <c r="BO135" s="103" t="s">
        <v>1</v>
      </c>
      <c r="BP135" s="102" t="s">
        <v>1</v>
      </c>
      <c r="BQ135" s="103" t="s">
        <v>1</v>
      </c>
    </row>
    <row r="136" spans="1:69" ht="7.5" customHeight="1" x14ac:dyDescent="0.25">
      <c r="A136" s="67">
        <v>136</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c r="BF136" s="30" t="s">
        <v>1</v>
      </c>
      <c r="BG136" s="37" t="s">
        <v>1</v>
      </c>
      <c r="BH136" s="102" t="s">
        <v>1</v>
      </c>
      <c r="BI136" s="103" t="s">
        <v>1</v>
      </c>
      <c r="BJ136" s="102" t="s">
        <v>1</v>
      </c>
      <c r="BK136" s="103" t="s">
        <v>1</v>
      </c>
      <c r="BL136" s="102" t="s">
        <v>1</v>
      </c>
      <c r="BM136" s="103" t="s">
        <v>1</v>
      </c>
      <c r="BN136" s="102" t="s">
        <v>1</v>
      </c>
      <c r="BO136" s="103" t="s">
        <v>1</v>
      </c>
      <c r="BP136" s="102" t="s">
        <v>1</v>
      </c>
      <c r="BQ136" s="103" t="s">
        <v>1</v>
      </c>
    </row>
    <row r="137" spans="1:69" ht="7.5" customHeight="1" x14ac:dyDescent="0.25">
      <c r="A137" s="67">
        <v>137</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c r="BF137" s="30" t="s">
        <v>1</v>
      </c>
      <c r="BG137" s="37" t="s">
        <v>1</v>
      </c>
      <c r="BH137" s="102" t="s">
        <v>1</v>
      </c>
      <c r="BI137" s="103" t="s">
        <v>1</v>
      </c>
      <c r="BJ137" s="102" t="s">
        <v>1</v>
      </c>
      <c r="BK137" s="103" t="s">
        <v>1</v>
      </c>
      <c r="BL137" s="102" t="s">
        <v>1</v>
      </c>
      <c r="BM137" s="103" t="s">
        <v>1</v>
      </c>
      <c r="BN137" s="102" t="s">
        <v>1</v>
      </c>
      <c r="BO137" s="103" t="s">
        <v>1</v>
      </c>
      <c r="BP137" s="102" t="s">
        <v>1</v>
      </c>
      <c r="BQ137" s="103" t="s">
        <v>1</v>
      </c>
    </row>
    <row r="138" spans="1:69" ht="7.5" customHeight="1" x14ac:dyDescent="0.25">
      <c r="A138" s="67">
        <v>138</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c r="BF138" s="30" t="s">
        <v>1</v>
      </c>
      <c r="BG138" s="37" t="s">
        <v>1</v>
      </c>
      <c r="BH138" s="102" t="s">
        <v>1</v>
      </c>
      <c r="BI138" s="103" t="s">
        <v>1</v>
      </c>
      <c r="BJ138" s="102" t="s">
        <v>1</v>
      </c>
      <c r="BK138" s="103" t="s">
        <v>1</v>
      </c>
      <c r="BL138" s="102" t="s">
        <v>1</v>
      </c>
      <c r="BM138" s="103" t="s">
        <v>1</v>
      </c>
      <c r="BN138" s="102" t="s">
        <v>1</v>
      </c>
      <c r="BO138" s="103" t="s">
        <v>1</v>
      </c>
      <c r="BP138" s="102" t="s">
        <v>1</v>
      </c>
      <c r="BQ138" s="103" t="s">
        <v>1</v>
      </c>
    </row>
    <row r="139" spans="1:69" ht="7.5" customHeight="1" x14ac:dyDescent="0.25">
      <c r="A139" s="67">
        <v>139</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c r="BF139" s="30" t="s">
        <v>1</v>
      </c>
      <c r="BG139" s="37" t="s">
        <v>1</v>
      </c>
      <c r="BH139" s="102" t="s">
        <v>1</v>
      </c>
      <c r="BI139" s="103" t="s">
        <v>1</v>
      </c>
      <c r="BJ139" s="102" t="s">
        <v>1</v>
      </c>
      <c r="BK139" s="103" t="s">
        <v>1</v>
      </c>
      <c r="BL139" s="102" t="s">
        <v>1</v>
      </c>
      <c r="BM139" s="103" t="s">
        <v>1</v>
      </c>
      <c r="BN139" s="102" t="s">
        <v>1</v>
      </c>
      <c r="BO139" s="103" t="s">
        <v>1</v>
      </c>
      <c r="BP139" s="102" t="s">
        <v>1</v>
      </c>
      <c r="BQ139" s="103" t="s">
        <v>1</v>
      </c>
    </row>
    <row r="140" spans="1:69" ht="7.5" customHeight="1" x14ac:dyDescent="0.25">
      <c r="A140" s="67">
        <v>140</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c r="BF140" s="30" t="s">
        <v>1</v>
      </c>
      <c r="BG140" s="37" t="s">
        <v>1</v>
      </c>
      <c r="BH140" s="102" t="s">
        <v>1</v>
      </c>
      <c r="BI140" s="103" t="s">
        <v>1</v>
      </c>
      <c r="BJ140" s="102" t="s">
        <v>1</v>
      </c>
      <c r="BK140" s="103" t="s">
        <v>1</v>
      </c>
      <c r="BL140" s="102" t="s">
        <v>1</v>
      </c>
      <c r="BM140" s="103" t="s">
        <v>1</v>
      </c>
      <c r="BN140" s="102" t="s">
        <v>1</v>
      </c>
      <c r="BO140" s="103" t="s">
        <v>1</v>
      </c>
      <c r="BP140" s="102" t="s">
        <v>1</v>
      </c>
      <c r="BQ140" s="103" t="s">
        <v>1</v>
      </c>
    </row>
    <row r="141" spans="1:69" ht="7.5" customHeight="1" x14ac:dyDescent="0.25">
      <c r="A141" s="67">
        <v>141</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c r="BF141" s="30" t="s">
        <v>1</v>
      </c>
      <c r="BG141" s="37" t="s">
        <v>1</v>
      </c>
      <c r="BH141" s="102" t="s">
        <v>1</v>
      </c>
      <c r="BI141" s="103" t="s">
        <v>1</v>
      </c>
      <c r="BJ141" s="102" t="s">
        <v>1</v>
      </c>
      <c r="BK141" s="103" t="s">
        <v>1</v>
      </c>
      <c r="BL141" s="102" t="s">
        <v>1</v>
      </c>
      <c r="BM141" s="103" t="s">
        <v>1</v>
      </c>
      <c r="BN141" s="102" t="s">
        <v>1</v>
      </c>
      <c r="BO141" s="103" t="s">
        <v>1</v>
      </c>
      <c r="BP141" s="102" t="s">
        <v>1</v>
      </c>
      <c r="BQ141" s="103" t="s">
        <v>1</v>
      </c>
    </row>
    <row r="142" spans="1:69" ht="7.5" customHeight="1" x14ac:dyDescent="0.25">
      <c r="A142" s="67">
        <v>142</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c r="BF142" s="30" t="s">
        <v>1</v>
      </c>
      <c r="BG142" s="37" t="s">
        <v>1</v>
      </c>
      <c r="BH142" s="102" t="s">
        <v>1</v>
      </c>
      <c r="BI142" s="103" t="s">
        <v>1</v>
      </c>
      <c r="BJ142" s="102" t="s">
        <v>1</v>
      </c>
      <c r="BK142" s="103" t="s">
        <v>1</v>
      </c>
      <c r="BL142" s="102" t="s">
        <v>1</v>
      </c>
      <c r="BM142" s="103" t="s">
        <v>1</v>
      </c>
      <c r="BN142" s="102" t="s">
        <v>1</v>
      </c>
      <c r="BO142" s="103" t="s">
        <v>1</v>
      </c>
      <c r="BP142" s="102" t="s">
        <v>1</v>
      </c>
      <c r="BQ142" s="103" t="s">
        <v>1</v>
      </c>
    </row>
    <row r="143" spans="1:69" ht="7.5" customHeight="1" x14ac:dyDescent="0.25">
      <c r="A143" s="67">
        <v>143</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c r="BF143" s="30" t="s">
        <v>1</v>
      </c>
      <c r="BG143" s="37" t="s">
        <v>1</v>
      </c>
      <c r="BH143" s="102" t="s">
        <v>1</v>
      </c>
      <c r="BI143" s="103" t="s">
        <v>1</v>
      </c>
      <c r="BJ143" s="102" t="s">
        <v>1</v>
      </c>
      <c r="BK143" s="103" t="s">
        <v>1</v>
      </c>
      <c r="BL143" s="102" t="s">
        <v>1</v>
      </c>
      <c r="BM143" s="103" t="s">
        <v>1</v>
      </c>
      <c r="BN143" s="102" t="s">
        <v>1</v>
      </c>
      <c r="BO143" s="103" t="s">
        <v>1</v>
      </c>
      <c r="BP143" s="102" t="s">
        <v>1</v>
      </c>
      <c r="BQ143" s="103" t="s">
        <v>1</v>
      </c>
    </row>
    <row r="144" spans="1:69" ht="7.5" customHeight="1" x14ac:dyDescent="0.25">
      <c r="A144" s="67">
        <v>144</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c r="BF144" s="30" t="s">
        <v>1</v>
      </c>
      <c r="BG144" s="37" t="s">
        <v>1</v>
      </c>
      <c r="BH144" s="102" t="s">
        <v>1</v>
      </c>
      <c r="BI144" s="103" t="s">
        <v>1</v>
      </c>
      <c r="BJ144" s="102" t="s">
        <v>1</v>
      </c>
      <c r="BK144" s="103" t="s">
        <v>1</v>
      </c>
      <c r="BL144" s="102" t="s">
        <v>1</v>
      </c>
      <c r="BM144" s="103" t="s">
        <v>1</v>
      </c>
      <c r="BN144" s="102" t="s">
        <v>1</v>
      </c>
      <c r="BO144" s="103" t="s">
        <v>1</v>
      </c>
      <c r="BP144" s="102" t="s">
        <v>1</v>
      </c>
      <c r="BQ144" s="103" t="s">
        <v>1</v>
      </c>
    </row>
    <row r="145" spans="1:69" ht="7.5" customHeight="1" x14ac:dyDescent="0.25">
      <c r="A145" s="67">
        <v>145</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c r="BF145" s="30" t="s">
        <v>1</v>
      </c>
      <c r="BG145" s="37" t="s">
        <v>1</v>
      </c>
      <c r="BH145" s="102" t="s">
        <v>1</v>
      </c>
      <c r="BI145" s="103" t="s">
        <v>1</v>
      </c>
      <c r="BJ145" s="102" t="s">
        <v>1</v>
      </c>
      <c r="BK145" s="103" t="s">
        <v>1</v>
      </c>
      <c r="BL145" s="102" t="s">
        <v>1</v>
      </c>
      <c r="BM145" s="103" t="s">
        <v>1</v>
      </c>
      <c r="BN145" s="102" t="s">
        <v>1</v>
      </c>
      <c r="BO145" s="103" t="s">
        <v>1</v>
      </c>
      <c r="BP145" s="102" t="s">
        <v>1</v>
      </c>
      <c r="BQ145" s="103" t="s">
        <v>1</v>
      </c>
    </row>
    <row r="146" spans="1:69" ht="7.5" customHeight="1" x14ac:dyDescent="0.25">
      <c r="A146" s="67">
        <v>146</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c r="BF146" s="30" t="s">
        <v>1</v>
      </c>
      <c r="BG146" s="37" t="s">
        <v>1</v>
      </c>
      <c r="BH146" s="102" t="s">
        <v>1</v>
      </c>
      <c r="BI146" s="103" t="s">
        <v>1</v>
      </c>
      <c r="BJ146" s="102" t="s">
        <v>1</v>
      </c>
      <c r="BK146" s="103" t="s">
        <v>1</v>
      </c>
      <c r="BL146" s="102" t="s">
        <v>1</v>
      </c>
      <c r="BM146" s="103" t="s">
        <v>1</v>
      </c>
      <c r="BN146" s="102" t="s">
        <v>1</v>
      </c>
      <c r="BO146" s="103" t="s">
        <v>1</v>
      </c>
      <c r="BP146" s="102" t="s">
        <v>1</v>
      </c>
      <c r="BQ146" s="103" t="s">
        <v>1</v>
      </c>
    </row>
    <row r="147" spans="1:69" ht="7.5" customHeight="1" x14ac:dyDescent="0.25">
      <c r="A147" s="67">
        <v>147</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c r="BF147" s="30" t="s">
        <v>1</v>
      </c>
      <c r="BG147" s="37" t="s">
        <v>1</v>
      </c>
      <c r="BH147" s="102" t="s">
        <v>1</v>
      </c>
      <c r="BI147" s="103" t="s">
        <v>1</v>
      </c>
      <c r="BJ147" s="102" t="s">
        <v>1</v>
      </c>
      <c r="BK147" s="103" t="s">
        <v>1</v>
      </c>
      <c r="BL147" s="102" t="s">
        <v>1</v>
      </c>
      <c r="BM147" s="103" t="s">
        <v>1</v>
      </c>
      <c r="BN147" s="102" t="s">
        <v>1</v>
      </c>
      <c r="BO147" s="103" t="s">
        <v>1</v>
      </c>
      <c r="BP147" s="102" t="s">
        <v>1</v>
      </c>
      <c r="BQ147" s="103" t="s">
        <v>1</v>
      </c>
    </row>
    <row r="148" spans="1:69" ht="7.5" customHeight="1" x14ac:dyDescent="0.25">
      <c r="A148" s="67">
        <v>148</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c r="BF148" s="30" t="s">
        <v>1</v>
      </c>
      <c r="BG148" s="37" t="s">
        <v>1</v>
      </c>
      <c r="BH148" s="102" t="s">
        <v>1</v>
      </c>
      <c r="BI148" s="103" t="s">
        <v>1</v>
      </c>
      <c r="BJ148" s="102" t="s">
        <v>1</v>
      </c>
      <c r="BK148" s="103" t="s">
        <v>1</v>
      </c>
      <c r="BL148" s="102" t="s">
        <v>1</v>
      </c>
      <c r="BM148" s="103" t="s">
        <v>1</v>
      </c>
      <c r="BN148" s="102" t="s">
        <v>1</v>
      </c>
      <c r="BO148" s="103" t="s">
        <v>1</v>
      </c>
      <c r="BP148" s="102" t="s">
        <v>1</v>
      </c>
      <c r="BQ148" s="103" t="s">
        <v>1</v>
      </c>
    </row>
    <row r="149" spans="1:69" ht="7.5" customHeight="1" x14ac:dyDescent="0.25">
      <c r="A149" s="67">
        <v>149</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c r="BF149" s="30" t="s">
        <v>1</v>
      </c>
      <c r="BG149" s="37" t="s">
        <v>1</v>
      </c>
      <c r="BH149" s="102" t="s">
        <v>1</v>
      </c>
      <c r="BI149" s="103" t="s">
        <v>1</v>
      </c>
      <c r="BJ149" s="102" t="s">
        <v>1</v>
      </c>
      <c r="BK149" s="103" t="s">
        <v>1</v>
      </c>
      <c r="BL149" s="102" t="s">
        <v>1</v>
      </c>
      <c r="BM149" s="103" t="s">
        <v>1</v>
      </c>
      <c r="BN149" s="102" t="s">
        <v>1</v>
      </c>
      <c r="BO149" s="103" t="s">
        <v>1</v>
      </c>
      <c r="BP149" s="102" t="s">
        <v>1</v>
      </c>
      <c r="BQ149" s="103" t="s">
        <v>1</v>
      </c>
    </row>
    <row r="150" spans="1:69" ht="7.5" customHeight="1" x14ac:dyDescent="0.25">
      <c r="A150" s="67">
        <v>150</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c r="BF150" s="30" t="s">
        <v>1</v>
      </c>
      <c r="BG150" s="37" t="s">
        <v>1</v>
      </c>
      <c r="BH150" s="102" t="s">
        <v>1</v>
      </c>
      <c r="BI150" s="103" t="s">
        <v>1</v>
      </c>
      <c r="BJ150" s="102" t="s">
        <v>1</v>
      </c>
      <c r="BK150" s="103" t="s">
        <v>1</v>
      </c>
      <c r="BL150" s="102" t="s">
        <v>1</v>
      </c>
      <c r="BM150" s="103" t="s">
        <v>1</v>
      </c>
      <c r="BN150" s="102" t="s">
        <v>1</v>
      </c>
      <c r="BO150" s="103" t="s">
        <v>1</v>
      </c>
      <c r="BP150" s="102" t="s">
        <v>1</v>
      </c>
      <c r="BQ150" s="103" t="s">
        <v>1</v>
      </c>
    </row>
    <row r="151" spans="1:69" ht="7.5" customHeight="1" x14ac:dyDescent="0.25">
      <c r="A151" s="67">
        <v>151</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c r="BF151" s="30" t="s">
        <v>1</v>
      </c>
      <c r="BG151" s="37" t="s">
        <v>1</v>
      </c>
      <c r="BH151" s="102" t="s">
        <v>1</v>
      </c>
      <c r="BI151" s="103" t="s">
        <v>1</v>
      </c>
      <c r="BJ151" s="102" t="s">
        <v>1</v>
      </c>
      <c r="BK151" s="103" t="s">
        <v>1</v>
      </c>
      <c r="BL151" s="102" t="s">
        <v>1</v>
      </c>
      <c r="BM151" s="103" t="s">
        <v>1</v>
      </c>
      <c r="BN151" s="102" t="s">
        <v>1</v>
      </c>
      <c r="BO151" s="103" t="s">
        <v>1</v>
      </c>
      <c r="BP151" s="102" t="s">
        <v>1</v>
      </c>
      <c r="BQ151" s="103" t="s">
        <v>1</v>
      </c>
    </row>
    <row r="152" spans="1:69" ht="7.5" customHeight="1" x14ac:dyDescent="0.25">
      <c r="A152" s="67">
        <v>152</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c r="BF152" s="30" t="s">
        <v>1</v>
      </c>
      <c r="BG152" s="37" t="s">
        <v>1</v>
      </c>
      <c r="BH152" s="102" t="s">
        <v>1</v>
      </c>
      <c r="BI152" s="103" t="s">
        <v>1</v>
      </c>
      <c r="BJ152" s="102" t="s">
        <v>1</v>
      </c>
      <c r="BK152" s="103" t="s">
        <v>1</v>
      </c>
      <c r="BL152" s="102" t="s">
        <v>1</v>
      </c>
      <c r="BM152" s="103" t="s">
        <v>1</v>
      </c>
      <c r="BN152" s="102" t="s">
        <v>1</v>
      </c>
      <c r="BO152" s="103" t="s">
        <v>1</v>
      </c>
      <c r="BP152" s="102" t="s">
        <v>1</v>
      </c>
      <c r="BQ152" s="103" t="s">
        <v>1</v>
      </c>
    </row>
    <row r="153" spans="1:69" ht="7.5" customHeight="1" x14ac:dyDescent="0.25">
      <c r="A153" s="67">
        <v>153</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c r="BF153" s="30" t="s">
        <v>1</v>
      </c>
      <c r="BG153" s="37" t="s">
        <v>1</v>
      </c>
      <c r="BH153" s="102" t="s">
        <v>1</v>
      </c>
      <c r="BI153" s="103" t="s">
        <v>1</v>
      </c>
      <c r="BJ153" s="102" t="s">
        <v>1</v>
      </c>
      <c r="BK153" s="103" t="s">
        <v>1</v>
      </c>
      <c r="BL153" s="102" t="s">
        <v>1</v>
      </c>
      <c r="BM153" s="103" t="s">
        <v>1</v>
      </c>
      <c r="BN153" s="102" t="s">
        <v>1</v>
      </c>
      <c r="BO153" s="103" t="s">
        <v>1</v>
      </c>
      <c r="BP153" s="102" t="s">
        <v>1</v>
      </c>
      <c r="BQ153" s="103" t="s">
        <v>1</v>
      </c>
    </row>
    <row r="154" spans="1:69" ht="7.5" customHeight="1" x14ac:dyDescent="0.25">
      <c r="A154" s="67">
        <v>154</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c r="BF154" s="30" t="s">
        <v>1</v>
      </c>
      <c r="BG154" s="37" t="s">
        <v>1</v>
      </c>
      <c r="BH154" s="102" t="s">
        <v>1</v>
      </c>
      <c r="BI154" s="103" t="s">
        <v>1</v>
      </c>
      <c r="BJ154" s="102" t="s">
        <v>1</v>
      </c>
      <c r="BK154" s="103" t="s">
        <v>1</v>
      </c>
      <c r="BL154" s="102" t="s">
        <v>1</v>
      </c>
      <c r="BM154" s="103" t="s">
        <v>1</v>
      </c>
      <c r="BN154" s="102" t="s">
        <v>1</v>
      </c>
      <c r="BO154" s="103" t="s">
        <v>1</v>
      </c>
      <c r="BP154" s="102" t="s">
        <v>1</v>
      </c>
      <c r="BQ154" s="103" t="s">
        <v>1</v>
      </c>
    </row>
    <row r="155" spans="1:69" ht="7.5" customHeight="1" x14ac:dyDescent="0.25">
      <c r="A155" s="67">
        <v>155</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c r="BF155" s="30" t="s">
        <v>1</v>
      </c>
      <c r="BG155" s="37" t="s">
        <v>1</v>
      </c>
      <c r="BH155" s="102" t="s">
        <v>1</v>
      </c>
      <c r="BI155" s="103" t="s">
        <v>1</v>
      </c>
      <c r="BJ155" s="102" t="s">
        <v>1</v>
      </c>
      <c r="BK155" s="103" t="s">
        <v>1</v>
      </c>
      <c r="BL155" s="102" t="s">
        <v>1</v>
      </c>
      <c r="BM155" s="103" t="s">
        <v>1</v>
      </c>
      <c r="BN155" s="102" t="s">
        <v>1</v>
      </c>
      <c r="BO155" s="103" t="s">
        <v>1</v>
      </c>
      <c r="BP155" s="102" t="s">
        <v>1</v>
      </c>
      <c r="BQ155" s="103" t="s">
        <v>1</v>
      </c>
    </row>
    <row r="156" spans="1:69" ht="7.5" customHeight="1" x14ac:dyDescent="0.25">
      <c r="A156" s="67">
        <v>156</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c r="BF156" s="30" t="s">
        <v>1</v>
      </c>
      <c r="BG156" s="37" t="s">
        <v>1</v>
      </c>
      <c r="BH156" s="102" t="s">
        <v>1</v>
      </c>
      <c r="BI156" s="103" t="s">
        <v>1</v>
      </c>
      <c r="BJ156" s="102" t="s">
        <v>1</v>
      </c>
      <c r="BK156" s="103" t="s">
        <v>1</v>
      </c>
      <c r="BL156" s="102" t="s">
        <v>1</v>
      </c>
      <c r="BM156" s="103" t="s">
        <v>1</v>
      </c>
      <c r="BN156" s="102" t="s">
        <v>1</v>
      </c>
      <c r="BO156" s="103" t="s">
        <v>1</v>
      </c>
      <c r="BP156" s="102" t="s">
        <v>1</v>
      </c>
      <c r="BQ156" s="103" t="s">
        <v>1</v>
      </c>
    </row>
    <row r="157" spans="1:69" ht="7.5" customHeight="1" x14ac:dyDescent="0.25">
      <c r="A157" s="67">
        <v>157</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c r="BF157" s="30" t="s">
        <v>1</v>
      </c>
      <c r="BG157" s="37" t="s">
        <v>1</v>
      </c>
      <c r="BH157" s="102" t="s">
        <v>1</v>
      </c>
      <c r="BI157" s="103" t="s">
        <v>1</v>
      </c>
      <c r="BJ157" s="102" t="s">
        <v>1</v>
      </c>
      <c r="BK157" s="103" t="s">
        <v>1</v>
      </c>
      <c r="BL157" s="102" t="s">
        <v>1</v>
      </c>
      <c r="BM157" s="103" t="s">
        <v>1</v>
      </c>
      <c r="BN157" s="102" t="s">
        <v>1</v>
      </c>
      <c r="BO157" s="103" t="s">
        <v>1</v>
      </c>
      <c r="BP157" s="102" t="s">
        <v>1</v>
      </c>
      <c r="BQ157" s="103" t="s">
        <v>1</v>
      </c>
    </row>
    <row r="158" spans="1:69" ht="7.5" customHeight="1" x14ac:dyDescent="0.25">
      <c r="A158" s="67">
        <v>158</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c r="BF158" s="30" t="s">
        <v>1</v>
      </c>
      <c r="BG158" s="37" t="s">
        <v>1</v>
      </c>
      <c r="BH158" s="102" t="s">
        <v>1</v>
      </c>
      <c r="BI158" s="103" t="s">
        <v>1</v>
      </c>
      <c r="BJ158" s="102" t="s">
        <v>1</v>
      </c>
      <c r="BK158" s="103" t="s">
        <v>1</v>
      </c>
      <c r="BL158" s="102" t="s">
        <v>1</v>
      </c>
      <c r="BM158" s="103" t="s">
        <v>1</v>
      </c>
      <c r="BN158" s="102" t="s">
        <v>1</v>
      </c>
      <c r="BO158" s="103" t="s">
        <v>1</v>
      </c>
      <c r="BP158" s="102" t="s">
        <v>1</v>
      </c>
      <c r="BQ158" s="103" t="s">
        <v>1</v>
      </c>
    </row>
    <row r="159" spans="1:69" ht="7.5" customHeight="1" x14ac:dyDescent="0.25">
      <c r="A159" s="67">
        <v>159</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c r="BF159" s="30" t="s">
        <v>1</v>
      </c>
      <c r="BG159" s="37" t="s">
        <v>1</v>
      </c>
      <c r="BH159" s="102" t="s">
        <v>1</v>
      </c>
      <c r="BI159" s="103" t="s">
        <v>1</v>
      </c>
      <c r="BJ159" s="102" t="s">
        <v>1</v>
      </c>
      <c r="BK159" s="103" t="s">
        <v>1</v>
      </c>
      <c r="BL159" s="102" t="s">
        <v>1</v>
      </c>
      <c r="BM159" s="103" t="s">
        <v>1</v>
      </c>
      <c r="BN159" s="102" t="s">
        <v>1</v>
      </c>
      <c r="BO159" s="103" t="s">
        <v>1</v>
      </c>
      <c r="BP159" s="102" t="s">
        <v>1</v>
      </c>
      <c r="BQ159" s="103" t="s">
        <v>1</v>
      </c>
    </row>
    <row r="160" spans="1:69" ht="7.5" customHeight="1" x14ac:dyDescent="0.25">
      <c r="A160" s="67">
        <v>160</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c r="BF160" s="30" t="s">
        <v>1</v>
      </c>
      <c r="BG160" s="37" t="s">
        <v>1</v>
      </c>
      <c r="BH160" s="102" t="s">
        <v>1</v>
      </c>
      <c r="BI160" s="103" t="s">
        <v>1</v>
      </c>
      <c r="BJ160" s="102" t="s">
        <v>1</v>
      </c>
      <c r="BK160" s="103" t="s">
        <v>1</v>
      </c>
      <c r="BL160" s="102" t="s">
        <v>1</v>
      </c>
      <c r="BM160" s="103" t="s">
        <v>1</v>
      </c>
      <c r="BN160" s="102" t="s">
        <v>1</v>
      </c>
      <c r="BO160" s="103" t="s">
        <v>1</v>
      </c>
      <c r="BP160" s="102" t="s">
        <v>1</v>
      </c>
      <c r="BQ160" s="103" t="s">
        <v>1</v>
      </c>
    </row>
    <row r="161" spans="1:69" ht="7.5" customHeight="1" x14ac:dyDescent="0.25">
      <c r="A161" s="67">
        <v>161</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c r="BF161" s="30" t="s">
        <v>1</v>
      </c>
      <c r="BG161" s="37" t="s">
        <v>1</v>
      </c>
      <c r="BH161" s="102" t="s">
        <v>1</v>
      </c>
      <c r="BI161" s="103" t="s">
        <v>1</v>
      </c>
      <c r="BJ161" s="102" t="s">
        <v>1</v>
      </c>
      <c r="BK161" s="103" t="s">
        <v>1</v>
      </c>
      <c r="BL161" s="102" t="s">
        <v>1</v>
      </c>
      <c r="BM161" s="103" t="s">
        <v>1</v>
      </c>
      <c r="BN161" s="102" t="s">
        <v>1</v>
      </c>
      <c r="BO161" s="103" t="s">
        <v>1</v>
      </c>
      <c r="BP161" s="102" t="s">
        <v>1</v>
      </c>
      <c r="BQ161" s="103" t="s">
        <v>1</v>
      </c>
    </row>
    <row r="162" spans="1:69" ht="7.5" customHeight="1" x14ac:dyDescent="0.25">
      <c r="A162" s="67">
        <v>162</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c r="BF162" s="30" t="s">
        <v>1</v>
      </c>
      <c r="BG162" s="37" t="s">
        <v>1</v>
      </c>
      <c r="BH162" s="102" t="s">
        <v>1</v>
      </c>
      <c r="BI162" s="103" t="s">
        <v>1</v>
      </c>
      <c r="BJ162" s="102" t="s">
        <v>1</v>
      </c>
      <c r="BK162" s="103" t="s">
        <v>1</v>
      </c>
      <c r="BL162" s="102" t="s">
        <v>1</v>
      </c>
      <c r="BM162" s="103" t="s">
        <v>1</v>
      </c>
      <c r="BN162" s="102" t="s">
        <v>1</v>
      </c>
      <c r="BO162" s="103" t="s">
        <v>1</v>
      </c>
      <c r="BP162" s="102" t="s">
        <v>1</v>
      </c>
      <c r="BQ162" s="103" t="s">
        <v>1</v>
      </c>
    </row>
    <row r="163" spans="1:69" ht="7.5" customHeight="1" x14ac:dyDescent="0.25">
      <c r="A163" s="67">
        <v>163</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c r="BF163" s="30" t="s">
        <v>1</v>
      </c>
      <c r="BG163" s="37" t="s">
        <v>1</v>
      </c>
      <c r="BH163" s="102" t="s">
        <v>1</v>
      </c>
      <c r="BI163" s="103" t="s">
        <v>1</v>
      </c>
      <c r="BJ163" s="102" t="s">
        <v>1</v>
      </c>
      <c r="BK163" s="103" t="s">
        <v>1</v>
      </c>
      <c r="BL163" s="102" t="s">
        <v>1</v>
      </c>
      <c r="BM163" s="103" t="s">
        <v>1</v>
      </c>
      <c r="BN163" s="102" t="s">
        <v>1</v>
      </c>
      <c r="BO163" s="103" t="s">
        <v>1</v>
      </c>
      <c r="BP163" s="102" t="s">
        <v>1</v>
      </c>
      <c r="BQ163" s="103" t="s">
        <v>1</v>
      </c>
    </row>
    <row r="164" spans="1:69" ht="7.5" customHeight="1" x14ac:dyDescent="0.25">
      <c r="A164" s="67">
        <v>164</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c r="BF164" s="30" t="s">
        <v>1</v>
      </c>
      <c r="BG164" s="37" t="s">
        <v>1</v>
      </c>
      <c r="BH164" s="102" t="s">
        <v>1</v>
      </c>
      <c r="BI164" s="103" t="s">
        <v>1</v>
      </c>
      <c r="BJ164" s="102" t="s">
        <v>1</v>
      </c>
      <c r="BK164" s="103" t="s">
        <v>1</v>
      </c>
      <c r="BL164" s="102" t="s">
        <v>1</v>
      </c>
      <c r="BM164" s="103" t="s">
        <v>1</v>
      </c>
      <c r="BN164" s="102" t="s">
        <v>1</v>
      </c>
      <c r="BO164" s="103" t="s">
        <v>1</v>
      </c>
      <c r="BP164" s="102" t="s">
        <v>1</v>
      </c>
      <c r="BQ164" s="103" t="s">
        <v>1</v>
      </c>
    </row>
    <row r="165" spans="1:69" ht="7.5" customHeight="1" x14ac:dyDescent="0.25">
      <c r="A165" s="67">
        <v>165</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c r="BF165" s="30" t="s">
        <v>1</v>
      </c>
      <c r="BG165" s="37" t="s">
        <v>1</v>
      </c>
      <c r="BH165" s="102" t="s">
        <v>1</v>
      </c>
      <c r="BI165" s="103" t="s">
        <v>1</v>
      </c>
      <c r="BJ165" s="102" t="s">
        <v>1</v>
      </c>
      <c r="BK165" s="103" t="s">
        <v>1</v>
      </c>
      <c r="BL165" s="102" t="s">
        <v>1</v>
      </c>
      <c r="BM165" s="103" t="s">
        <v>1</v>
      </c>
      <c r="BN165" s="102" t="s">
        <v>1</v>
      </c>
      <c r="BO165" s="103" t="s">
        <v>1</v>
      </c>
      <c r="BP165" s="102" t="s">
        <v>1</v>
      </c>
      <c r="BQ165" s="103" t="s">
        <v>1</v>
      </c>
    </row>
    <row r="166" spans="1:69" ht="7.5" customHeight="1" x14ac:dyDescent="0.25">
      <c r="A166" s="67">
        <v>166</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c r="BF166" s="30" t="s">
        <v>1</v>
      </c>
      <c r="BG166" s="37" t="s">
        <v>1</v>
      </c>
      <c r="BH166" s="102" t="s">
        <v>1</v>
      </c>
      <c r="BI166" s="103" t="s">
        <v>1</v>
      </c>
      <c r="BJ166" s="102" t="s">
        <v>1</v>
      </c>
      <c r="BK166" s="103" t="s">
        <v>1</v>
      </c>
      <c r="BL166" s="102" t="s">
        <v>1</v>
      </c>
      <c r="BM166" s="103" t="s">
        <v>1</v>
      </c>
      <c r="BN166" s="102" t="s">
        <v>1</v>
      </c>
      <c r="BO166" s="103" t="s">
        <v>1</v>
      </c>
      <c r="BP166" s="102" t="s">
        <v>1</v>
      </c>
      <c r="BQ166" s="103" t="s">
        <v>1</v>
      </c>
    </row>
    <row r="167" spans="1:69" ht="7.5" customHeight="1" x14ac:dyDescent="0.25">
      <c r="A167" s="67">
        <v>167</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c r="BF167" s="30" t="s">
        <v>1</v>
      </c>
      <c r="BG167" s="37" t="s">
        <v>1</v>
      </c>
      <c r="BH167" s="102" t="s">
        <v>1</v>
      </c>
      <c r="BI167" s="103" t="s">
        <v>1</v>
      </c>
      <c r="BJ167" s="102" t="s">
        <v>1</v>
      </c>
      <c r="BK167" s="103" t="s">
        <v>1</v>
      </c>
      <c r="BL167" s="102" t="s">
        <v>1</v>
      </c>
      <c r="BM167" s="103" t="s">
        <v>1</v>
      </c>
      <c r="BN167" s="102" t="s">
        <v>1</v>
      </c>
      <c r="BO167" s="103" t="s">
        <v>1</v>
      </c>
      <c r="BP167" s="102" t="s">
        <v>1</v>
      </c>
      <c r="BQ167" s="103" t="s">
        <v>1</v>
      </c>
    </row>
    <row r="168" spans="1:69" ht="7.5" customHeight="1" x14ac:dyDescent="0.25">
      <c r="A168" s="67">
        <v>168</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c r="BF168" s="30" t="s">
        <v>1</v>
      </c>
      <c r="BG168" s="37" t="s">
        <v>1</v>
      </c>
      <c r="BH168" s="102" t="s">
        <v>1</v>
      </c>
      <c r="BI168" s="103" t="s">
        <v>1</v>
      </c>
      <c r="BJ168" s="102" t="s">
        <v>1</v>
      </c>
      <c r="BK168" s="103" t="s">
        <v>1</v>
      </c>
      <c r="BL168" s="102" t="s">
        <v>1</v>
      </c>
      <c r="BM168" s="103" t="s">
        <v>1</v>
      </c>
      <c r="BN168" s="102" t="s">
        <v>1</v>
      </c>
      <c r="BO168" s="103" t="s">
        <v>1</v>
      </c>
      <c r="BP168" s="102" t="s">
        <v>1</v>
      </c>
      <c r="BQ168" s="103" t="s">
        <v>1</v>
      </c>
    </row>
    <row r="169" spans="1:69" ht="7.5" customHeight="1" x14ac:dyDescent="0.25">
      <c r="A169" s="67">
        <v>169</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c r="BF169" s="30" t="s">
        <v>1</v>
      </c>
      <c r="BG169" s="37" t="s">
        <v>1</v>
      </c>
      <c r="BH169" s="102" t="s">
        <v>1</v>
      </c>
      <c r="BI169" s="103" t="s">
        <v>1</v>
      </c>
      <c r="BJ169" s="102" t="s">
        <v>1</v>
      </c>
      <c r="BK169" s="103" t="s">
        <v>1</v>
      </c>
      <c r="BL169" s="102" t="s">
        <v>1</v>
      </c>
      <c r="BM169" s="103" t="s">
        <v>1</v>
      </c>
      <c r="BN169" s="102" t="s">
        <v>1</v>
      </c>
      <c r="BO169" s="103" t="s">
        <v>1</v>
      </c>
      <c r="BP169" s="102" t="s">
        <v>1</v>
      </c>
      <c r="BQ169" s="103" t="s">
        <v>1</v>
      </c>
    </row>
    <row r="170" spans="1:69" ht="7.5" customHeight="1" x14ac:dyDescent="0.25">
      <c r="A170" s="67">
        <v>170</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c r="BF170" s="30" t="s">
        <v>1</v>
      </c>
      <c r="BG170" s="37" t="s">
        <v>1</v>
      </c>
      <c r="BH170" s="102" t="s">
        <v>1</v>
      </c>
      <c r="BI170" s="103" t="s">
        <v>1</v>
      </c>
      <c r="BJ170" s="102" t="s">
        <v>1</v>
      </c>
      <c r="BK170" s="103" t="s">
        <v>1</v>
      </c>
      <c r="BL170" s="102" t="s">
        <v>1</v>
      </c>
      <c r="BM170" s="103" t="s">
        <v>1</v>
      </c>
      <c r="BN170" s="102" t="s">
        <v>1</v>
      </c>
      <c r="BO170" s="103" t="s">
        <v>1</v>
      </c>
      <c r="BP170" s="102" t="s">
        <v>1</v>
      </c>
      <c r="BQ170" s="103" t="s">
        <v>1</v>
      </c>
    </row>
    <row r="171" spans="1:69" ht="7.5" customHeight="1" x14ac:dyDescent="0.25">
      <c r="A171" s="67">
        <v>171</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c r="BF171" s="30" t="s">
        <v>1</v>
      </c>
      <c r="BG171" s="37" t="s">
        <v>1</v>
      </c>
      <c r="BH171" s="102" t="s">
        <v>1</v>
      </c>
      <c r="BI171" s="103" t="s">
        <v>1</v>
      </c>
      <c r="BJ171" s="102" t="s">
        <v>1</v>
      </c>
      <c r="BK171" s="103" t="s">
        <v>1</v>
      </c>
      <c r="BL171" s="102" t="s">
        <v>1</v>
      </c>
      <c r="BM171" s="103" t="s">
        <v>1</v>
      </c>
      <c r="BN171" s="102" t="s">
        <v>1</v>
      </c>
      <c r="BO171" s="103" t="s">
        <v>1</v>
      </c>
      <c r="BP171" s="102" t="s">
        <v>1</v>
      </c>
      <c r="BQ171" s="103" t="s">
        <v>1</v>
      </c>
    </row>
    <row r="172" spans="1:69" ht="7.5" customHeight="1" x14ac:dyDescent="0.25">
      <c r="A172" s="67">
        <v>172</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c r="BF172" s="30" t="s">
        <v>1</v>
      </c>
      <c r="BG172" s="37" t="s">
        <v>1</v>
      </c>
      <c r="BH172" s="102" t="s">
        <v>1</v>
      </c>
      <c r="BI172" s="103" t="s">
        <v>1</v>
      </c>
      <c r="BJ172" s="102" t="s">
        <v>1</v>
      </c>
      <c r="BK172" s="103" t="s">
        <v>1</v>
      </c>
      <c r="BL172" s="102" t="s">
        <v>1</v>
      </c>
      <c r="BM172" s="103" t="s">
        <v>1</v>
      </c>
      <c r="BN172" s="102" t="s">
        <v>1</v>
      </c>
      <c r="BO172" s="103" t="s">
        <v>1</v>
      </c>
      <c r="BP172" s="102" t="s">
        <v>1</v>
      </c>
      <c r="BQ172" s="103" t="s">
        <v>1</v>
      </c>
    </row>
    <row r="173" spans="1:69" ht="7.5" customHeight="1" x14ac:dyDescent="0.25">
      <c r="A173" s="67">
        <v>173</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c r="BF173" s="30" t="s">
        <v>1</v>
      </c>
      <c r="BG173" s="37" t="s">
        <v>1</v>
      </c>
      <c r="BH173" s="102" t="s">
        <v>1</v>
      </c>
      <c r="BI173" s="103" t="s">
        <v>1</v>
      </c>
      <c r="BJ173" s="102" t="s">
        <v>1</v>
      </c>
      <c r="BK173" s="103" t="s">
        <v>1</v>
      </c>
      <c r="BL173" s="102" t="s">
        <v>1</v>
      </c>
      <c r="BM173" s="103" t="s">
        <v>1</v>
      </c>
      <c r="BN173" s="102" t="s">
        <v>1</v>
      </c>
      <c r="BO173" s="103" t="s">
        <v>1</v>
      </c>
      <c r="BP173" s="102" t="s">
        <v>1</v>
      </c>
      <c r="BQ173" s="103" t="s">
        <v>1</v>
      </c>
    </row>
    <row r="174" spans="1:69" ht="7.5" customHeight="1" x14ac:dyDescent="0.25">
      <c r="A174" s="67">
        <v>174</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c r="BF174" s="30" t="s">
        <v>1</v>
      </c>
      <c r="BG174" s="37" t="s">
        <v>1</v>
      </c>
      <c r="BH174" s="102" t="s">
        <v>1</v>
      </c>
      <c r="BI174" s="103" t="s">
        <v>1</v>
      </c>
      <c r="BJ174" s="102" t="s">
        <v>1</v>
      </c>
      <c r="BK174" s="103" t="s">
        <v>1</v>
      </c>
      <c r="BL174" s="102" t="s">
        <v>1</v>
      </c>
      <c r="BM174" s="103" t="s">
        <v>1</v>
      </c>
      <c r="BN174" s="102" t="s">
        <v>1</v>
      </c>
      <c r="BO174" s="103" t="s">
        <v>1</v>
      </c>
      <c r="BP174" s="102" t="s">
        <v>1</v>
      </c>
      <c r="BQ174" s="103" t="s">
        <v>1</v>
      </c>
    </row>
    <row r="175" spans="1:69" ht="7.5" customHeight="1" x14ac:dyDescent="0.25">
      <c r="A175" s="67">
        <v>175</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c r="BF175" s="30" t="s">
        <v>1</v>
      </c>
      <c r="BG175" s="37" t="s">
        <v>1</v>
      </c>
      <c r="BH175" s="102" t="s">
        <v>1</v>
      </c>
      <c r="BI175" s="103" t="s">
        <v>1</v>
      </c>
      <c r="BJ175" s="102" t="s">
        <v>1</v>
      </c>
      <c r="BK175" s="103" t="s">
        <v>1</v>
      </c>
      <c r="BL175" s="102" t="s">
        <v>1</v>
      </c>
      <c r="BM175" s="103" t="s">
        <v>1</v>
      </c>
      <c r="BN175" s="102" t="s">
        <v>1</v>
      </c>
      <c r="BO175" s="103" t="s">
        <v>1</v>
      </c>
      <c r="BP175" s="102" t="s">
        <v>1</v>
      </c>
      <c r="BQ175" s="103" t="s">
        <v>1</v>
      </c>
    </row>
    <row r="176" spans="1:69" ht="7.5" customHeight="1" x14ac:dyDescent="0.25">
      <c r="A176" s="67">
        <v>176</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c r="BF176" s="30" t="s">
        <v>1</v>
      </c>
      <c r="BG176" s="37" t="s">
        <v>1</v>
      </c>
      <c r="BH176" s="102" t="s">
        <v>1</v>
      </c>
      <c r="BI176" s="103" t="s">
        <v>1</v>
      </c>
      <c r="BJ176" s="102" t="s">
        <v>1</v>
      </c>
      <c r="BK176" s="103" t="s">
        <v>1</v>
      </c>
      <c r="BL176" s="102" t="s">
        <v>1</v>
      </c>
      <c r="BM176" s="103" t="s">
        <v>1</v>
      </c>
      <c r="BN176" s="102" t="s">
        <v>1</v>
      </c>
      <c r="BO176" s="103" t="s">
        <v>1</v>
      </c>
      <c r="BP176" s="102" t="s">
        <v>1</v>
      </c>
      <c r="BQ176" s="103" t="s">
        <v>1</v>
      </c>
    </row>
    <row r="177" spans="1:69" ht="7.5" customHeight="1" x14ac:dyDescent="0.25">
      <c r="A177" s="67">
        <v>177</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c r="BF177" s="30" t="s">
        <v>1</v>
      </c>
      <c r="BG177" s="37" t="s">
        <v>1</v>
      </c>
      <c r="BH177" s="102" t="s">
        <v>1</v>
      </c>
      <c r="BI177" s="103" t="s">
        <v>1</v>
      </c>
      <c r="BJ177" s="102" t="s">
        <v>1</v>
      </c>
      <c r="BK177" s="103" t="s">
        <v>1</v>
      </c>
      <c r="BL177" s="102" t="s">
        <v>1</v>
      </c>
      <c r="BM177" s="103" t="s">
        <v>1</v>
      </c>
      <c r="BN177" s="102" t="s">
        <v>1</v>
      </c>
      <c r="BO177" s="103" t="s">
        <v>1</v>
      </c>
      <c r="BP177" s="102" t="s">
        <v>1</v>
      </c>
      <c r="BQ177" s="103" t="s">
        <v>1</v>
      </c>
    </row>
    <row r="178" spans="1:69" ht="7.5" customHeight="1" x14ac:dyDescent="0.25">
      <c r="A178" s="67">
        <v>178</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c r="BF178" s="30" t="s">
        <v>1</v>
      </c>
      <c r="BG178" s="37" t="s">
        <v>1</v>
      </c>
      <c r="BH178" s="102" t="s">
        <v>1</v>
      </c>
      <c r="BI178" s="103" t="s">
        <v>1</v>
      </c>
      <c r="BJ178" s="102" t="s">
        <v>1</v>
      </c>
      <c r="BK178" s="103" t="s">
        <v>1</v>
      </c>
      <c r="BL178" s="102" t="s">
        <v>1</v>
      </c>
      <c r="BM178" s="103" t="s">
        <v>1</v>
      </c>
      <c r="BN178" s="102" t="s">
        <v>1</v>
      </c>
      <c r="BO178" s="103" t="s">
        <v>1</v>
      </c>
      <c r="BP178" s="102" t="s">
        <v>1</v>
      </c>
      <c r="BQ178" s="103" t="s">
        <v>1</v>
      </c>
    </row>
    <row r="179" spans="1:69" ht="7.5" customHeight="1" x14ac:dyDescent="0.25">
      <c r="A179" s="67">
        <v>179</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c r="BF179" s="30" t="s">
        <v>1</v>
      </c>
      <c r="BG179" s="37" t="s">
        <v>1</v>
      </c>
      <c r="BH179" s="102" t="s">
        <v>1</v>
      </c>
      <c r="BI179" s="103" t="s">
        <v>1</v>
      </c>
      <c r="BJ179" s="102" t="s">
        <v>1</v>
      </c>
      <c r="BK179" s="103" t="s">
        <v>1</v>
      </c>
      <c r="BL179" s="102" t="s">
        <v>1</v>
      </c>
      <c r="BM179" s="103" t="s">
        <v>1</v>
      </c>
      <c r="BN179" s="102" t="s">
        <v>1</v>
      </c>
      <c r="BO179" s="103" t="s">
        <v>1</v>
      </c>
      <c r="BP179" s="102" t="s">
        <v>1</v>
      </c>
      <c r="BQ179" s="103" t="s">
        <v>1</v>
      </c>
    </row>
    <row r="180" spans="1:69" ht="7.5" customHeight="1" x14ac:dyDescent="0.25">
      <c r="A180" s="67">
        <v>180</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c r="BF180" s="30" t="s">
        <v>1</v>
      </c>
      <c r="BG180" s="37" t="s">
        <v>1</v>
      </c>
      <c r="BH180" s="102" t="s">
        <v>1</v>
      </c>
      <c r="BI180" s="103" t="s">
        <v>1</v>
      </c>
      <c r="BJ180" s="102" t="s">
        <v>1</v>
      </c>
      <c r="BK180" s="103" t="s">
        <v>1</v>
      </c>
      <c r="BL180" s="102" t="s">
        <v>1</v>
      </c>
      <c r="BM180" s="103" t="s">
        <v>1</v>
      </c>
      <c r="BN180" s="102" t="s">
        <v>1</v>
      </c>
      <c r="BO180" s="103" t="s">
        <v>1</v>
      </c>
      <c r="BP180" s="102" t="s">
        <v>1</v>
      </c>
      <c r="BQ180" s="103" t="s">
        <v>1</v>
      </c>
    </row>
    <row r="181" spans="1:69" ht="7.5" customHeight="1" x14ac:dyDescent="0.25">
      <c r="A181" s="67">
        <v>181</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c r="BF181" s="30" t="s">
        <v>1</v>
      </c>
      <c r="BG181" s="37" t="s">
        <v>1</v>
      </c>
      <c r="BH181" s="102" t="s">
        <v>1</v>
      </c>
      <c r="BI181" s="103" t="s">
        <v>1</v>
      </c>
      <c r="BJ181" s="102" t="s">
        <v>1</v>
      </c>
      <c r="BK181" s="103" t="s">
        <v>1</v>
      </c>
      <c r="BL181" s="102" t="s">
        <v>1</v>
      </c>
      <c r="BM181" s="103" t="s">
        <v>1</v>
      </c>
      <c r="BN181" s="102" t="s">
        <v>1</v>
      </c>
      <c r="BO181" s="103" t="s">
        <v>1</v>
      </c>
      <c r="BP181" s="102" t="s">
        <v>1</v>
      </c>
      <c r="BQ181" s="103" t="s">
        <v>1</v>
      </c>
    </row>
    <row r="182" spans="1:69" ht="7.5" customHeight="1" x14ac:dyDescent="0.25">
      <c r="A182" s="67">
        <v>182</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c r="BF182" s="30" t="s">
        <v>1</v>
      </c>
      <c r="BG182" s="37" t="s">
        <v>1</v>
      </c>
      <c r="BH182" s="102" t="s">
        <v>1</v>
      </c>
      <c r="BI182" s="103" t="s">
        <v>1</v>
      </c>
      <c r="BJ182" s="102" t="s">
        <v>1</v>
      </c>
      <c r="BK182" s="103" t="s">
        <v>1</v>
      </c>
      <c r="BL182" s="102" t="s">
        <v>1</v>
      </c>
      <c r="BM182" s="103" t="s">
        <v>1</v>
      </c>
      <c r="BN182" s="102" t="s">
        <v>1</v>
      </c>
      <c r="BO182" s="103" t="s">
        <v>1</v>
      </c>
      <c r="BP182" s="102" t="s">
        <v>1</v>
      </c>
      <c r="BQ182" s="103" t="s">
        <v>1</v>
      </c>
    </row>
    <row r="183" spans="1:69" ht="7.5" customHeight="1" x14ac:dyDescent="0.25">
      <c r="A183" s="67">
        <v>183</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c r="BF183" s="30" t="s">
        <v>1</v>
      </c>
      <c r="BG183" s="37" t="s">
        <v>1</v>
      </c>
      <c r="BH183" s="102" t="s">
        <v>1</v>
      </c>
      <c r="BI183" s="103" t="s">
        <v>1</v>
      </c>
      <c r="BJ183" s="102" t="s">
        <v>1</v>
      </c>
      <c r="BK183" s="103" t="s">
        <v>1</v>
      </c>
      <c r="BL183" s="102" t="s">
        <v>1</v>
      </c>
      <c r="BM183" s="103" t="s">
        <v>1</v>
      </c>
      <c r="BN183" s="102" t="s">
        <v>1</v>
      </c>
      <c r="BO183" s="103" t="s">
        <v>1</v>
      </c>
      <c r="BP183" s="102" t="s">
        <v>1</v>
      </c>
      <c r="BQ183" s="103" t="s">
        <v>1</v>
      </c>
    </row>
    <row r="184" spans="1:69" ht="7.5" customHeight="1" x14ac:dyDescent="0.25">
      <c r="A184" s="67">
        <v>184</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c r="BF184" s="30" t="s">
        <v>1</v>
      </c>
      <c r="BG184" s="37" t="s">
        <v>1</v>
      </c>
      <c r="BH184" s="102" t="s">
        <v>1</v>
      </c>
      <c r="BI184" s="103" t="s">
        <v>1</v>
      </c>
      <c r="BJ184" s="102" t="s">
        <v>1</v>
      </c>
      <c r="BK184" s="103" t="s">
        <v>1</v>
      </c>
      <c r="BL184" s="102" t="s">
        <v>1</v>
      </c>
      <c r="BM184" s="103" t="s">
        <v>1</v>
      </c>
      <c r="BN184" s="102" t="s">
        <v>1</v>
      </c>
      <c r="BO184" s="103" t="s">
        <v>1</v>
      </c>
      <c r="BP184" s="102" t="s">
        <v>1</v>
      </c>
      <c r="BQ184" s="103" t="s">
        <v>1</v>
      </c>
    </row>
    <row r="185" spans="1:69" ht="7.5" customHeight="1" x14ac:dyDescent="0.25">
      <c r="A185" s="67">
        <v>185</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c r="BF185" s="30" t="s">
        <v>1</v>
      </c>
      <c r="BG185" s="37" t="s">
        <v>1</v>
      </c>
      <c r="BH185" s="102" t="s">
        <v>1</v>
      </c>
      <c r="BI185" s="103" t="s">
        <v>1</v>
      </c>
      <c r="BJ185" s="102" t="s">
        <v>1</v>
      </c>
      <c r="BK185" s="103" t="s">
        <v>1</v>
      </c>
      <c r="BL185" s="102" t="s">
        <v>1</v>
      </c>
      <c r="BM185" s="103" t="s">
        <v>1</v>
      </c>
      <c r="BN185" s="102" t="s">
        <v>1</v>
      </c>
      <c r="BO185" s="103" t="s">
        <v>1</v>
      </c>
      <c r="BP185" s="102" t="s">
        <v>1</v>
      </c>
      <c r="BQ185" s="103" t="s">
        <v>1</v>
      </c>
    </row>
    <row r="186" spans="1:69" ht="7.5" customHeight="1" x14ac:dyDescent="0.25">
      <c r="A186" s="67">
        <v>186</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c r="BF186" s="30" t="s">
        <v>1</v>
      </c>
      <c r="BG186" s="37" t="s">
        <v>1</v>
      </c>
      <c r="BH186" s="102" t="s">
        <v>1</v>
      </c>
      <c r="BI186" s="103" t="s">
        <v>1</v>
      </c>
      <c r="BJ186" s="102" t="s">
        <v>1</v>
      </c>
      <c r="BK186" s="103" t="s">
        <v>1</v>
      </c>
      <c r="BL186" s="102" t="s">
        <v>1</v>
      </c>
      <c r="BM186" s="103" t="s">
        <v>1</v>
      </c>
      <c r="BN186" s="102" t="s">
        <v>1</v>
      </c>
      <c r="BO186" s="103" t="s">
        <v>1</v>
      </c>
      <c r="BP186" s="102" t="s">
        <v>1</v>
      </c>
      <c r="BQ186" s="103" t="s">
        <v>1</v>
      </c>
    </row>
    <row r="187" spans="1:69" ht="7.5" customHeight="1" x14ac:dyDescent="0.25">
      <c r="A187" s="67">
        <v>187</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c r="BF187" s="30" t="s">
        <v>1</v>
      </c>
      <c r="BG187" s="37" t="s">
        <v>1</v>
      </c>
      <c r="BH187" s="102" t="s">
        <v>1</v>
      </c>
      <c r="BI187" s="103" t="s">
        <v>1</v>
      </c>
      <c r="BJ187" s="102" t="s">
        <v>1</v>
      </c>
      <c r="BK187" s="103" t="s">
        <v>1</v>
      </c>
      <c r="BL187" s="102" t="s">
        <v>1</v>
      </c>
      <c r="BM187" s="103" t="s">
        <v>1</v>
      </c>
      <c r="BN187" s="102" t="s">
        <v>1</v>
      </c>
      <c r="BO187" s="103" t="s">
        <v>1</v>
      </c>
      <c r="BP187" s="102" t="s">
        <v>1</v>
      </c>
      <c r="BQ187" s="103" t="s">
        <v>1</v>
      </c>
    </row>
    <row r="188" spans="1:69" ht="7.5" customHeight="1" x14ac:dyDescent="0.25">
      <c r="A188" s="67">
        <v>188</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c r="BF188" s="30" t="s">
        <v>1</v>
      </c>
      <c r="BG188" s="37" t="s">
        <v>1</v>
      </c>
      <c r="BH188" s="102" t="s">
        <v>1</v>
      </c>
      <c r="BI188" s="103" t="s">
        <v>1</v>
      </c>
      <c r="BJ188" s="102" t="s">
        <v>1</v>
      </c>
      <c r="BK188" s="103" t="s">
        <v>1</v>
      </c>
      <c r="BL188" s="102" t="s">
        <v>1</v>
      </c>
      <c r="BM188" s="103" t="s">
        <v>1</v>
      </c>
      <c r="BN188" s="102" t="s">
        <v>1</v>
      </c>
      <c r="BO188" s="103" t="s">
        <v>1</v>
      </c>
      <c r="BP188" s="102" t="s">
        <v>1</v>
      </c>
      <c r="BQ188" s="103" t="s">
        <v>1</v>
      </c>
    </row>
    <row r="189" spans="1:69" ht="7.5" customHeight="1" x14ac:dyDescent="0.25">
      <c r="A189" s="67">
        <v>189</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c r="BF189" s="30" t="s">
        <v>1</v>
      </c>
      <c r="BG189" s="37" t="s">
        <v>1</v>
      </c>
      <c r="BH189" s="102" t="s">
        <v>1</v>
      </c>
      <c r="BI189" s="103" t="s">
        <v>1</v>
      </c>
      <c r="BJ189" s="102" t="s">
        <v>1</v>
      </c>
      <c r="BK189" s="103" t="s">
        <v>1</v>
      </c>
      <c r="BL189" s="102" t="s">
        <v>1</v>
      </c>
      <c r="BM189" s="103" t="s">
        <v>1</v>
      </c>
      <c r="BN189" s="102" t="s">
        <v>1</v>
      </c>
      <c r="BO189" s="103" t="s">
        <v>1</v>
      </c>
      <c r="BP189" s="102" t="s">
        <v>1</v>
      </c>
      <c r="BQ189" s="103" t="s">
        <v>1</v>
      </c>
    </row>
    <row r="190" spans="1:69" ht="7.5" customHeight="1" x14ac:dyDescent="0.25">
      <c r="A190" s="67">
        <v>190</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c r="BF190" s="30" t="s">
        <v>1</v>
      </c>
      <c r="BG190" s="37" t="s">
        <v>1</v>
      </c>
      <c r="BH190" s="102" t="s">
        <v>1</v>
      </c>
      <c r="BI190" s="103" t="s">
        <v>1</v>
      </c>
      <c r="BJ190" s="102" t="s">
        <v>1</v>
      </c>
      <c r="BK190" s="103" t="s">
        <v>1</v>
      </c>
      <c r="BL190" s="102" t="s">
        <v>1</v>
      </c>
      <c r="BM190" s="103" t="s">
        <v>1</v>
      </c>
      <c r="BN190" s="102" t="s">
        <v>1</v>
      </c>
      <c r="BO190" s="103" t="s">
        <v>1</v>
      </c>
      <c r="BP190" s="102" t="s">
        <v>1</v>
      </c>
      <c r="BQ190" s="103" t="s">
        <v>1</v>
      </c>
    </row>
    <row r="191" spans="1:69" ht="7.5" customHeight="1" x14ac:dyDescent="0.25">
      <c r="A191" s="67">
        <v>191</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c r="BF191" s="30" t="s">
        <v>1</v>
      </c>
      <c r="BG191" s="37" t="s">
        <v>1</v>
      </c>
      <c r="BH191" s="102" t="s">
        <v>1</v>
      </c>
      <c r="BI191" s="103" t="s">
        <v>1</v>
      </c>
      <c r="BJ191" s="102" t="s">
        <v>1</v>
      </c>
      <c r="BK191" s="103" t="s">
        <v>1</v>
      </c>
      <c r="BL191" s="102" t="s">
        <v>1</v>
      </c>
      <c r="BM191" s="103" t="s">
        <v>1</v>
      </c>
      <c r="BN191" s="102" t="s">
        <v>1</v>
      </c>
      <c r="BO191" s="103" t="s">
        <v>1</v>
      </c>
      <c r="BP191" s="102" t="s">
        <v>1</v>
      </c>
      <c r="BQ191" s="103" t="s">
        <v>1</v>
      </c>
    </row>
    <row r="192" spans="1:69" ht="7.5" customHeight="1" x14ac:dyDescent="0.25">
      <c r="A192" s="67">
        <v>192</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c r="BF192" s="30" t="s">
        <v>1</v>
      </c>
      <c r="BG192" s="37" t="s">
        <v>1</v>
      </c>
      <c r="BH192" s="102" t="s">
        <v>1</v>
      </c>
      <c r="BI192" s="103" t="s">
        <v>1</v>
      </c>
      <c r="BJ192" s="102" t="s">
        <v>1</v>
      </c>
      <c r="BK192" s="103" t="s">
        <v>1</v>
      </c>
      <c r="BL192" s="102" t="s">
        <v>1</v>
      </c>
      <c r="BM192" s="103" t="s">
        <v>1</v>
      </c>
      <c r="BN192" s="102" t="s">
        <v>1</v>
      </c>
      <c r="BO192" s="103" t="s">
        <v>1</v>
      </c>
      <c r="BP192" s="102" t="s">
        <v>1</v>
      </c>
      <c r="BQ192" s="103" t="s">
        <v>1</v>
      </c>
    </row>
    <row r="193" spans="1:69" ht="7.5" customHeight="1" x14ac:dyDescent="0.25">
      <c r="A193" s="67">
        <v>193</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c r="BF193" s="30" t="s">
        <v>1</v>
      </c>
      <c r="BG193" s="37" t="s">
        <v>1</v>
      </c>
      <c r="BH193" s="102" t="s">
        <v>1</v>
      </c>
      <c r="BI193" s="103" t="s">
        <v>1</v>
      </c>
      <c r="BJ193" s="102" t="s">
        <v>1</v>
      </c>
      <c r="BK193" s="103" t="s">
        <v>1</v>
      </c>
      <c r="BL193" s="102" t="s">
        <v>1</v>
      </c>
      <c r="BM193" s="103" t="s">
        <v>1</v>
      </c>
      <c r="BN193" s="102" t="s">
        <v>1</v>
      </c>
      <c r="BO193" s="103" t="s">
        <v>1</v>
      </c>
      <c r="BP193" s="102" t="s">
        <v>1</v>
      </c>
      <c r="BQ193" s="103" t="s">
        <v>1</v>
      </c>
    </row>
    <row r="194" spans="1:69" ht="7.5" customHeight="1" x14ac:dyDescent="0.25">
      <c r="A194" s="67">
        <v>194</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c r="BF194" s="30" t="s">
        <v>1</v>
      </c>
      <c r="BG194" s="37" t="s">
        <v>1</v>
      </c>
      <c r="BH194" s="102" t="s">
        <v>1</v>
      </c>
      <c r="BI194" s="103" t="s">
        <v>1</v>
      </c>
      <c r="BJ194" s="102" t="s">
        <v>1</v>
      </c>
      <c r="BK194" s="103" t="s">
        <v>1</v>
      </c>
      <c r="BL194" s="102" t="s">
        <v>1</v>
      </c>
      <c r="BM194" s="103" t="s">
        <v>1</v>
      </c>
      <c r="BN194" s="102" t="s">
        <v>1</v>
      </c>
      <c r="BO194" s="103" t="s">
        <v>1</v>
      </c>
      <c r="BP194" s="102" t="s">
        <v>1</v>
      </c>
      <c r="BQ194" s="103" t="s">
        <v>1</v>
      </c>
    </row>
    <row r="195" spans="1:69" ht="7.5" customHeight="1" x14ac:dyDescent="0.25">
      <c r="A195" s="67">
        <v>195</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c r="BF195" s="30" t="s">
        <v>1</v>
      </c>
      <c r="BG195" s="37" t="s">
        <v>1</v>
      </c>
      <c r="BH195" s="102" t="s">
        <v>1</v>
      </c>
      <c r="BI195" s="103" t="s">
        <v>1</v>
      </c>
      <c r="BJ195" s="102" t="s">
        <v>1</v>
      </c>
      <c r="BK195" s="103" t="s">
        <v>1</v>
      </c>
      <c r="BL195" s="102" t="s">
        <v>1</v>
      </c>
      <c r="BM195" s="103" t="s">
        <v>1</v>
      </c>
      <c r="BN195" s="102" t="s">
        <v>1</v>
      </c>
      <c r="BO195" s="103" t="s">
        <v>1</v>
      </c>
      <c r="BP195" s="102" t="s">
        <v>1</v>
      </c>
      <c r="BQ195" s="103" t="s">
        <v>1</v>
      </c>
    </row>
    <row r="196" spans="1:69" ht="7.5" customHeight="1" x14ac:dyDescent="0.25">
      <c r="A196" s="67">
        <v>196</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c r="BF196" s="30" t="s">
        <v>1</v>
      </c>
      <c r="BG196" s="37" t="s">
        <v>1</v>
      </c>
      <c r="BH196" s="102" t="s">
        <v>1</v>
      </c>
      <c r="BI196" s="103" t="s">
        <v>1</v>
      </c>
      <c r="BJ196" s="102" t="s">
        <v>1</v>
      </c>
      <c r="BK196" s="103" t="s">
        <v>1</v>
      </c>
      <c r="BL196" s="102" t="s">
        <v>1</v>
      </c>
      <c r="BM196" s="103" t="s">
        <v>1</v>
      </c>
      <c r="BN196" s="102" t="s">
        <v>1</v>
      </c>
      <c r="BO196" s="103" t="s">
        <v>1</v>
      </c>
      <c r="BP196" s="102" t="s">
        <v>1</v>
      </c>
      <c r="BQ196" s="103" t="s">
        <v>1</v>
      </c>
    </row>
    <row r="197" spans="1:69" ht="7.5" customHeight="1" x14ac:dyDescent="0.25">
      <c r="A197" s="67">
        <v>197</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c r="BF197" s="30" t="s">
        <v>1</v>
      </c>
      <c r="BG197" s="37" t="s">
        <v>1</v>
      </c>
      <c r="BH197" s="102" t="s">
        <v>1</v>
      </c>
      <c r="BI197" s="103" t="s">
        <v>1</v>
      </c>
      <c r="BJ197" s="102" t="s">
        <v>1</v>
      </c>
      <c r="BK197" s="103" t="s">
        <v>1</v>
      </c>
      <c r="BL197" s="102" t="s">
        <v>1</v>
      </c>
      <c r="BM197" s="103" t="s">
        <v>1</v>
      </c>
      <c r="BN197" s="102" t="s">
        <v>1</v>
      </c>
      <c r="BO197" s="103" t="s">
        <v>1</v>
      </c>
      <c r="BP197" s="102" t="s">
        <v>1</v>
      </c>
      <c r="BQ197" s="103" t="s">
        <v>1</v>
      </c>
    </row>
    <row r="198" spans="1:69" ht="7.5" customHeight="1" x14ac:dyDescent="0.25">
      <c r="A198" s="67">
        <v>198</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c r="BF198" s="30" t="s">
        <v>1</v>
      </c>
      <c r="BG198" s="37" t="s">
        <v>1</v>
      </c>
      <c r="BH198" s="102" t="s">
        <v>1</v>
      </c>
      <c r="BI198" s="103" t="s">
        <v>1</v>
      </c>
      <c r="BJ198" s="102" t="s">
        <v>1</v>
      </c>
      <c r="BK198" s="103" t="s">
        <v>1</v>
      </c>
      <c r="BL198" s="102" t="s">
        <v>1</v>
      </c>
      <c r="BM198" s="103" t="s">
        <v>1</v>
      </c>
      <c r="BN198" s="102" t="s">
        <v>1</v>
      </c>
      <c r="BO198" s="103" t="s">
        <v>1</v>
      </c>
      <c r="BP198" s="102" t="s">
        <v>1</v>
      </c>
      <c r="BQ198" s="103" t="s">
        <v>1</v>
      </c>
    </row>
    <row r="199" spans="1:69" ht="7.5" customHeight="1" x14ac:dyDescent="0.25">
      <c r="A199" s="67">
        <v>199</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c r="BF199" s="30" t="s">
        <v>1</v>
      </c>
      <c r="BG199" s="37" t="s">
        <v>1</v>
      </c>
      <c r="BH199" s="102" t="s">
        <v>1</v>
      </c>
      <c r="BI199" s="103" t="s">
        <v>1</v>
      </c>
      <c r="BJ199" s="102" t="s">
        <v>1</v>
      </c>
      <c r="BK199" s="103" t="s">
        <v>1</v>
      </c>
      <c r="BL199" s="102" t="s">
        <v>1</v>
      </c>
      <c r="BM199" s="103" t="s">
        <v>1</v>
      </c>
      <c r="BN199" s="102" t="s">
        <v>1</v>
      </c>
      <c r="BO199" s="103" t="s">
        <v>1</v>
      </c>
      <c r="BP199" s="102" t="s">
        <v>1</v>
      </c>
      <c r="BQ199" s="103" t="s">
        <v>1</v>
      </c>
    </row>
    <row r="200" spans="1:69" ht="7.5" customHeight="1" x14ac:dyDescent="0.25">
      <c r="A200" s="67">
        <v>200</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c r="BF200" s="30" t="s">
        <v>1</v>
      </c>
      <c r="BG200" s="37" t="s">
        <v>1</v>
      </c>
      <c r="BH200" s="102" t="s">
        <v>1</v>
      </c>
      <c r="BI200" s="103" t="s">
        <v>1</v>
      </c>
      <c r="BJ200" s="102" t="s">
        <v>1</v>
      </c>
      <c r="BK200" s="103" t="s">
        <v>1</v>
      </c>
      <c r="BL200" s="102" t="s">
        <v>1</v>
      </c>
      <c r="BM200" s="103" t="s">
        <v>1</v>
      </c>
      <c r="BN200" s="102" t="s">
        <v>1</v>
      </c>
      <c r="BO200" s="103" t="s">
        <v>1</v>
      </c>
      <c r="BP200" s="102" t="s">
        <v>1</v>
      </c>
      <c r="BQ200" s="103" t="s">
        <v>1</v>
      </c>
    </row>
    <row r="201" spans="1:69" ht="7.5" customHeight="1" x14ac:dyDescent="0.25">
      <c r="A201" s="67">
        <v>201</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c r="BF201" s="30" t="s">
        <v>1</v>
      </c>
      <c r="BG201" s="37" t="s">
        <v>1</v>
      </c>
      <c r="BH201" s="102" t="s">
        <v>1</v>
      </c>
      <c r="BI201" s="103" t="s">
        <v>1</v>
      </c>
      <c r="BJ201" s="102" t="s">
        <v>1</v>
      </c>
      <c r="BK201" s="103" t="s">
        <v>1</v>
      </c>
      <c r="BL201" s="102" t="s">
        <v>1</v>
      </c>
      <c r="BM201" s="103" t="s">
        <v>1</v>
      </c>
      <c r="BN201" s="102" t="s">
        <v>1</v>
      </c>
      <c r="BO201" s="103" t="s">
        <v>1</v>
      </c>
      <c r="BP201" s="102" t="s">
        <v>1</v>
      </c>
      <c r="BQ201" s="103" t="s">
        <v>1</v>
      </c>
    </row>
    <row r="202" spans="1:69" ht="7.5" customHeight="1" x14ac:dyDescent="0.25">
      <c r="A202" s="67">
        <v>202</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c r="BF202" s="30" t="s">
        <v>1</v>
      </c>
      <c r="BG202" s="37" t="s">
        <v>1</v>
      </c>
      <c r="BH202" s="102" t="s">
        <v>1</v>
      </c>
      <c r="BI202" s="103" t="s">
        <v>1</v>
      </c>
      <c r="BJ202" s="102" t="s">
        <v>1</v>
      </c>
      <c r="BK202" s="103" t="s">
        <v>1</v>
      </c>
      <c r="BL202" s="102" t="s">
        <v>1</v>
      </c>
      <c r="BM202" s="103" t="s">
        <v>1</v>
      </c>
      <c r="BN202" s="102" t="s">
        <v>1</v>
      </c>
      <c r="BO202" s="103" t="s">
        <v>1</v>
      </c>
      <c r="BP202" s="102" t="s">
        <v>1</v>
      </c>
      <c r="BQ202" s="103" t="s">
        <v>1</v>
      </c>
    </row>
    <row r="203" spans="1:69" ht="7.5" customHeight="1" x14ac:dyDescent="0.25">
      <c r="A203" s="67">
        <v>203</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c r="BF203" s="30" t="s">
        <v>1</v>
      </c>
      <c r="BG203" s="37" t="s">
        <v>1</v>
      </c>
      <c r="BH203" s="102" t="s">
        <v>1</v>
      </c>
      <c r="BI203" s="103" t="s">
        <v>1</v>
      </c>
      <c r="BJ203" s="102" t="s">
        <v>1</v>
      </c>
      <c r="BK203" s="103" t="s">
        <v>1</v>
      </c>
      <c r="BL203" s="102" t="s">
        <v>1</v>
      </c>
      <c r="BM203" s="103" t="s">
        <v>1</v>
      </c>
      <c r="BN203" s="102" t="s">
        <v>1</v>
      </c>
      <c r="BO203" s="103" t="s">
        <v>1</v>
      </c>
      <c r="BP203" s="102" t="s">
        <v>1</v>
      </c>
      <c r="BQ203" s="103" t="s">
        <v>1</v>
      </c>
    </row>
    <row r="204" spans="1:69" ht="7.5" customHeight="1" x14ac:dyDescent="0.25">
      <c r="A204" s="67">
        <v>204</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c r="BF204" s="30" t="s">
        <v>1</v>
      </c>
      <c r="BG204" s="37" t="s">
        <v>1</v>
      </c>
      <c r="BH204" s="102" t="s">
        <v>1</v>
      </c>
      <c r="BI204" s="103" t="s">
        <v>1</v>
      </c>
      <c r="BJ204" s="102" t="s">
        <v>1</v>
      </c>
      <c r="BK204" s="103" t="s">
        <v>1</v>
      </c>
      <c r="BL204" s="102" t="s">
        <v>1</v>
      </c>
      <c r="BM204" s="103" t="s">
        <v>1</v>
      </c>
      <c r="BN204" s="102" t="s">
        <v>1</v>
      </c>
      <c r="BO204" s="103" t="s">
        <v>1</v>
      </c>
      <c r="BP204" s="102" t="s">
        <v>1</v>
      </c>
      <c r="BQ204" s="103" t="s">
        <v>1</v>
      </c>
    </row>
    <row r="205" spans="1:69" ht="7.5" customHeight="1" x14ac:dyDescent="0.25">
      <c r="A205" s="67">
        <v>205</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c r="BF205" s="30" t="s">
        <v>1</v>
      </c>
      <c r="BG205" s="37" t="s">
        <v>1</v>
      </c>
      <c r="BH205" s="102" t="s">
        <v>1</v>
      </c>
      <c r="BI205" s="103" t="s">
        <v>1</v>
      </c>
      <c r="BJ205" s="102" t="s">
        <v>1</v>
      </c>
      <c r="BK205" s="103" t="s">
        <v>1</v>
      </c>
      <c r="BL205" s="102" t="s">
        <v>1</v>
      </c>
      <c r="BM205" s="103" t="s">
        <v>1</v>
      </c>
      <c r="BN205" s="102" t="s">
        <v>1</v>
      </c>
      <c r="BO205" s="103" t="s">
        <v>1</v>
      </c>
      <c r="BP205" s="102" t="s">
        <v>1</v>
      </c>
      <c r="BQ205" s="103" t="s">
        <v>1</v>
      </c>
    </row>
    <row r="206" spans="1:69" ht="7.5" customHeight="1" x14ac:dyDescent="0.25">
      <c r="A206" s="67">
        <v>206</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c r="BF206" s="30" t="s">
        <v>1</v>
      </c>
      <c r="BG206" s="37" t="s">
        <v>1</v>
      </c>
      <c r="BH206" s="102" t="s">
        <v>1</v>
      </c>
      <c r="BI206" s="103" t="s">
        <v>1</v>
      </c>
      <c r="BJ206" s="102" t="s">
        <v>1</v>
      </c>
      <c r="BK206" s="103" t="s">
        <v>1</v>
      </c>
      <c r="BL206" s="102" t="s">
        <v>1</v>
      </c>
      <c r="BM206" s="103" t="s">
        <v>1</v>
      </c>
      <c r="BN206" s="102" t="s">
        <v>1</v>
      </c>
      <c r="BO206" s="103" t="s">
        <v>1</v>
      </c>
      <c r="BP206" s="102" t="s">
        <v>1</v>
      </c>
      <c r="BQ206" s="103" t="s">
        <v>1</v>
      </c>
    </row>
    <row r="207" spans="1:69" ht="7.5" customHeight="1" x14ac:dyDescent="0.25">
      <c r="A207" s="67">
        <v>207</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c r="BF207" s="30" t="s">
        <v>1</v>
      </c>
      <c r="BG207" s="37" t="s">
        <v>1</v>
      </c>
      <c r="BH207" s="102" t="s">
        <v>1</v>
      </c>
      <c r="BI207" s="103" t="s">
        <v>1</v>
      </c>
      <c r="BJ207" s="102" t="s">
        <v>1</v>
      </c>
      <c r="BK207" s="103" t="s">
        <v>1</v>
      </c>
      <c r="BL207" s="102" t="s">
        <v>1</v>
      </c>
      <c r="BM207" s="103" t="s">
        <v>1</v>
      </c>
      <c r="BN207" s="102" t="s">
        <v>1</v>
      </c>
      <c r="BO207" s="103" t="s">
        <v>1</v>
      </c>
      <c r="BP207" s="102" t="s">
        <v>1</v>
      </c>
      <c r="BQ207" s="103" t="s">
        <v>1</v>
      </c>
    </row>
    <row r="208" spans="1:69" ht="7.5" customHeight="1" x14ac:dyDescent="0.25">
      <c r="A208" s="67">
        <v>208</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c r="BF208" s="30" t="s">
        <v>1</v>
      </c>
      <c r="BG208" s="37" t="s">
        <v>1</v>
      </c>
      <c r="BH208" s="102" t="s">
        <v>1</v>
      </c>
      <c r="BI208" s="103" t="s">
        <v>1</v>
      </c>
      <c r="BJ208" s="102" t="s">
        <v>1</v>
      </c>
      <c r="BK208" s="103" t="s">
        <v>1</v>
      </c>
      <c r="BL208" s="102" t="s">
        <v>1</v>
      </c>
      <c r="BM208" s="103" t="s">
        <v>1</v>
      </c>
      <c r="BN208" s="102" t="s">
        <v>1</v>
      </c>
      <c r="BO208" s="103" t="s">
        <v>1</v>
      </c>
      <c r="BP208" s="102" t="s">
        <v>1</v>
      </c>
      <c r="BQ208" s="103" t="s">
        <v>1</v>
      </c>
    </row>
    <row r="209" spans="1:69" ht="7.5" customHeight="1" x14ac:dyDescent="0.25">
      <c r="A209" s="67">
        <v>209</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c r="BF209" s="30" t="s">
        <v>1</v>
      </c>
      <c r="BG209" s="37" t="s">
        <v>1</v>
      </c>
      <c r="BH209" s="102" t="s">
        <v>1</v>
      </c>
      <c r="BI209" s="103" t="s">
        <v>1</v>
      </c>
      <c r="BJ209" s="102" t="s">
        <v>1</v>
      </c>
      <c r="BK209" s="103" t="s">
        <v>1</v>
      </c>
      <c r="BL209" s="102" t="s">
        <v>1</v>
      </c>
      <c r="BM209" s="103" t="s">
        <v>1</v>
      </c>
      <c r="BN209" s="102" t="s">
        <v>1</v>
      </c>
      <c r="BO209" s="103" t="s">
        <v>1</v>
      </c>
      <c r="BP209" s="102" t="s">
        <v>1</v>
      </c>
      <c r="BQ209" s="103" t="s">
        <v>1</v>
      </c>
    </row>
    <row r="210" spans="1:69" ht="7.5" customHeight="1" x14ac:dyDescent="0.25">
      <c r="A210" s="67">
        <v>210</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c r="BF210" s="30" t="s">
        <v>1</v>
      </c>
      <c r="BG210" s="37" t="s">
        <v>1</v>
      </c>
      <c r="BH210" s="102" t="s">
        <v>1</v>
      </c>
      <c r="BI210" s="103" t="s">
        <v>1</v>
      </c>
      <c r="BJ210" s="102" t="s">
        <v>1</v>
      </c>
      <c r="BK210" s="103" t="s">
        <v>1</v>
      </c>
      <c r="BL210" s="102" t="s">
        <v>1</v>
      </c>
      <c r="BM210" s="103" t="s">
        <v>1</v>
      </c>
      <c r="BN210" s="102" t="s">
        <v>1</v>
      </c>
      <c r="BO210" s="103" t="s">
        <v>1</v>
      </c>
      <c r="BP210" s="102" t="s">
        <v>1</v>
      </c>
      <c r="BQ210" s="103" t="s">
        <v>1</v>
      </c>
    </row>
    <row r="211" spans="1:69" ht="7.5" customHeight="1" x14ac:dyDescent="0.25">
      <c r="A211" s="67">
        <v>211</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c r="BF211" s="30" t="s">
        <v>1</v>
      </c>
      <c r="BG211" s="37" t="s">
        <v>1</v>
      </c>
      <c r="BH211" s="102" t="s">
        <v>1</v>
      </c>
      <c r="BI211" s="103" t="s">
        <v>1</v>
      </c>
      <c r="BJ211" s="102" t="s">
        <v>1</v>
      </c>
      <c r="BK211" s="103" t="s">
        <v>1</v>
      </c>
      <c r="BL211" s="102" t="s">
        <v>1</v>
      </c>
      <c r="BM211" s="103" t="s">
        <v>1</v>
      </c>
      <c r="BN211" s="102" t="s">
        <v>1</v>
      </c>
      <c r="BO211" s="103" t="s">
        <v>1</v>
      </c>
      <c r="BP211" s="102" t="s">
        <v>1</v>
      </c>
      <c r="BQ211" s="103" t="s">
        <v>1</v>
      </c>
    </row>
    <row r="212" spans="1:69" ht="7.5" customHeight="1" x14ac:dyDescent="0.25">
      <c r="A212" s="67">
        <v>212</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c r="BF212" s="30" t="s">
        <v>1</v>
      </c>
      <c r="BG212" s="37" t="s">
        <v>1</v>
      </c>
      <c r="BH212" s="102" t="s">
        <v>1</v>
      </c>
      <c r="BI212" s="103" t="s">
        <v>1</v>
      </c>
      <c r="BJ212" s="102" t="s">
        <v>1</v>
      </c>
      <c r="BK212" s="103" t="s">
        <v>1</v>
      </c>
      <c r="BL212" s="102" t="s">
        <v>1</v>
      </c>
      <c r="BM212" s="103" t="s">
        <v>1</v>
      </c>
      <c r="BN212" s="102" t="s">
        <v>1</v>
      </c>
      <c r="BO212" s="103" t="s">
        <v>1</v>
      </c>
      <c r="BP212" s="102" t="s">
        <v>1</v>
      </c>
      <c r="BQ212" s="103" t="s">
        <v>1</v>
      </c>
    </row>
    <row r="213" spans="1:69" ht="7.5" customHeight="1" x14ac:dyDescent="0.25">
      <c r="A213" s="67">
        <v>213</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c r="BF213" s="30" t="s">
        <v>1</v>
      </c>
      <c r="BG213" s="37" t="s">
        <v>1</v>
      </c>
      <c r="BH213" s="102" t="s">
        <v>1</v>
      </c>
      <c r="BI213" s="103" t="s">
        <v>1</v>
      </c>
      <c r="BJ213" s="102" t="s">
        <v>1</v>
      </c>
      <c r="BK213" s="103" t="s">
        <v>1</v>
      </c>
      <c r="BL213" s="102" t="s">
        <v>1</v>
      </c>
      <c r="BM213" s="103" t="s">
        <v>1</v>
      </c>
      <c r="BN213" s="102" t="s">
        <v>1</v>
      </c>
      <c r="BO213" s="103" t="s">
        <v>1</v>
      </c>
      <c r="BP213" s="102" t="s">
        <v>1</v>
      </c>
      <c r="BQ213" s="103" t="s">
        <v>1</v>
      </c>
    </row>
    <row r="214" spans="1:69" ht="7.5" customHeight="1" x14ac:dyDescent="0.25">
      <c r="A214" s="67">
        <v>214</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c r="BF214" s="30" t="s">
        <v>1</v>
      </c>
      <c r="BG214" s="37" t="s">
        <v>1</v>
      </c>
      <c r="BH214" s="102" t="s">
        <v>1</v>
      </c>
      <c r="BI214" s="103" t="s">
        <v>1</v>
      </c>
      <c r="BJ214" s="102" t="s">
        <v>1</v>
      </c>
      <c r="BK214" s="103" t="s">
        <v>1</v>
      </c>
      <c r="BL214" s="102" t="s">
        <v>1</v>
      </c>
      <c r="BM214" s="103" t="s">
        <v>1</v>
      </c>
      <c r="BN214" s="102" t="s">
        <v>1</v>
      </c>
      <c r="BO214" s="103" t="s">
        <v>1</v>
      </c>
      <c r="BP214" s="102" t="s">
        <v>1</v>
      </c>
      <c r="BQ214" s="103" t="s">
        <v>1</v>
      </c>
    </row>
    <row r="215" spans="1:69" ht="7.5" customHeight="1" x14ac:dyDescent="0.25">
      <c r="A215" s="67">
        <v>215</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c r="BF215" s="30" t="s">
        <v>1</v>
      </c>
      <c r="BG215" s="37" t="s">
        <v>1</v>
      </c>
      <c r="BH215" s="102" t="s">
        <v>1</v>
      </c>
      <c r="BI215" s="103" t="s">
        <v>1</v>
      </c>
      <c r="BJ215" s="102" t="s">
        <v>1</v>
      </c>
      <c r="BK215" s="103" t="s">
        <v>1</v>
      </c>
      <c r="BL215" s="102" t="s">
        <v>1</v>
      </c>
      <c r="BM215" s="103" t="s">
        <v>1</v>
      </c>
      <c r="BN215" s="102" t="s">
        <v>1</v>
      </c>
      <c r="BO215" s="103" t="s">
        <v>1</v>
      </c>
      <c r="BP215" s="102" t="s">
        <v>1</v>
      </c>
      <c r="BQ215" s="103" t="s">
        <v>1</v>
      </c>
    </row>
    <row r="216" spans="1:69" ht="7.5" customHeight="1" x14ac:dyDescent="0.25">
      <c r="A216" s="67">
        <v>216</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c r="BF216" s="30" t="s">
        <v>1</v>
      </c>
      <c r="BG216" s="37" t="s">
        <v>1</v>
      </c>
      <c r="BH216" s="102" t="s">
        <v>1</v>
      </c>
      <c r="BI216" s="103" t="s">
        <v>1</v>
      </c>
      <c r="BJ216" s="102" t="s">
        <v>1</v>
      </c>
      <c r="BK216" s="103" t="s">
        <v>1</v>
      </c>
      <c r="BL216" s="102" t="s">
        <v>1</v>
      </c>
      <c r="BM216" s="103" t="s">
        <v>1</v>
      </c>
      <c r="BN216" s="102" t="s">
        <v>1</v>
      </c>
      <c r="BO216" s="103" t="s">
        <v>1</v>
      </c>
      <c r="BP216" s="102" t="s">
        <v>1</v>
      </c>
      <c r="BQ216" s="103" t="s">
        <v>1</v>
      </c>
    </row>
    <row r="217" spans="1:69" ht="7.5" customHeight="1" x14ac:dyDescent="0.25">
      <c r="A217" s="67">
        <v>217</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c r="BF217" s="30" t="s">
        <v>1</v>
      </c>
      <c r="BG217" s="37" t="s">
        <v>1</v>
      </c>
      <c r="BH217" s="102" t="s">
        <v>1</v>
      </c>
      <c r="BI217" s="103" t="s">
        <v>1</v>
      </c>
      <c r="BJ217" s="102" t="s">
        <v>1</v>
      </c>
      <c r="BK217" s="103" t="s">
        <v>1</v>
      </c>
      <c r="BL217" s="102" t="s">
        <v>1</v>
      </c>
      <c r="BM217" s="103" t="s">
        <v>1</v>
      </c>
      <c r="BN217" s="102" t="s">
        <v>1</v>
      </c>
      <c r="BO217" s="103" t="s">
        <v>1</v>
      </c>
      <c r="BP217" s="102" t="s">
        <v>1</v>
      </c>
      <c r="BQ217" s="103" t="s">
        <v>1</v>
      </c>
    </row>
    <row r="218" spans="1:69" ht="7.5" customHeight="1" x14ac:dyDescent="0.25">
      <c r="A218" s="67">
        <v>218</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c r="BF218" s="30" t="s">
        <v>1</v>
      </c>
      <c r="BG218" s="37" t="s">
        <v>1</v>
      </c>
      <c r="BH218" s="102" t="s">
        <v>1</v>
      </c>
      <c r="BI218" s="103" t="s">
        <v>1</v>
      </c>
      <c r="BJ218" s="102" t="s">
        <v>1</v>
      </c>
      <c r="BK218" s="103" t="s">
        <v>1</v>
      </c>
      <c r="BL218" s="102" t="s">
        <v>1</v>
      </c>
      <c r="BM218" s="103" t="s">
        <v>1</v>
      </c>
      <c r="BN218" s="102" t="s">
        <v>1</v>
      </c>
      <c r="BO218" s="103" t="s">
        <v>1</v>
      </c>
      <c r="BP218" s="102" t="s">
        <v>1</v>
      </c>
      <c r="BQ218" s="103" t="s">
        <v>1</v>
      </c>
    </row>
    <row r="219" spans="1:69" ht="7.5" customHeight="1" x14ac:dyDescent="0.25">
      <c r="A219" s="67">
        <v>219</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c r="BF219" s="30" t="s">
        <v>1</v>
      </c>
      <c r="BG219" s="37" t="s">
        <v>1</v>
      </c>
      <c r="BH219" s="102" t="s">
        <v>1</v>
      </c>
      <c r="BI219" s="103" t="s">
        <v>1</v>
      </c>
      <c r="BJ219" s="102" t="s">
        <v>1</v>
      </c>
      <c r="BK219" s="103" t="s">
        <v>1</v>
      </c>
      <c r="BL219" s="102" t="s">
        <v>1</v>
      </c>
      <c r="BM219" s="103" t="s">
        <v>1</v>
      </c>
      <c r="BN219" s="102" t="s">
        <v>1</v>
      </c>
      <c r="BO219" s="103" t="s">
        <v>1</v>
      </c>
      <c r="BP219" s="102" t="s">
        <v>1</v>
      </c>
      <c r="BQ219" s="103" t="s">
        <v>1</v>
      </c>
    </row>
    <row r="220" spans="1:69" ht="7.5" customHeight="1" x14ac:dyDescent="0.25">
      <c r="A220" s="67">
        <v>220</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c r="BF220" s="30" t="s">
        <v>1</v>
      </c>
      <c r="BG220" s="37" t="s">
        <v>1</v>
      </c>
      <c r="BH220" s="102" t="s">
        <v>1</v>
      </c>
      <c r="BI220" s="103" t="s">
        <v>1</v>
      </c>
      <c r="BJ220" s="102" t="s">
        <v>1</v>
      </c>
      <c r="BK220" s="103" t="s">
        <v>1</v>
      </c>
      <c r="BL220" s="102" t="s">
        <v>1</v>
      </c>
      <c r="BM220" s="103" t="s">
        <v>1</v>
      </c>
      <c r="BN220" s="102" t="s">
        <v>1</v>
      </c>
      <c r="BO220" s="103" t="s">
        <v>1</v>
      </c>
      <c r="BP220" s="102" t="s">
        <v>1</v>
      </c>
      <c r="BQ220" s="103" t="s">
        <v>1</v>
      </c>
    </row>
    <row r="221" spans="1:69" ht="7.5" customHeight="1" x14ac:dyDescent="0.25">
      <c r="A221" s="67">
        <v>221</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c r="BF221" s="30" t="s">
        <v>1</v>
      </c>
      <c r="BG221" s="37" t="s">
        <v>1</v>
      </c>
      <c r="BH221" s="102" t="s">
        <v>1</v>
      </c>
      <c r="BI221" s="103" t="s">
        <v>1</v>
      </c>
      <c r="BJ221" s="102" t="s">
        <v>1</v>
      </c>
      <c r="BK221" s="103" t="s">
        <v>1</v>
      </c>
      <c r="BL221" s="102" t="s">
        <v>1</v>
      </c>
      <c r="BM221" s="103" t="s">
        <v>1</v>
      </c>
      <c r="BN221" s="102" t="s">
        <v>1</v>
      </c>
      <c r="BO221" s="103" t="s">
        <v>1</v>
      </c>
      <c r="BP221" s="102" t="s">
        <v>1</v>
      </c>
      <c r="BQ221" s="103" t="s">
        <v>1</v>
      </c>
    </row>
    <row r="222" spans="1:69" ht="7.5" customHeight="1" x14ac:dyDescent="0.25">
      <c r="A222" s="67">
        <v>222</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c r="BF222" s="30" t="s">
        <v>1</v>
      </c>
      <c r="BG222" s="37" t="s">
        <v>1</v>
      </c>
      <c r="BH222" s="102" t="s">
        <v>1</v>
      </c>
      <c r="BI222" s="103" t="s">
        <v>1</v>
      </c>
      <c r="BJ222" s="102" t="s">
        <v>1</v>
      </c>
      <c r="BK222" s="103" t="s">
        <v>1</v>
      </c>
      <c r="BL222" s="102" t="s">
        <v>1</v>
      </c>
      <c r="BM222" s="103" t="s">
        <v>1</v>
      </c>
      <c r="BN222" s="102" t="s">
        <v>1</v>
      </c>
      <c r="BO222" s="103" t="s">
        <v>1</v>
      </c>
      <c r="BP222" s="102" t="s">
        <v>1</v>
      </c>
      <c r="BQ222" s="103" t="s">
        <v>1</v>
      </c>
    </row>
    <row r="223" spans="1:69" ht="7.5" customHeight="1" x14ac:dyDescent="0.25">
      <c r="A223" s="67">
        <v>223</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c r="BF223" s="30" t="s">
        <v>1</v>
      </c>
      <c r="BG223" s="37" t="s">
        <v>1</v>
      </c>
      <c r="BH223" s="102" t="s">
        <v>1</v>
      </c>
      <c r="BI223" s="103" t="s">
        <v>1</v>
      </c>
      <c r="BJ223" s="102" t="s">
        <v>1</v>
      </c>
      <c r="BK223" s="103" t="s">
        <v>1</v>
      </c>
      <c r="BL223" s="102" t="s">
        <v>1</v>
      </c>
      <c r="BM223" s="103" t="s">
        <v>1</v>
      </c>
      <c r="BN223" s="102" t="s">
        <v>1</v>
      </c>
      <c r="BO223" s="103" t="s">
        <v>1</v>
      </c>
      <c r="BP223" s="102" t="s">
        <v>1</v>
      </c>
      <c r="BQ223" s="103" t="s">
        <v>1</v>
      </c>
    </row>
    <row r="224" spans="1:69" ht="7.5" customHeight="1" x14ac:dyDescent="0.25">
      <c r="A224" s="67">
        <v>224</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c r="BF224" s="30" t="s">
        <v>1</v>
      </c>
      <c r="BG224" s="37" t="s">
        <v>1</v>
      </c>
      <c r="BH224" s="102" t="s">
        <v>1</v>
      </c>
      <c r="BI224" s="103" t="s">
        <v>1</v>
      </c>
      <c r="BJ224" s="102" t="s">
        <v>1</v>
      </c>
      <c r="BK224" s="103" t="s">
        <v>1</v>
      </c>
      <c r="BL224" s="102" t="s">
        <v>1</v>
      </c>
      <c r="BM224" s="103" t="s">
        <v>1</v>
      </c>
      <c r="BN224" s="102" t="s">
        <v>1</v>
      </c>
      <c r="BO224" s="103" t="s">
        <v>1</v>
      </c>
      <c r="BP224" s="102" t="s">
        <v>1</v>
      </c>
      <c r="BQ224" s="103" t="s">
        <v>1</v>
      </c>
    </row>
    <row r="225" spans="1:69" ht="7.5" customHeight="1" x14ac:dyDescent="0.25">
      <c r="A225" s="67">
        <v>225</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c r="BF225" s="30" t="s">
        <v>1</v>
      </c>
      <c r="BG225" s="37" t="s">
        <v>1</v>
      </c>
      <c r="BH225" s="102" t="s">
        <v>1</v>
      </c>
      <c r="BI225" s="103" t="s">
        <v>1</v>
      </c>
      <c r="BJ225" s="102" t="s">
        <v>1</v>
      </c>
      <c r="BK225" s="103" t="s">
        <v>1</v>
      </c>
      <c r="BL225" s="102" t="s">
        <v>1</v>
      </c>
      <c r="BM225" s="103" t="s">
        <v>1</v>
      </c>
      <c r="BN225" s="102" t="s">
        <v>1</v>
      </c>
      <c r="BO225" s="103" t="s">
        <v>1</v>
      </c>
      <c r="BP225" s="102" t="s">
        <v>1</v>
      </c>
      <c r="BQ225" s="103" t="s">
        <v>1</v>
      </c>
    </row>
    <row r="226" spans="1:69" ht="7.5" customHeight="1" x14ac:dyDescent="0.25">
      <c r="A226" s="67">
        <v>226</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c r="BF226" s="30" t="s">
        <v>1</v>
      </c>
      <c r="BG226" s="37" t="s">
        <v>1</v>
      </c>
      <c r="BH226" s="102" t="s">
        <v>1</v>
      </c>
      <c r="BI226" s="103" t="s">
        <v>1</v>
      </c>
      <c r="BJ226" s="102" t="s">
        <v>1</v>
      </c>
      <c r="BK226" s="103" t="s">
        <v>1</v>
      </c>
      <c r="BL226" s="102" t="s">
        <v>1</v>
      </c>
      <c r="BM226" s="103" t="s">
        <v>1</v>
      </c>
      <c r="BN226" s="102" t="s">
        <v>1</v>
      </c>
      <c r="BO226" s="103" t="s">
        <v>1</v>
      </c>
      <c r="BP226" s="102" t="s">
        <v>1</v>
      </c>
      <c r="BQ226" s="103" t="s">
        <v>1</v>
      </c>
    </row>
    <row r="227" spans="1:69" ht="7.5" customHeight="1" x14ac:dyDescent="0.25">
      <c r="A227" s="67">
        <v>227</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c r="BF227" s="30" t="s">
        <v>1</v>
      </c>
      <c r="BG227" s="37" t="s">
        <v>1</v>
      </c>
      <c r="BH227" s="102" t="s">
        <v>1</v>
      </c>
      <c r="BI227" s="103" t="s">
        <v>1</v>
      </c>
      <c r="BJ227" s="102" t="s">
        <v>1</v>
      </c>
      <c r="BK227" s="103" t="s">
        <v>1</v>
      </c>
      <c r="BL227" s="102" t="s">
        <v>1</v>
      </c>
      <c r="BM227" s="103" t="s">
        <v>1</v>
      </c>
      <c r="BN227" s="102" t="s">
        <v>1</v>
      </c>
      <c r="BO227" s="103" t="s">
        <v>1</v>
      </c>
      <c r="BP227" s="102" t="s">
        <v>1</v>
      </c>
      <c r="BQ227" s="103" t="s">
        <v>1</v>
      </c>
    </row>
    <row r="228" spans="1:69" ht="7.5" customHeight="1" x14ac:dyDescent="0.25">
      <c r="A228" s="67">
        <v>228</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c r="BF228" s="30" t="s">
        <v>1</v>
      </c>
      <c r="BG228" s="37" t="s">
        <v>1</v>
      </c>
      <c r="BH228" s="102" t="s">
        <v>1</v>
      </c>
      <c r="BI228" s="103" t="s">
        <v>1</v>
      </c>
      <c r="BJ228" s="102" t="s">
        <v>1</v>
      </c>
      <c r="BK228" s="103" t="s">
        <v>1</v>
      </c>
      <c r="BL228" s="102" t="s">
        <v>1</v>
      </c>
      <c r="BM228" s="103" t="s">
        <v>1</v>
      </c>
      <c r="BN228" s="102" t="s">
        <v>1</v>
      </c>
      <c r="BO228" s="103" t="s">
        <v>1</v>
      </c>
      <c r="BP228" s="102" t="s">
        <v>1</v>
      </c>
      <c r="BQ228" s="103" t="s">
        <v>1</v>
      </c>
    </row>
    <row r="229" spans="1:69" ht="7.5" customHeight="1" x14ac:dyDescent="0.25">
      <c r="A229" s="67">
        <v>229</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c r="BF229" s="30" t="s">
        <v>1</v>
      </c>
      <c r="BG229" s="37" t="s">
        <v>1</v>
      </c>
      <c r="BH229" s="102" t="s">
        <v>1</v>
      </c>
      <c r="BI229" s="103" t="s">
        <v>1</v>
      </c>
      <c r="BJ229" s="102" t="s">
        <v>1</v>
      </c>
      <c r="BK229" s="103" t="s">
        <v>1</v>
      </c>
      <c r="BL229" s="102" t="s">
        <v>1</v>
      </c>
      <c r="BM229" s="103" t="s">
        <v>1</v>
      </c>
      <c r="BN229" s="102" t="s">
        <v>1</v>
      </c>
      <c r="BO229" s="103" t="s">
        <v>1</v>
      </c>
      <c r="BP229" s="102" t="s">
        <v>1</v>
      </c>
      <c r="BQ229" s="103" t="s">
        <v>1</v>
      </c>
    </row>
    <row r="230" spans="1:69" ht="7.5" customHeight="1" x14ac:dyDescent="0.25">
      <c r="A230" s="67">
        <v>230</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c r="BF230" s="30" t="s">
        <v>1</v>
      </c>
      <c r="BG230" s="37" t="s">
        <v>1</v>
      </c>
      <c r="BH230" s="102" t="s">
        <v>1</v>
      </c>
      <c r="BI230" s="103" t="s">
        <v>1</v>
      </c>
      <c r="BJ230" s="102" t="s">
        <v>1</v>
      </c>
      <c r="BK230" s="103" t="s">
        <v>1</v>
      </c>
      <c r="BL230" s="102" t="s">
        <v>1</v>
      </c>
      <c r="BM230" s="103" t="s">
        <v>1</v>
      </c>
      <c r="BN230" s="102" t="s">
        <v>1</v>
      </c>
      <c r="BO230" s="103" t="s">
        <v>1</v>
      </c>
      <c r="BP230" s="102" t="s">
        <v>1</v>
      </c>
      <c r="BQ230" s="103" t="s">
        <v>1</v>
      </c>
    </row>
    <row r="231" spans="1:69" ht="7.5" customHeight="1" x14ac:dyDescent="0.25">
      <c r="A231" s="67">
        <v>231</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c r="BF231" s="30" t="s">
        <v>1</v>
      </c>
      <c r="BG231" s="37" t="s">
        <v>1</v>
      </c>
      <c r="BH231" s="102" t="s">
        <v>1</v>
      </c>
      <c r="BI231" s="103" t="s">
        <v>1</v>
      </c>
      <c r="BJ231" s="102" t="s">
        <v>1</v>
      </c>
      <c r="BK231" s="103" t="s">
        <v>1</v>
      </c>
      <c r="BL231" s="102" t="s">
        <v>1</v>
      </c>
      <c r="BM231" s="103" t="s">
        <v>1</v>
      </c>
      <c r="BN231" s="102" t="s">
        <v>1</v>
      </c>
      <c r="BO231" s="103" t="s">
        <v>1</v>
      </c>
      <c r="BP231" s="102" t="s">
        <v>1</v>
      </c>
      <c r="BQ231" s="103" t="s">
        <v>1</v>
      </c>
    </row>
    <row r="232" spans="1:69" ht="7.5" customHeight="1" x14ac:dyDescent="0.25">
      <c r="A232" s="67">
        <v>232</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c r="BF232" s="30" t="s">
        <v>1</v>
      </c>
      <c r="BG232" s="37" t="s">
        <v>1</v>
      </c>
      <c r="BH232" s="102" t="s">
        <v>1</v>
      </c>
      <c r="BI232" s="103" t="s">
        <v>1</v>
      </c>
      <c r="BJ232" s="102" t="s">
        <v>1</v>
      </c>
      <c r="BK232" s="103" t="s">
        <v>1</v>
      </c>
      <c r="BL232" s="102" t="s">
        <v>1</v>
      </c>
      <c r="BM232" s="103" t="s">
        <v>1</v>
      </c>
      <c r="BN232" s="102" t="s">
        <v>1</v>
      </c>
      <c r="BO232" s="103" t="s">
        <v>1</v>
      </c>
      <c r="BP232" s="102" t="s">
        <v>1</v>
      </c>
      <c r="BQ232" s="103" t="s">
        <v>1</v>
      </c>
    </row>
    <row r="233" spans="1:69" ht="7.5" customHeight="1" x14ac:dyDescent="0.25">
      <c r="A233" s="67">
        <v>233</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c r="BF233" s="30" t="s">
        <v>1</v>
      </c>
      <c r="BG233" s="37" t="s">
        <v>1</v>
      </c>
      <c r="BH233" s="102" t="s">
        <v>1</v>
      </c>
      <c r="BI233" s="103" t="s">
        <v>1</v>
      </c>
      <c r="BJ233" s="102" t="s">
        <v>1</v>
      </c>
      <c r="BK233" s="103" t="s">
        <v>1</v>
      </c>
      <c r="BL233" s="102" t="s">
        <v>1</v>
      </c>
      <c r="BM233" s="103" t="s">
        <v>1</v>
      </c>
      <c r="BN233" s="102" t="s">
        <v>1</v>
      </c>
      <c r="BO233" s="103" t="s">
        <v>1</v>
      </c>
      <c r="BP233" s="102" t="s">
        <v>1</v>
      </c>
      <c r="BQ233" s="103" t="s">
        <v>1</v>
      </c>
    </row>
    <row r="234" spans="1:69" ht="7.5" customHeight="1" x14ac:dyDescent="0.25">
      <c r="A234" s="67">
        <v>234</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c r="BF234" s="30" t="s">
        <v>1</v>
      </c>
      <c r="BG234" s="37" t="s">
        <v>1</v>
      </c>
      <c r="BH234" s="102" t="s">
        <v>1</v>
      </c>
      <c r="BI234" s="103" t="s">
        <v>1</v>
      </c>
      <c r="BJ234" s="102" t="s">
        <v>1</v>
      </c>
      <c r="BK234" s="103" t="s">
        <v>1</v>
      </c>
      <c r="BL234" s="102" t="s">
        <v>1</v>
      </c>
      <c r="BM234" s="103" t="s">
        <v>1</v>
      </c>
      <c r="BN234" s="102" t="s">
        <v>1</v>
      </c>
      <c r="BO234" s="103" t="s">
        <v>1</v>
      </c>
      <c r="BP234" s="102" t="s">
        <v>1</v>
      </c>
      <c r="BQ234" s="103" t="s">
        <v>1</v>
      </c>
    </row>
    <row r="235" spans="1:69" ht="7.5" customHeight="1" x14ac:dyDescent="0.25">
      <c r="A235" s="67">
        <v>235</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c r="BF235" s="30" t="s">
        <v>1</v>
      </c>
      <c r="BG235" s="37" t="s">
        <v>1</v>
      </c>
      <c r="BH235" s="102" t="s">
        <v>1</v>
      </c>
      <c r="BI235" s="103" t="s">
        <v>1</v>
      </c>
      <c r="BJ235" s="102" t="s">
        <v>1</v>
      </c>
      <c r="BK235" s="103" t="s">
        <v>1</v>
      </c>
      <c r="BL235" s="102" t="s">
        <v>1</v>
      </c>
      <c r="BM235" s="103" t="s">
        <v>1</v>
      </c>
      <c r="BN235" s="102" t="s">
        <v>1</v>
      </c>
      <c r="BO235" s="103" t="s">
        <v>1</v>
      </c>
      <c r="BP235" s="102" t="s">
        <v>1</v>
      </c>
      <c r="BQ235" s="103" t="s">
        <v>1</v>
      </c>
    </row>
    <row r="236" spans="1:69" ht="7.5" customHeight="1" x14ac:dyDescent="0.25">
      <c r="A236" s="67">
        <v>236</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c r="BF236" s="30" t="s">
        <v>1</v>
      </c>
      <c r="BG236" s="37" t="s">
        <v>1</v>
      </c>
      <c r="BH236" s="102" t="s">
        <v>1</v>
      </c>
      <c r="BI236" s="103" t="s">
        <v>1</v>
      </c>
      <c r="BJ236" s="102" t="s">
        <v>1</v>
      </c>
      <c r="BK236" s="103" t="s">
        <v>1</v>
      </c>
      <c r="BL236" s="102" t="s">
        <v>1</v>
      </c>
      <c r="BM236" s="103" t="s">
        <v>1</v>
      </c>
      <c r="BN236" s="102" t="s">
        <v>1</v>
      </c>
      <c r="BO236" s="103" t="s">
        <v>1</v>
      </c>
      <c r="BP236" s="102" t="s">
        <v>1</v>
      </c>
      <c r="BQ236" s="103" t="s">
        <v>1</v>
      </c>
    </row>
    <row r="237" spans="1:69" ht="7.5" customHeight="1" x14ac:dyDescent="0.25">
      <c r="A237" s="67">
        <v>237</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c r="BF237" s="30" t="s">
        <v>1</v>
      </c>
      <c r="BG237" s="37" t="s">
        <v>1</v>
      </c>
      <c r="BH237" s="102" t="s">
        <v>1</v>
      </c>
      <c r="BI237" s="103" t="s">
        <v>1</v>
      </c>
      <c r="BJ237" s="102" t="s">
        <v>1</v>
      </c>
      <c r="BK237" s="103" t="s">
        <v>1</v>
      </c>
      <c r="BL237" s="102" t="s">
        <v>1</v>
      </c>
      <c r="BM237" s="103" t="s">
        <v>1</v>
      </c>
      <c r="BN237" s="102" t="s">
        <v>1</v>
      </c>
      <c r="BO237" s="103" t="s">
        <v>1</v>
      </c>
      <c r="BP237" s="102" t="s">
        <v>1</v>
      </c>
      <c r="BQ237" s="103" t="s">
        <v>1</v>
      </c>
    </row>
    <row r="238" spans="1:69" ht="7.5" customHeight="1" x14ac:dyDescent="0.25">
      <c r="A238" s="67">
        <v>238</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c r="BF238" s="30" t="s">
        <v>1</v>
      </c>
      <c r="BG238" s="37" t="s">
        <v>1</v>
      </c>
      <c r="BH238" s="102" t="s">
        <v>1</v>
      </c>
      <c r="BI238" s="103" t="s">
        <v>1</v>
      </c>
      <c r="BJ238" s="102" t="s">
        <v>1</v>
      </c>
      <c r="BK238" s="103" t="s">
        <v>1</v>
      </c>
      <c r="BL238" s="102" t="s">
        <v>1</v>
      </c>
      <c r="BM238" s="103" t="s">
        <v>1</v>
      </c>
      <c r="BN238" s="102" t="s">
        <v>1</v>
      </c>
      <c r="BO238" s="103" t="s">
        <v>1</v>
      </c>
      <c r="BP238" s="102" t="s">
        <v>1</v>
      </c>
      <c r="BQ238" s="103" t="s">
        <v>1</v>
      </c>
    </row>
    <row r="239" spans="1:69" ht="7.5" customHeight="1" x14ac:dyDescent="0.25">
      <c r="A239" s="67">
        <v>239</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c r="BF239" s="30" t="s">
        <v>1</v>
      </c>
      <c r="BG239" s="37" t="s">
        <v>1</v>
      </c>
      <c r="BH239" s="102" t="s">
        <v>1</v>
      </c>
      <c r="BI239" s="103" t="s">
        <v>1</v>
      </c>
      <c r="BJ239" s="102" t="s">
        <v>1</v>
      </c>
      <c r="BK239" s="103" t="s">
        <v>1</v>
      </c>
      <c r="BL239" s="102" t="s">
        <v>1</v>
      </c>
      <c r="BM239" s="103" t="s">
        <v>1</v>
      </c>
      <c r="BN239" s="102" t="s">
        <v>1</v>
      </c>
      <c r="BO239" s="103" t="s">
        <v>1</v>
      </c>
      <c r="BP239" s="102" t="s">
        <v>1</v>
      </c>
      <c r="BQ239" s="103" t="s">
        <v>1</v>
      </c>
    </row>
    <row r="240" spans="1:69" ht="7.5" customHeight="1" x14ac:dyDescent="0.25">
      <c r="A240" s="67">
        <v>240</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c r="BF240" s="30" t="s">
        <v>1</v>
      </c>
      <c r="BG240" s="37" t="s">
        <v>1</v>
      </c>
      <c r="BH240" s="102" t="s">
        <v>1</v>
      </c>
      <c r="BI240" s="103" t="s">
        <v>1</v>
      </c>
      <c r="BJ240" s="102" t="s">
        <v>1</v>
      </c>
      <c r="BK240" s="103" t="s">
        <v>1</v>
      </c>
      <c r="BL240" s="102" t="s">
        <v>1</v>
      </c>
      <c r="BM240" s="103" t="s">
        <v>1</v>
      </c>
      <c r="BN240" s="102" t="s">
        <v>1</v>
      </c>
      <c r="BO240" s="103" t="s">
        <v>1</v>
      </c>
      <c r="BP240" s="102" t="s">
        <v>1</v>
      </c>
      <c r="BQ240" s="103" t="s">
        <v>1</v>
      </c>
    </row>
    <row r="241" spans="1:69" ht="7.5" customHeight="1" x14ac:dyDescent="0.25">
      <c r="A241" s="67">
        <v>241</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c r="BF241" s="30" t="s">
        <v>1</v>
      </c>
      <c r="BG241" s="37" t="s">
        <v>1</v>
      </c>
      <c r="BH241" s="102" t="s">
        <v>1</v>
      </c>
      <c r="BI241" s="103" t="s">
        <v>1</v>
      </c>
      <c r="BJ241" s="102" t="s">
        <v>1</v>
      </c>
      <c r="BK241" s="103" t="s">
        <v>1</v>
      </c>
      <c r="BL241" s="102" t="s">
        <v>1</v>
      </c>
      <c r="BM241" s="103" t="s">
        <v>1</v>
      </c>
      <c r="BN241" s="102" t="s">
        <v>1</v>
      </c>
      <c r="BO241" s="103" t="s">
        <v>1</v>
      </c>
      <c r="BP241" s="102" t="s">
        <v>1</v>
      </c>
      <c r="BQ241" s="103" t="s">
        <v>1</v>
      </c>
    </row>
    <row r="242" spans="1:69" ht="7.5" customHeight="1" x14ac:dyDescent="0.25">
      <c r="A242" s="67">
        <v>242</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c r="BF242" s="30" t="s">
        <v>1</v>
      </c>
      <c r="BG242" s="37" t="s">
        <v>1</v>
      </c>
      <c r="BH242" s="102" t="s">
        <v>1</v>
      </c>
      <c r="BI242" s="103" t="s">
        <v>1</v>
      </c>
      <c r="BJ242" s="102" t="s">
        <v>1</v>
      </c>
      <c r="BK242" s="103" t="s">
        <v>1</v>
      </c>
      <c r="BL242" s="102" t="s">
        <v>1</v>
      </c>
      <c r="BM242" s="103" t="s">
        <v>1</v>
      </c>
      <c r="BN242" s="102" t="s">
        <v>1</v>
      </c>
      <c r="BO242" s="103" t="s">
        <v>1</v>
      </c>
      <c r="BP242" s="102" t="s">
        <v>1</v>
      </c>
      <c r="BQ242" s="103" t="s">
        <v>1</v>
      </c>
    </row>
    <row r="243" spans="1:69" ht="7.5" customHeight="1" x14ac:dyDescent="0.25">
      <c r="A243" s="67">
        <v>243</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c r="BF243" s="30" t="s">
        <v>1</v>
      </c>
      <c r="BG243" s="37" t="s">
        <v>1</v>
      </c>
      <c r="BH243" s="102" t="s">
        <v>1</v>
      </c>
      <c r="BI243" s="103" t="s">
        <v>1</v>
      </c>
      <c r="BJ243" s="102" t="s">
        <v>1</v>
      </c>
      <c r="BK243" s="103" t="s">
        <v>1</v>
      </c>
      <c r="BL243" s="102" t="s">
        <v>1</v>
      </c>
      <c r="BM243" s="103" t="s">
        <v>1</v>
      </c>
      <c r="BN243" s="102" t="s">
        <v>1</v>
      </c>
      <c r="BO243" s="103" t="s">
        <v>1</v>
      </c>
      <c r="BP243" s="102" t="s">
        <v>1</v>
      </c>
      <c r="BQ243" s="103" t="s">
        <v>1</v>
      </c>
    </row>
    <row r="244" spans="1:69" ht="7.5" customHeight="1" x14ac:dyDescent="0.25">
      <c r="A244" s="67">
        <v>244</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c r="BF244" s="30" t="s">
        <v>1</v>
      </c>
      <c r="BG244" s="37" t="s">
        <v>1</v>
      </c>
      <c r="BH244" s="102" t="s">
        <v>1</v>
      </c>
      <c r="BI244" s="103" t="s">
        <v>1</v>
      </c>
      <c r="BJ244" s="102" t="s">
        <v>1</v>
      </c>
      <c r="BK244" s="103" t="s">
        <v>1</v>
      </c>
      <c r="BL244" s="102" t="s">
        <v>1</v>
      </c>
      <c r="BM244" s="103" t="s">
        <v>1</v>
      </c>
      <c r="BN244" s="102" t="s">
        <v>1</v>
      </c>
      <c r="BO244" s="103" t="s">
        <v>1</v>
      </c>
      <c r="BP244" s="102" t="s">
        <v>1</v>
      </c>
      <c r="BQ244" s="103" t="s">
        <v>1</v>
      </c>
    </row>
    <row r="245" spans="1:69" ht="7.5" customHeight="1" x14ac:dyDescent="0.25">
      <c r="A245" s="67">
        <v>245</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c r="BF245" s="30" t="s">
        <v>1</v>
      </c>
      <c r="BG245" s="37" t="s">
        <v>1</v>
      </c>
      <c r="BH245" s="102" t="s">
        <v>1</v>
      </c>
      <c r="BI245" s="103" t="s">
        <v>1</v>
      </c>
      <c r="BJ245" s="102" t="s">
        <v>1</v>
      </c>
      <c r="BK245" s="103" t="s">
        <v>1</v>
      </c>
      <c r="BL245" s="102" t="s">
        <v>1</v>
      </c>
      <c r="BM245" s="103" t="s">
        <v>1</v>
      </c>
      <c r="BN245" s="102" t="s">
        <v>1</v>
      </c>
      <c r="BO245" s="103" t="s">
        <v>1</v>
      </c>
      <c r="BP245" s="102" t="s">
        <v>1</v>
      </c>
      <c r="BQ245" s="103" t="s">
        <v>1</v>
      </c>
    </row>
    <row r="246" spans="1:69" ht="7.5" customHeight="1" x14ac:dyDescent="0.25">
      <c r="A246" s="67">
        <v>246</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c r="BF246" s="30" t="s">
        <v>1</v>
      </c>
      <c r="BG246" s="37" t="s">
        <v>1</v>
      </c>
      <c r="BH246" s="102" t="s">
        <v>1</v>
      </c>
      <c r="BI246" s="103" t="s">
        <v>1</v>
      </c>
      <c r="BJ246" s="102" t="s">
        <v>1</v>
      </c>
      <c r="BK246" s="103" t="s">
        <v>1</v>
      </c>
      <c r="BL246" s="102" t="s">
        <v>1</v>
      </c>
      <c r="BM246" s="103" t="s">
        <v>1</v>
      </c>
      <c r="BN246" s="102" t="s">
        <v>1</v>
      </c>
      <c r="BO246" s="103" t="s">
        <v>1</v>
      </c>
      <c r="BP246" s="102" t="s">
        <v>1</v>
      </c>
      <c r="BQ246" s="103" t="s">
        <v>1</v>
      </c>
    </row>
    <row r="247" spans="1:69" ht="7.5" customHeight="1" x14ac:dyDescent="0.25">
      <c r="A247" s="67">
        <v>247</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c r="BF247" s="30" t="s">
        <v>1</v>
      </c>
      <c r="BG247" s="37" t="s">
        <v>1</v>
      </c>
      <c r="BH247" s="102" t="s">
        <v>1</v>
      </c>
      <c r="BI247" s="103" t="s">
        <v>1</v>
      </c>
      <c r="BJ247" s="102" t="s">
        <v>1</v>
      </c>
      <c r="BK247" s="103" t="s">
        <v>1</v>
      </c>
      <c r="BL247" s="102" t="s">
        <v>1</v>
      </c>
      <c r="BM247" s="103" t="s">
        <v>1</v>
      </c>
      <c r="BN247" s="102" t="s">
        <v>1</v>
      </c>
      <c r="BO247" s="103" t="s">
        <v>1</v>
      </c>
      <c r="BP247" s="102" t="s">
        <v>1</v>
      </c>
      <c r="BQ247" s="103" t="s">
        <v>1</v>
      </c>
    </row>
    <row r="248" spans="1:69" ht="7.5" customHeight="1" x14ac:dyDescent="0.25">
      <c r="A248" s="67">
        <v>248</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c r="BF248" s="30" t="s">
        <v>1</v>
      </c>
      <c r="BG248" s="37" t="s">
        <v>1</v>
      </c>
      <c r="BH248" s="102" t="s">
        <v>1</v>
      </c>
      <c r="BI248" s="103" t="s">
        <v>1</v>
      </c>
      <c r="BJ248" s="102" t="s">
        <v>1</v>
      </c>
      <c r="BK248" s="103" t="s">
        <v>1</v>
      </c>
      <c r="BL248" s="102" t="s">
        <v>1</v>
      </c>
      <c r="BM248" s="103" t="s">
        <v>1</v>
      </c>
      <c r="BN248" s="102" t="s">
        <v>1</v>
      </c>
      <c r="BO248" s="103" t="s">
        <v>1</v>
      </c>
      <c r="BP248" s="102" t="s">
        <v>1</v>
      </c>
      <c r="BQ248" s="103" t="s">
        <v>1</v>
      </c>
    </row>
    <row r="249" spans="1:69" ht="7.5" customHeight="1" x14ac:dyDescent="0.25">
      <c r="A249" s="67">
        <v>249</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c r="BF249" s="30" t="s">
        <v>1</v>
      </c>
      <c r="BG249" s="37" t="s">
        <v>1</v>
      </c>
      <c r="BH249" s="102" t="s">
        <v>1</v>
      </c>
      <c r="BI249" s="103" t="s">
        <v>1</v>
      </c>
      <c r="BJ249" s="102" t="s">
        <v>1</v>
      </c>
      <c r="BK249" s="103" t="s">
        <v>1</v>
      </c>
      <c r="BL249" s="102" t="s">
        <v>1</v>
      </c>
      <c r="BM249" s="103" t="s">
        <v>1</v>
      </c>
      <c r="BN249" s="102" t="s">
        <v>1</v>
      </c>
      <c r="BO249" s="103" t="s">
        <v>1</v>
      </c>
      <c r="BP249" s="102" t="s">
        <v>1</v>
      </c>
      <c r="BQ249" s="103" t="s">
        <v>1</v>
      </c>
    </row>
    <row r="250" spans="1:69" ht="7.5" customHeight="1" x14ac:dyDescent="0.25">
      <c r="A250" s="67">
        <v>250</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c r="BF250" s="30" t="s">
        <v>1</v>
      </c>
      <c r="BG250" s="37" t="s">
        <v>1</v>
      </c>
      <c r="BH250" s="102" t="s">
        <v>1</v>
      </c>
      <c r="BI250" s="103" t="s">
        <v>1</v>
      </c>
      <c r="BJ250" s="102" t="s">
        <v>1</v>
      </c>
      <c r="BK250" s="103" t="s">
        <v>1</v>
      </c>
      <c r="BL250" s="102" t="s">
        <v>1</v>
      </c>
      <c r="BM250" s="103" t="s">
        <v>1</v>
      </c>
      <c r="BN250" s="102" t="s">
        <v>1</v>
      </c>
      <c r="BO250" s="103" t="s">
        <v>1</v>
      </c>
      <c r="BP250" s="102" t="s">
        <v>1</v>
      </c>
      <c r="BQ250" s="103" t="s">
        <v>1</v>
      </c>
    </row>
    <row r="251" spans="1:69" ht="7.5" customHeight="1" x14ac:dyDescent="0.25">
      <c r="A251" s="67">
        <v>251</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c r="BF251" s="30" t="s">
        <v>1</v>
      </c>
      <c r="BG251" s="37" t="s">
        <v>1</v>
      </c>
      <c r="BH251" s="102" t="s">
        <v>1</v>
      </c>
      <c r="BI251" s="103" t="s">
        <v>1</v>
      </c>
      <c r="BJ251" s="102" t="s">
        <v>1</v>
      </c>
      <c r="BK251" s="103" t="s">
        <v>1</v>
      </c>
      <c r="BL251" s="102" t="s">
        <v>1</v>
      </c>
      <c r="BM251" s="103" t="s">
        <v>1</v>
      </c>
      <c r="BN251" s="102" t="s">
        <v>1</v>
      </c>
      <c r="BO251" s="103" t="s">
        <v>1</v>
      </c>
      <c r="BP251" s="102" t="s">
        <v>1</v>
      </c>
      <c r="BQ251" s="103" t="s">
        <v>1</v>
      </c>
    </row>
    <row r="252" spans="1:69" ht="7.5" customHeight="1" x14ac:dyDescent="0.25">
      <c r="A252" s="67">
        <v>252</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c r="BF252" s="30" t="s">
        <v>1</v>
      </c>
      <c r="BG252" s="37" t="s">
        <v>1</v>
      </c>
      <c r="BH252" s="102" t="s">
        <v>1</v>
      </c>
      <c r="BI252" s="103" t="s">
        <v>1</v>
      </c>
      <c r="BJ252" s="102" t="s">
        <v>1</v>
      </c>
      <c r="BK252" s="103" t="s">
        <v>1</v>
      </c>
      <c r="BL252" s="102" t="s">
        <v>1</v>
      </c>
      <c r="BM252" s="103" t="s">
        <v>1</v>
      </c>
      <c r="BN252" s="102" t="s">
        <v>1</v>
      </c>
      <c r="BO252" s="103" t="s">
        <v>1</v>
      </c>
      <c r="BP252" s="102" t="s">
        <v>1</v>
      </c>
      <c r="BQ252" s="103" t="s">
        <v>1</v>
      </c>
    </row>
    <row r="253" spans="1:69" ht="7.5" customHeight="1" x14ac:dyDescent="0.25">
      <c r="A253" s="67">
        <v>253</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c r="BF253" s="30" t="s">
        <v>1</v>
      </c>
      <c r="BG253" s="37" t="s">
        <v>1</v>
      </c>
      <c r="BH253" s="102" t="s">
        <v>1</v>
      </c>
      <c r="BI253" s="103" t="s">
        <v>1</v>
      </c>
      <c r="BJ253" s="102" t="s">
        <v>1</v>
      </c>
      <c r="BK253" s="103" t="s">
        <v>1</v>
      </c>
      <c r="BL253" s="102" t="s">
        <v>1</v>
      </c>
      <c r="BM253" s="103" t="s">
        <v>1</v>
      </c>
      <c r="BN253" s="102" t="s">
        <v>1</v>
      </c>
      <c r="BO253" s="103" t="s">
        <v>1</v>
      </c>
      <c r="BP253" s="102" t="s">
        <v>1</v>
      </c>
      <c r="BQ253" s="103" t="s">
        <v>1</v>
      </c>
    </row>
    <row r="254" spans="1:69" ht="7.5" customHeight="1" x14ac:dyDescent="0.25">
      <c r="A254" s="67">
        <v>254</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c r="BF254" s="30" t="s">
        <v>1</v>
      </c>
      <c r="BG254" s="37" t="s">
        <v>1</v>
      </c>
      <c r="BH254" s="102" t="s">
        <v>1</v>
      </c>
      <c r="BI254" s="103" t="s">
        <v>1</v>
      </c>
      <c r="BJ254" s="102" t="s">
        <v>1</v>
      </c>
      <c r="BK254" s="103" t="s">
        <v>1</v>
      </c>
      <c r="BL254" s="102" t="s">
        <v>1</v>
      </c>
      <c r="BM254" s="103" t="s">
        <v>1</v>
      </c>
      <c r="BN254" s="102" t="s">
        <v>1</v>
      </c>
      <c r="BO254" s="103" t="s">
        <v>1</v>
      </c>
      <c r="BP254" s="102" t="s">
        <v>1</v>
      </c>
      <c r="BQ254" s="103" t="s">
        <v>1</v>
      </c>
    </row>
    <row r="255" spans="1:69" ht="7.5" customHeight="1" x14ac:dyDescent="0.25">
      <c r="A255" s="67">
        <v>255</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c r="BF255" s="30" t="s">
        <v>1</v>
      </c>
      <c r="BG255" s="37" t="s">
        <v>1</v>
      </c>
      <c r="BH255" s="102" t="s">
        <v>1</v>
      </c>
      <c r="BI255" s="103" t="s">
        <v>1</v>
      </c>
      <c r="BJ255" s="102" t="s">
        <v>1</v>
      </c>
      <c r="BK255" s="103" t="s">
        <v>1</v>
      </c>
      <c r="BL255" s="102" t="s">
        <v>1</v>
      </c>
      <c r="BM255" s="103" t="s">
        <v>1</v>
      </c>
      <c r="BN255" s="102" t="s">
        <v>1</v>
      </c>
      <c r="BO255" s="103" t="s">
        <v>1</v>
      </c>
      <c r="BP255" s="102" t="s">
        <v>1</v>
      </c>
      <c r="BQ255" s="103" t="s">
        <v>1</v>
      </c>
    </row>
    <row r="256" spans="1:69" ht="7.5" customHeight="1" x14ac:dyDescent="0.25">
      <c r="A256" s="67">
        <v>256</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c r="BF256" s="30" t="s">
        <v>1</v>
      </c>
      <c r="BG256" s="37" t="s">
        <v>1</v>
      </c>
      <c r="BH256" s="102" t="s">
        <v>1</v>
      </c>
      <c r="BI256" s="103" t="s">
        <v>1</v>
      </c>
      <c r="BJ256" s="102" t="s">
        <v>1</v>
      </c>
      <c r="BK256" s="103" t="s">
        <v>1</v>
      </c>
      <c r="BL256" s="102" t="s">
        <v>1</v>
      </c>
      <c r="BM256" s="103" t="s">
        <v>1</v>
      </c>
      <c r="BN256" s="102" t="s">
        <v>1</v>
      </c>
      <c r="BO256" s="103" t="s">
        <v>1</v>
      </c>
      <c r="BP256" s="102" t="s">
        <v>1</v>
      </c>
      <c r="BQ256" s="103" t="s">
        <v>1</v>
      </c>
    </row>
    <row r="257" spans="1:69" ht="7.5" customHeight="1" x14ac:dyDescent="0.25">
      <c r="A257" s="67">
        <v>257</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c r="BF257" s="30" t="s">
        <v>1</v>
      </c>
      <c r="BG257" s="37" t="s">
        <v>1</v>
      </c>
      <c r="BH257" s="102" t="s">
        <v>1</v>
      </c>
      <c r="BI257" s="103" t="s">
        <v>1</v>
      </c>
      <c r="BJ257" s="102" t="s">
        <v>1</v>
      </c>
      <c r="BK257" s="103" t="s">
        <v>1</v>
      </c>
      <c r="BL257" s="102" t="s">
        <v>1</v>
      </c>
      <c r="BM257" s="103" t="s">
        <v>1</v>
      </c>
      <c r="BN257" s="102" t="s">
        <v>1</v>
      </c>
      <c r="BO257" s="103" t="s">
        <v>1</v>
      </c>
      <c r="BP257" s="102" t="s">
        <v>1</v>
      </c>
      <c r="BQ257" s="103" t="s">
        <v>1</v>
      </c>
    </row>
    <row r="258" spans="1:69" ht="7.5" customHeight="1" x14ac:dyDescent="0.25">
      <c r="A258" s="67">
        <v>258</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c r="BF258" s="30" t="s">
        <v>1</v>
      </c>
      <c r="BG258" s="37" t="s">
        <v>1</v>
      </c>
      <c r="BH258" s="102" t="s">
        <v>1</v>
      </c>
      <c r="BI258" s="103" t="s">
        <v>1</v>
      </c>
      <c r="BJ258" s="102" t="s">
        <v>1</v>
      </c>
      <c r="BK258" s="103" t="s">
        <v>1</v>
      </c>
      <c r="BL258" s="102" t="s">
        <v>1</v>
      </c>
      <c r="BM258" s="103" t="s">
        <v>1</v>
      </c>
      <c r="BN258" s="102" t="s">
        <v>1</v>
      </c>
      <c r="BO258" s="103" t="s">
        <v>1</v>
      </c>
      <c r="BP258" s="102" t="s">
        <v>1</v>
      </c>
      <c r="BQ258" s="103" t="s">
        <v>1</v>
      </c>
    </row>
    <row r="259" spans="1:69" ht="7.5" customHeight="1" x14ac:dyDescent="0.25">
      <c r="A259" s="67">
        <v>259</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c r="BF259" s="30" t="s">
        <v>1</v>
      </c>
      <c r="BG259" s="37" t="s">
        <v>1</v>
      </c>
      <c r="BH259" s="102" t="s">
        <v>1</v>
      </c>
      <c r="BI259" s="103" t="s">
        <v>1</v>
      </c>
      <c r="BJ259" s="102" t="s">
        <v>1</v>
      </c>
      <c r="BK259" s="103" t="s">
        <v>1</v>
      </c>
      <c r="BL259" s="102" t="s">
        <v>1</v>
      </c>
      <c r="BM259" s="103" t="s">
        <v>1</v>
      </c>
      <c r="BN259" s="102" t="s">
        <v>1</v>
      </c>
      <c r="BO259" s="103" t="s">
        <v>1</v>
      </c>
      <c r="BP259" s="102" t="s">
        <v>1</v>
      </c>
      <c r="BQ259" s="103" t="s">
        <v>1</v>
      </c>
    </row>
    <row r="260" spans="1:69" ht="7.5" customHeight="1" x14ac:dyDescent="0.25">
      <c r="A260" s="67">
        <v>260</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c r="BF260" s="30" t="s">
        <v>1</v>
      </c>
      <c r="BG260" s="37" t="s">
        <v>1</v>
      </c>
      <c r="BH260" s="102" t="s">
        <v>1</v>
      </c>
      <c r="BI260" s="103" t="s">
        <v>1</v>
      </c>
      <c r="BJ260" s="102" t="s">
        <v>1</v>
      </c>
      <c r="BK260" s="103" t="s">
        <v>1</v>
      </c>
      <c r="BL260" s="102" t="s">
        <v>1</v>
      </c>
      <c r="BM260" s="103" t="s">
        <v>1</v>
      </c>
      <c r="BN260" s="102" t="s">
        <v>1</v>
      </c>
      <c r="BO260" s="103" t="s">
        <v>1</v>
      </c>
      <c r="BP260" s="102" t="s">
        <v>1</v>
      </c>
      <c r="BQ260" s="103" t="s">
        <v>1</v>
      </c>
    </row>
    <row r="261" spans="1:69" ht="7.5" customHeight="1" x14ac:dyDescent="0.25">
      <c r="A261" s="67">
        <v>261</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c r="BF261" s="30" t="s">
        <v>1</v>
      </c>
      <c r="BG261" s="37" t="s">
        <v>1</v>
      </c>
      <c r="BH261" s="102" t="s">
        <v>1</v>
      </c>
      <c r="BI261" s="103" t="s">
        <v>1</v>
      </c>
      <c r="BJ261" s="102" t="s">
        <v>1</v>
      </c>
      <c r="BK261" s="103" t="s">
        <v>1</v>
      </c>
      <c r="BL261" s="102" t="s">
        <v>1</v>
      </c>
      <c r="BM261" s="103" t="s">
        <v>1</v>
      </c>
      <c r="BN261" s="102" t="s">
        <v>1</v>
      </c>
      <c r="BO261" s="103" t="s">
        <v>1</v>
      </c>
      <c r="BP261" s="102" t="s">
        <v>1</v>
      </c>
      <c r="BQ261" s="103" t="s">
        <v>1</v>
      </c>
    </row>
    <row r="262" spans="1:69" ht="7.5" customHeight="1" x14ac:dyDescent="0.25">
      <c r="A262" s="67">
        <v>262</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c r="BF262" s="30" t="s">
        <v>1</v>
      </c>
      <c r="BG262" s="37" t="s">
        <v>1</v>
      </c>
      <c r="BH262" s="102" t="s">
        <v>1</v>
      </c>
      <c r="BI262" s="103" t="s">
        <v>1</v>
      </c>
      <c r="BJ262" s="102" t="s">
        <v>1</v>
      </c>
      <c r="BK262" s="103" t="s">
        <v>1</v>
      </c>
      <c r="BL262" s="102" t="s">
        <v>1</v>
      </c>
      <c r="BM262" s="103" t="s">
        <v>1</v>
      </c>
      <c r="BN262" s="102" t="s">
        <v>1</v>
      </c>
      <c r="BO262" s="103" t="s">
        <v>1</v>
      </c>
      <c r="BP262" s="102" t="s">
        <v>1</v>
      </c>
      <c r="BQ262" s="103" t="s">
        <v>1</v>
      </c>
    </row>
    <row r="263" spans="1:69" ht="7.5" customHeight="1" x14ac:dyDescent="0.25">
      <c r="A263" s="67">
        <v>263</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c r="BF263" s="30" t="s">
        <v>1</v>
      </c>
      <c r="BG263" s="37" t="s">
        <v>1</v>
      </c>
      <c r="BH263" s="102" t="s">
        <v>1</v>
      </c>
      <c r="BI263" s="103" t="s">
        <v>1</v>
      </c>
      <c r="BJ263" s="102" t="s">
        <v>1</v>
      </c>
      <c r="BK263" s="103" t="s">
        <v>1</v>
      </c>
      <c r="BL263" s="102" t="s">
        <v>1</v>
      </c>
      <c r="BM263" s="103" t="s">
        <v>1</v>
      </c>
      <c r="BN263" s="102" t="s">
        <v>1</v>
      </c>
      <c r="BO263" s="103" t="s">
        <v>1</v>
      </c>
      <c r="BP263" s="102" t="s">
        <v>1</v>
      </c>
      <c r="BQ263" s="103" t="s">
        <v>1</v>
      </c>
    </row>
    <row r="264" spans="1:69" ht="7.5" customHeight="1" x14ac:dyDescent="0.25">
      <c r="A264" s="67">
        <v>264</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c r="BF264" s="30" t="s">
        <v>1</v>
      </c>
      <c r="BG264" s="37" t="s">
        <v>1</v>
      </c>
      <c r="BH264" s="102" t="s">
        <v>1</v>
      </c>
      <c r="BI264" s="103" t="s">
        <v>1</v>
      </c>
      <c r="BJ264" s="102" t="s">
        <v>1</v>
      </c>
      <c r="BK264" s="103" t="s">
        <v>1</v>
      </c>
      <c r="BL264" s="102" t="s">
        <v>1</v>
      </c>
      <c r="BM264" s="103" t="s">
        <v>1</v>
      </c>
      <c r="BN264" s="102" t="s">
        <v>1</v>
      </c>
      <c r="BO264" s="103" t="s">
        <v>1</v>
      </c>
      <c r="BP264" s="102" t="s">
        <v>1</v>
      </c>
      <c r="BQ264" s="103" t="s">
        <v>1</v>
      </c>
    </row>
    <row r="265" spans="1:69" ht="7.5" customHeight="1" x14ac:dyDescent="0.25">
      <c r="A265" s="67">
        <v>265</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c r="BF265" s="30" t="s">
        <v>1</v>
      </c>
      <c r="BG265" s="37" t="s">
        <v>1</v>
      </c>
      <c r="BH265" s="102" t="s">
        <v>1</v>
      </c>
      <c r="BI265" s="103" t="s">
        <v>1</v>
      </c>
      <c r="BJ265" s="102" t="s">
        <v>1</v>
      </c>
      <c r="BK265" s="103" t="s">
        <v>1</v>
      </c>
      <c r="BL265" s="102" t="s">
        <v>1</v>
      </c>
      <c r="BM265" s="103" t="s">
        <v>1</v>
      </c>
      <c r="BN265" s="102" t="s">
        <v>1</v>
      </c>
      <c r="BO265" s="103" t="s">
        <v>1</v>
      </c>
      <c r="BP265" s="102" t="s">
        <v>1</v>
      </c>
      <c r="BQ265" s="103" t="s">
        <v>1</v>
      </c>
    </row>
    <row r="266" spans="1:69" ht="7.5" customHeight="1" x14ac:dyDescent="0.25">
      <c r="A266" s="67">
        <v>266</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c r="BF266" s="30" t="s">
        <v>1</v>
      </c>
      <c r="BG266" s="37" t="s">
        <v>1</v>
      </c>
      <c r="BH266" s="102" t="s">
        <v>1</v>
      </c>
      <c r="BI266" s="103" t="s">
        <v>1</v>
      </c>
      <c r="BJ266" s="102" t="s">
        <v>1</v>
      </c>
      <c r="BK266" s="103" t="s">
        <v>1</v>
      </c>
      <c r="BL266" s="102" t="s">
        <v>1</v>
      </c>
      <c r="BM266" s="103" t="s">
        <v>1</v>
      </c>
      <c r="BN266" s="102" t="s">
        <v>1</v>
      </c>
      <c r="BO266" s="103" t="s">
        <v>1</v>
      </c>
      <c r="BP266" s="102" t="s">
        <v>1</v>
      </c>
      <c r="BQ266" s="103" t="s">
        <v>1</v>
      </c>
    </row>
    <row r="267" spans="1:69" ht="7.5" customHeight="1" x14ac:dyDescent="0.25">
      <c r="A267" s="67">
        <v>267</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c r="BF267" s="30" t="s">
        <v>1</v>
      </c>
      <c r="BG267" s="37" t="s">
        <v>1</v>
      </c>
      <c r="BH267" s="102" t="s">
        <v>1</v>
      </c>
      <c r="BI267" s="103" t="s">
        <v>1</v>
      </c>
      <c r="BJ267" s="102" t="s">
        <v>1</v>
      </c>
      <c r="BK267" s="103" t="s">
        <v>1</v>
      </c>
      <c r="BL267" s="102" t="s">
        <v>1</v>
      </c>
      <c r="BM267" s="103" t="s">
        <v>1</v>
      </c>
      <c r="BN267" s="102" t="s">
        <v>1</v>
      </c>
      <c r="BO267" s="103" t="s">
        <v>1</v>
      </c>
      <c r="BP267" s="102" t="s">
        <v>1</v>
      </c>
      <c r="BQ267" s="103" t="s">
        <v>1</v>
      </c>
    </row>
    <row r="268" spans="1:69" ht="7.5" customHeight="1" x14ac:dyDescent="0.25">
      <c r="A268" s="67">
        <v>268</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c r="BF268" s="30" t="s">
        <v>1</v>
      </c>
      <c r="BG268" s="37" t="s">
        <v>1</v>
      </c>
      <c r="BH268" s="102" t="s">
        <v>1</v>
      </c>
      <c r="BI268" s="103" t="s">
        <v>1</v>
      </c>
      <c r="BJ268" s="102" t="s">
        <v>1</v>
      </c>
      <c r="BK268" s="103" t="s">
        <v>1</v>
      </c>
      <c r="BL268" s="102" t="s">
        <v>1</v>
      </c>
      <c r="BM268" s="103" t="s">
        <v>1</v>
      </c>
      <c r="BN268" s="102" t="s">
        <v>1</v>
      </c>
      <c r="BO268" s="103" t="s">
        <v>1</v>
      </c>
      <c r="BP268" s="102" t="s">
        <v>1</v>
      </c>
      <c r="BQ268" s="103" t="s">
        <v>1</v>
      </c>
    </row>
    <row r="269" spans="1:69" ht="7.5" customHeight="1" x14ac:dyDescent="0.25">
      <c r="A269" s="67">
        <v>269</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c r="BF269" s="30" t="s">
        <v>1</v>
      </c>
      <c r="BG269" s="37" t="s">
        <v>1</v>
      </c>
      <c r="BH269" s="102" t="s">
        <v>1</v>
      </c>
      <c r="BI269" s="103" t="s">
        <v>1</v>
      </c>
      <c r="BJ269" s="102" t="s">
        <v>1</v>
      </c>
      <c r="BK269" s="103" t="s">
        <v>1</v>
      </c>
      <c r="BL269" s="102" t="s">
        <v>1</v>
      </c>
      <c r="BM269" s="103" t="s">
        <v>1</v>
      </c>
      <c r="BN269" s="102" t="s">
        <v>1</v>
      </c>
      <c r="BO269" s="103" t="s">
        <v>1</v>
      </c>
      <c r="BP269" s="102" t="s">
        <v>1</v>
      </c>
      <c r="BQ269" s="103" t="s">
        <v>1</v>
      </c>
    </row>
    <row r="270" spans="1:69" ht="7.5" customHeight="1" x14ac:dyDescent="0.25">
      <c r="A270" s="67">
        <v>270</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c r="BF270" s="30" t="s">
        <v>1</v>
      </c>
      <c r="BG270" s="37" t="s">
        <v>1</v>
      </c>
      <c r="BH270" s="102" t="s">
        <v>1</v>
      </c>
      <c r="BI270" s="103" t="s">
        <v>1</v>
      </c>
      <c r="BJ270" s="102" t="s">
        <v>1</v>
      </c>
      <c r="BK270" s="103" t="s">
        <v>1</v>
      </c>
      <c r="BL270" s="102" t="s">
        <v>1</v>
      </c>
      <c r="BM270" s="103" t="s">
        <v>1</v>
      </c>
      <c r="BN270" s="102" t="s">
        <v>1</v>
      </c>
      <c r="BO270" s="103" t="s">
        <v>1</v>
      </c>
      <c r="BP270" s="102" t="s">
        <v>1</v>
      </c>
      <c r="BQ270" s="103" t="s">
        <v>1</v>
      </c>
    </row>
    <row r="271" spans="1:69" ht="7.5" customHeight="1" x14ac:dyDescent="0.25">
      <c r="A271" s="67">
        <v>271</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c r="BF271" s="30" t="s">
        <v>1</v>
      </c>
      <c r="BG271" s="37" t="s">
        <v>1</v>
      </c>
      <c r="BH271" s="102" t="s">
        <v>1</v>
      </c>
      <c r="BI271" s="103" t="s">
        <v>1</v>
      </c>
      <c r="BJ271" s="102" t="s">
        <v>1</v>
      </c>
      <c r="BK271" s="103" t="s">
        <v>1</v>
      </c>
      <c r="BL271" s="102" t="s">
        <v>1</v>
      </c>
      <c r="BM271" s="103" t="s">
        <v>1</v>
      </c>
      <c r="BN271" s="102" t="s">
        <v>1</v>
      </c>
      <c r="BO271" s="103" t="s">
        <v>1</v>
      </c>
      <c r="BP271" s="102" t="s">
        <v>1</v>
      </c>
      <c r="BQ271" s="103" t="s">
        <v>1</v>
      </c>
    </row>
    <row r="272" spans="1:69" ht="7.5" customHeight="1" x14ac:dyDescent="0.25">
      <c r="A272" s="67">
        <v>272</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c r="BF272" s="30" t="s">
        <v>1</v>
      </c>
      <c r="BG272" s="37" t="s">
        <v>1</v>
      </c>
      <c r="BH272" s="102" t="s">
        <v>1</v>
      </c>
      <c r="BI272" s="103" t="s">
        <v>1</v>
      </c>
      <c r="BJ272" s="102" t="s">
        <v>1</v>
      </c>
      <c r="BK272" s="103" t="s">
        <v>1</v>
      </c>
      <c r="BL272" s="102" t="s">
        <v>1</v>
      </c>
      <c r="BM272" s="103" t="s">
        <v>1</v>
      </c>
      <c r="BN272" s="102" t="s">
        <v>1</v>
      </c>
      <c r="BO272" s="103" t="s">
        <v>1</v>
      </c>
      <c r="BP272" s="102" t="s">
        <v>1</v>
      </c>
      <c r="BQ272" s="103" t="s">
        <v>1</v>
      </c>
    </row>
    <row r="273" spans="1:69" ht="7.5" customHeight="1" x14ac:dyDescent="0.25">
      <c r="A273" s="67">
        <v>273</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c r="BF273" s="30" t="s">
        <v>1</v>
      </c>
      <c r="BG273" s="37" t="s">
        <v>1</v>
      </c>
      <c r="BH273" s="102" t="s">
        <v>1</v>
      </c>
      <c r="BI273" s="103" t="s">
        <v>1</v>
      </c>
      <c r="BJ273" s="102" t="s">
        <v>1</v>
      </c>
      <c r="BK273" s="103" t="s">
        <v>1</v>
      </c>
      <c r="BL273" s="102" t="s">
        <v>1</v>
      </c>
      <c r="BM273" s="103" t="s">
        <v>1</v>
      </c>
      <c r="BN273" s="102" t="s">
        <v>1</v>
      </c>
      <c r="BO273" s="103" t="s">
        <v>1</v>
      </c>
      <c r="BP273" s="102" t="s">
        <v>1</v>
      </c>
      <c r="BQ273" s="103" t="s">
        <v>1</v>
      </c>
    </row>
    <row r="274" spans="1:69" ht="7.5" customHeight="1" x14ac:dyDescent="0.25">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c r="BF274" s="30" t="s">
        <v>1</v>
      </c>
      <c r="BG274" s="37" t="s">
        <v>1</v>
      </c>
      <c r="BH274" s="102" t="s">
        <v>1</v>
      </c>
      <c r="BI274" s="103" t="s">
        <v>1</v>
      </c>
      <c r="BJ274" s="102" t="s">
        <v>1</v>
      </c>
      <c r="BK274" s="103" t="s">
        <v>1</v>
      </c>
      <c r="BL274" s="102" t="s">
        <v>1</v>
      </c>
      <c r="BM274" s="103" t="s">
        <v>1</v>
      </c>
      <c r="BN274" s="102" t="s">
        <v>1</v>
      </c>
      <c r="BO274" s="103" t="s">
        <v>1</v>
      </c>
      <c r="BP274" s="102" t="s">
        <v>1</v>
      </c>
      <c r="BQ274" s="103" t="s">
        <v>1</v>
      </c>
    </row>
    <row r="275" spans="1:69" ht="7.5" customHeight="1" x14ac:dyDescent="0.25">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c r="BF275" s="30" t="s">
        <v>1</v>
      </c>
      <c r="BG275" s="37" t="s">
        <v>1</v>
      </c>
      <c r="BH275" s="102" t="s">
        <v>1</v>
      </c>
      <c r="BI275" s="103" t="s">
        <v>1</v>
      </c>
      <c r="BJ275" s="102" t="s">
        <v>1</v>
      </c>
      <c r="BK275" s="103" t="s">
        <v>1</v>
      </c>
      <c r="BL275" s="102" t="s">
        <v>1</v>
      </c>
      <c r="BM275" s="103" t="s">
        <v>1</v>
      </c>
      <c r="BN275" s="102" t="s">
        <v>1</v>
      </c>
      <c r="BO275" s="103" t="s">
        <v>1</v>
      </c>
      <c r="BP275" s="102" t="s">
        <v>1</v>
      </c>
      <c r="BQ275" s="103" t="s">
        <v>1</v>
      </c>
    </row>
    <row r="276" spans="1:69" ht="7.5" customHeight="1" x14ac:dyDescent="0.25">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c r="BF276" s="30" t="s">
        <v>1</v>
      </c>
      <c r="BG276" s="37" t="s">
        <v>1</v>
      </c>
      <c r="BH276" s="102" t="s">
        <v>1</v>
      </c>
      <c r="BI276" s="103" t="s">
        <v>1</v>
      </c>
      <c r="BJ276" s="102" t="s">
        <v>1</v>
      </c>
      <c r="BK276" s="103" t="s">
        <v>1</v>
      </c>
      <c r="BL276" s="102" t="s">
        <v>1</v>
      </c>
      <c r="BM276" s="103" t="s">
        <v>1</v>
      </c>
      <c r="BN276" s="102" t="s">
        <v>1</v>
      </c>
      <c r="BO276" s="103" t="s">
        <v>1</v>
      </c>
      <c r="BP276" s="102" t="s">
        <v>1</v>
      </c>
      <c r="BQ276" s="103" t="s">
        <v>1</v>
      </c>
    </row>
    <row r="277" spans="1:69" ht="7.5" customHeight="1" x14ac:dyDescent="0.25">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c r="BF277" s="30" t="s">
        <v>1</v>
      </c>
      <c r="BG277" s="37" t="s">
        <v>1</v>
      </c>
      <c r="BH277" s="102" t="s">
        <v>1</v>
      </c>
      <c r="BI277" s="103" t="s">
        <v>1</v>
      </c>
      <c r="BJ277" s="102" t="s">
        <v>1</v>
      </c>
      <c r="BK277" s="103" t="s">
        <v>1</v>
      </c>
      <c r="BL277" s="102" t="s">
        <v>1</v>
      </c>
      <c r="BM277" s="103" t="s">
        <v>1</v>
      </c>
      <c r="BN277" s="102" t="s">
        <v>1</v>
      </c>
      <c r="BO277" s="103" t="s">
        <v>1</v>
      </c>
      <c r="BP277" s="102" t="s">
        <v>1</v>
      </c>
      <c r="BQ277" s="103" t="s">
        <v>1</v>
      </c>
    </row>
    <row r="278" spans="1:69" ht="7.5" customHeight="1" x14ac:dyDescent="0.25">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c r="BF278" s="30" t="s">
        <v>1</v>
      </c>
      <c r="BG278" s="37" t="s">
        <v>1</v>
      </c>
      <c r="BH278" s="102" t="s">
        <v>1</v>
      </c>
      <c r="BI278" s="103" t="s">
        <v>1</v>
      </c>
      <c r="BJ278" s="102" t="s">
        <v>1</v>
      </c>
      <c r="BK278" s="103" t="s">
        <v>1</v>
      </c>
      <c r="BL278" s="102" t="s">
        <v>1</v>
      </c>
      <c r="BM278" s="103" t="s">
        <v>1</v>
      </c>
      <c r="BN278" s="102" t="s">
        <v>1</v>
      </c>
      <c r="BO278" s="103" t="s">
        <v>1</v>
      </c>
      <c r="BP278" s="102" t="s">
        <v>1</v>
      </c>
      <c r="BQ278" s="103" t="s">
        <v>1</v>
      </c>
    </row>
    <row r="279" spans="1:69" ht="7.5" customHeight="1" x14ac:dyDescent="0.25">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c r="BF279" s="30" t="s">
        <v>1</v>
      </c>
      <c r="BG279" s="37" t="s">
        <v>1</v>
      </c>
      <c r="BH279" s="102" t="s">
        <v>1</v>
      </c>
      <c r="BI279" s="103" t="s">
        <v>1</v>
      </c>
      <c r="BJ279" s="102" t="s">
        <v>1</v>
      </c>
      <c r="BK279" s="103" t="s">
        <v>1</v>
      </c>
      <c r="BL279" s="102" t="s">
        <v>1</v>
      </c>
      <c r="BM279" s="103" t="s">
        <v>1</v>
      </c>
      <c r="BN279" s="102" t="s">
        <v>1</v>
      </c>
      <c r="BO279" s="103" t="s">
        <v>1</v>
      </c>
      <c r="BP279" s="102" t="s">
        <v>1</v>
      </c>
      <c r="BQ279" s="103" t="s">
        <v>1</v>
      </c>
    </row>
    <row r="280" spans="1:69" ht="7.5" customHeight="1" x14ac:dyDescent="0.25">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c r="BF280" s="30" t="s">
        <v>1</v>
      </c>
      <c r="BG280" s="37" t="s">
        <v>1</v>
      </c>
      <c r="BH280" s="102" t="s">
        <v>1</v>
      </c>
      <c r="BI280" s="103" t="s">
        <v>1</v>
      </c>
      <c r="BJ280" s="102" t="s">
        <v>1</v>
      </c>
      <c r="BK280" s="103" t="s">
        <v>1</v>
      </c>
      <c r="BL280" s="102" t="s">
        <v>1</v>
      </c>
      <c r="BM280" s="103" t="s">
        <v>1</v>
      </c>
      <c r="BN280" s="102" t="s">
        <v>1</v>
      </c>
      <c r="BO280" s="103" t="s">
        <v>1</v>
      </c>
      <c r="BP280" s="102" t="s">
        <v>1</v>
      </c>
      <c r="BQ280" s="103" t="s">
        <v>1</v>
      </c>
    </row>
    <row r="281" spans="1:69" ht="7.5" customHeight="1" x14ac:dyDescent="0.25">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c r="BF281" s="30" t="s">
        <v>1</v>
      </c>
      <c r="BG281" s="37" t="s">
        <v>1</v>
      </c>
      <c r="BH281" s="102" t="s">
        <v>1</v>
      </c>
      <c r="BI281" s="103" t="s">
        <v>1</v>
      </c>
      <c r="BJ281" s="102" t="s">
        <v>1</v>
      </c>
      <c r="BK281" s="103" t="s">
        <v>1</v>
      </c>
      <c r="BL281" s="102" t="s">
        <v>1</v>
      </c>
      <c r="BM281" s="103" t="s">
        <v>1</v>
      </c>
      <c r="BN281" s="102" t="s">
        <v>1</v>
      </c>
      <c r="BO281" s="103" t="s">
        <v>1</v>
      </c>
      <c r="BP281" s="102" t="s">
        <v>1</v>
      </c>
      <c r="BQ281" s="103" t="s">
        <v>1</v>
      </c>
    </row>
    <row r="282" spans="1:69" ht="7.5" customHeight="1" x14ac:dyDescent="0.25">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c r="BF282" s="30" t="s">
        <v>1</v>
      </c>
      <c r="BG282" s="37" t="s">
        <v>1</v>
      </c>
      <c r="BH282" s="102" t="s">
        <v>1</v>
      </c>
      <c r="BI282" s="103" t="s">
        <v>1</v>
      </c>
      <c r="BJ282" s="102" t="s">
        <v>1</v>
      </c>
      <c r="BK282" s="103" t="s">
        <v>1</v>
      </c>
      <c r="BL282" s="102" t="s">
        <v>1</v>
      </c>
      <c r="BM282" s="103" t="s">
        <v>1</v>
      </c>
      <c r="BN282" s="102" t="s">
        <v>1</v>
      </c>
      <c r="BO282" s="103" t="s">
        <v>1</v>
      </c>
      <c r="BP282" s="102" t="s">
        <v>1</v>
      </c>
      <c r="BQ282" s="103" t="s">
        <v>1</v>
      </c>
    </row>
    <row r="283" spans="1:69" ht="7.5" customHeight="1" x14ac:dyDescent="0.25">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c r="BF283" s="30" t="s">
        <v>1</v>
      </c>
      <c r="BG283" s="37" t="s">
        <v>1</v>
      </c>
      <c r="BH283" s="102" t="s">
        <v>1</v>
      </c>
      <c r="BI283" s="103" t="s">
        <v>1</v>
      </c>
      <c r="BJ283" s="102" t="s">
        <v>1</v>
      </c>
      <c r="BK283" s="103" t="s">
        <v>1</v>
      </c>
      <c r="BL283" s="102" t="s">
        <v>1</v>
      </c>
      <c r="BM283" s="103" t="s">
        <v>1</v>
      </c>
      <c r="BN283" s="102" t="s">
        <v>1</v>
      </c>
      <c r="BO283" s="103" t="s">
        <v>1</v>
      </c>
      <c r="BP283" s="102" t="s">
        <v>1</v>
      </c>
      <c r="BQ283" s="103" t="s">
        <v>1</v>
      </c>
    </row>
    <row r="284" spans="1:69" ht="7.5" customHeight="1" x14ac:dyDescent="0.25">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c r="BF284" s="30" t="s">
        <v>1</v>
      </c>
      <c r="BG284" s="37" t="s">
        <v>1</v>
      </c>
      <c r="BH284" s="102" t="s">
        <v>1</v>
      </c>
      <c r="BI284" s="103" t="s">
        <v>1</v>
      </c>
      <c r="BJ284" s="102" t="s">
        <v>1</v>
      </c>
      <c r="BK284" s="103" t="s">
        <v>1</v>
      </c>
      <c r="BL284" s="102" t="s">
        <v>1</v>
      </c>
      <c r="BM284" s="103" t="s">
        <v>1</v>
      </c>
      <c r="BN284" s="102" t="s">
        <v>1</v>
      </c>
      <c r="BO284" s="103" t="s">
        <v>1</v>
      </c>
      <c r="BP284" s="102" t="s">
        <v>1</v>
      </c>
      <c r="BQ284" s="103" t="s">
        <v>1</v>
      </c>
    </row>
    <row r="285" spans="1:69" ht="7.5" customHeight="1" x14ac:dyDescent="0.25">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c r="BF285" s="30" t="s">
        <v>1</v>
      </c>
      <c r="BG285" s="37" t="s">
        <v>1</v>
      </c>
      <c r="BH285" s="102" t="s">
        <v>1</v>
      </c>
      <c r="BI285" s="103" t="s">
        <v>1</v>
      </c>
      <c r="BJ285" s="102" t="s">
        <v>1</v>
      </c>
      <c r="BK285" s="103" t="s">
        <v>1</v>
      </c>
      <c r="BL285" s="102" t="s">
        <v>1</v>
      </c>
      <c r="BM285" s="103" t="s">
        <v>1</v>
      </c>
      <c r="BN285" s="102" t="s">
        <v>1</v>
      </c>
      <c r="BO285" s="103" t="s">
        <v>1</v>
      </c>
      <c r="BP285" s="102" t="s">
        <v>1</v>
      </c>
      <c r="BQ285" s="103" t="s">
        <v>1</v>
      </c>
    </row>
    <row r="286" spans="1:69" ht="7.5" customHeight="1" x14ac:dyDescent="0.25">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c r="BF286" s="30" t="s">
        <v>1</v>
      </c>
      <c r="BG286" s="37" t="s">
        <v>1</v>
      </c>
      <c r="BH286" s="102" t="s">
        <v>1</v>
      </c>
      <c r="BI286" s="103" t="s">
        <v>1</v>
      </c>
      <c r="BJ286" s="102" t="s">
        <v>1</v>
      </c>
      <c r="BK286" s="103" t="s">
        <v>1</v>
      </c>
      <c r="BL286" s="102" t="s">
        <v>1</v>
      </c>
      <c r="BM286" s="103" t="s">
        <v>1</v>
      </c>
      <c r="BN286" s="102" t="s">
        <v>1</v>
      </c>
      <c r="BO286" s="103" t="s">
        <v>1</v>
      </c>
      <c r="BP286" s="102" t="s">
        <v>1</v>
      </c>
      <c r="BQ286" s="103" t="s">
        <v>1</v>
      </c>
    </row>
    <row r="287" spans="1:69" ht="7.5" customHeight="1" x14ac:dyDescent="0.25">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c r="BF287" s="30" t="s">
        <v>1</v>
      </c>
      <c r="BG287" s="37" t="s">
        <v>1</v>
      </c>
      <c r="BH287" s="102" t="s">
        <v>1</v>
      </c>
      <c r="BI287" s="103" t="s">
        <v>1</v>
      </c>
      <c r="BJ287" s="102" t="s">
        <v>1</v>
      </c>
      <c r="BK287" s="103" t="s">
        <v>1</v>
      </c>
      <c r="BL287" s="102" t="s">
        <v>1</v>
      </c>
      <c r="BM287" s="103" t="s">
        <v>1</v>
      </c>
      <c r="BN287" s="102" t="s">
        <v>1</v>
      </c>
      <c r="BO287" s="103" t="s">
        <v>1</v>
      </c>
      <c r="BP287" s="102" t="s">
        <v>1</v>
      </c>
      <c r="BQ287" s="103" t="s">
        <v>1</v>
      </c>
    </row>
    <row r="288" spans="1:69" ht="7.5" customHeight="1" x14ac:dyDescent="0.25">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c r="BF288" s="30" t="s">
        <v>1</v>
      </c>
      <c r="BG288" s="37" t="s">
        <v>1</v>
      </c>
      <c r="BH288" s="102" t="s">
        <v>1</v>
      </c>
      <c r="BI288" s="103" t="s">
        <v>1</v>
      </c>
      <c r="BJ288" s="102" t="s">
        <v>1</v>
      </c>
      <c r="BK288" s="103" t="s">
        <v>1</v>
      </c>
      <c r="BL288" s="102" t="s">
        <v>1</v>
      </c>
      <c r="BM288" s="103" t="s">
        <v>1</v>
      </c>
      <c r="BN288" s="102" t="s">
        <v>1</v>
      </c>
      <c r="BO288" s="103" t="s">
        <v>1</v>
      </c>
      <c r="BP288" s="102" t="s">
        <v>1</v>
      </c>
      <c r="BQ288" s="103" t="s">
        <v>1</v>
      </c>
    </row>
    <row r="289" spans="1:69" ht="7.5" customHeight="1" x14ac:dyDescent="0.25">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c r="BF289" s="30" t="s">
        <v>1</v>
      </c>
      <c r="BG289" s="37" t="s">
        <v>1</v>
      </c>
      <c r="BH289" s="102" t="s">
        <v>1</v>
      </c>
      <c r="BI289" s="103" t="s">
        <v>1</v>
      </c>
      <c r="BJ289" s="102" t="s">
        <v>1</v>
      </c>
      <c r="BK289" s="103" t="s">
        <v>1</v>
      </c>
      <c r="BL289" s="102" t="s">
        <v>1</v>
      </c>
      <c r="BM289" s="103" t="s">
        <v>1</v>
      </c>
      <c r="BN289" s="102" t="s">
        <v>1</v>
      </c>
      <c r="BO289" s="103" t="s">
        <v>1</v>
      </c>
      <c r="BP289" s="102" t="s">
        <v>1</v>
      </c>
      <c r="BQ289" s="103" t="s">
        <v>1</v>
      </c>
    </row>
    <row r="290" spans="1:69" ht="7.5" customHeight="1" x14ac:dyDescent="0.25">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c r="BF290" s="30" t="s">
        <v>1</v>
      </c>
      <c r="BG290" s="37" t="s">
        <v>1</v>
      </c>
      <c r="BH290" s="102" t="s">
        <v>1</v>
      </c>
      <c r="BI290" s="103" t="s">
        <v>1</v>
      </c>
      <c r="BJ290" s="102" t="s">
        <v>1</v>
      </c>
      <c r="BK290" s="103" t="s">
        <v>1</v>
      </c>
      <c r="BL290" s="102" t="s">
        <v>1</v>
      </c>
      <c r="BM290" s="103" t="s">
        <v>1</v>
      </c>
      <c r="BN290" s="102" t="s">
        <v>1</v>
      </c>
      <c r="BO290" s="103" t="s">
        <v>1</v>
      </c>
      <c r="BP290" s="102" t="s">
        <v>1</v>
      </c>
      <c r="BQ290" s="103" t="s">
        <v>1</v>
      </c>
    </row>
    <row r="291" spans="1:69" ht="7.5" customHeight="1" x14ac:dyDescent="0.25">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c r="BF291" s="30" t="s">
        <v>1</v>
      </c>
      <c r="BG291" s="37" t="s">
        <v>1</v>
      </c>
      <c r="BH291" s="102" t="s">
        <v>1</v>
      </c>
      <c r="BI291" s="103" t="s">
        <v>1</v>
      </c>
      <c r="BJ291" s="102" t="s">
        <v>1</v>
      </c>
      <c r="BK291" s="103" t="s">
        <v>1</v>
      </c>
      <c r="BL291" s="102" t="s">
        <v>1</v>
      </c>
      <c r="BM291" s="103" t="s">
        <v>1</v>
      </c>
      <c r="BN291" s="102" t="s">
        <v>1</v>
      </c>
      <c r="BO291" s="103" t="s">
        <v>1</v>
      </c>
      <c r="BP291" s="102" t="s">
        <v>1</v>
      </c>
      <c r="BQ291" s="103" t="s">
        <v>1</v>
      </c>
    </row>
    <row r="292" spans="1:69" ht="7.5" customHeight="1" x14ac:dyDescent="0.25">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c r="BF292" s="30" t="s">
        <v>1</v>
      </c>
      <c r="BG292" s="37" t="s">
        <v>1</v>
      </c>
      <c r="BH292" s="102" t="s">
        <v>1</v>
      </c>
      <c r="BI292" s="103" t="s">
        <v>1</v>
      </c>
      <c r="BJ292" s="102" t="s">
        <v>1</v>
      </c>
      <c r="BK292" s="103" t="s">
        <v>1</v>
      </c>
      <c r="BL292" s="102" t="s">
        <v>1</v>
      </c>
      <c r="BM292" s="103" t="s">
        <v>1</v>
      </c>
      <c r="BN292" s="102" t="s">
        <v>1</v>
      </c>
      <c r="BO292" s="103" t="s">
        <v>1</v>
      </c>
      <c r="BP292" s="102" t="s">
        <v>1</v>
      </c>
      <c r="BQ292" s="103" t="s">
        <v>1</v>
      </c>
    </row>
    <row r="293" spans="1:69" ht="7.5" customHeight="1" x14ac:dyDescent="0.25">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c r="BF293" s="30" t="s">
        <v>1</v>
      </c>
      <c r="BG293" s="37" t="s">
        <v>1</v>
      </c>
      <c r="BH293" s="102" t="s">
        <v>1</v>
      </c>
      <c r="BI293" s="103" t="s">
        <v>1</v>
      </c>
      <c r="BJ293" s="102" t="s">
        <v>1</v>
      </c>
      <c r="BK293" s="103" t="s">
        <v>1</v>
      </c>
      <c r="BL293" s="102" t="s">
        <v>1</v>
      </c>
      <c r="BM293" s="103" t="s">
        <v>1</v>
      </c>
      <c r="BN293" s="102" t="s">
        <v>1</v>
      </c>
      <c r="BO293" s="103" t="s">
        <v>1</v>
      </c>
      <c r="BP293" s="102" t="s">
        <v>1</v>
      </c>
      <c r="BQ293" s="103" t="s">
        <v>1</v>
      </c>
    </row>
    <row r="294" spans="1:69" ht="7.5" customHeight="1" x14ac:dyDescent="0.25">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c r="BF294" s="30" t="s">
        <v>1</v>
      </c>
      <c r="BG294" s="37" t="s">
        <v>1</v>
      </c>
      <c r="BH294" s="102" t="s">
        <v>1</v>
      </c>
      <c r="BI294" s="103" t="s">
        <v>1</v>
      </c>
      <c r="BJ294" s="102" t="s">
        <v>1</v>
      </c>
      <c r="BK294" s="103" t="s">
        <v>1</v>
      </c>
      <c r="BL294" s="102" t="s">
        <v>1</v>
      </c>
      <c r="BM294" s="103" t="s">
        <v>1</v>
      </c>
      <c r="BN294" s="102" t="s">
        <v>1</v>
      </c>
      <c r="BO294" s="103" t="s">
        <v>1</v>
      </c>
      <c r="BP294" s="102" t="s">
        <v>1</v>
      </c>
      <c r="BQ294" s="103" t="s">
        <v>1</v>
      </c>
    </row>
    <row r="295" spans="1:69" ht="7.5" customHeight="1" x14ac:dyDescent="0.25">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c r="BF295" s="30" t="s">
        <v>1</v>
      </c>
      <c r="BG295" s="37" t="s">
        <v>1</v>
      </c>
      <c r="BH295" s="102" t="s">
        <v>1</v>
      </c>
      <c r="BI295" s="103" t="s">
        <v>1</v>
      </c>
      <c r="BJ295" s="102" t="s">
        <v>1</v>
      </c>
      <c r="BK295" s="103" t="s">
        <v>1</v>
      </c>
      <c r="BL295" s="102" t="s">
        <v>1</v>
      </c>
      <c r="BM295" s="103" t="s">
        <v>1</v>
      </c>
      <c r="BN295" s="102" t="s">
        <v>1</v>
      </c>
      <c r="BO295" s="103" t="s">
        <v>1</v>
      </c>
      <c r="BP295" s="102" t="s">
        <v>1</v>
      </c>
      <c r="BQ295" s="103" t="s">
        <v>1</v>
      </c>
    </row>
    <row r="296" spans="1:69" ht="7.5" customHeight="1" x14ac:dyDescent="0.25">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c r="BF296" s="30" t="s">
        <v>1</v>
      </c>
      <c r="BG296" s="37" t="s">
        <v>1</v>
      </c>
      <c r="BH296" s="102" t="s">
        <v>1</v>
      </c>
      <c r="BI296" s="103" t="s">
        <v>1</v>
      </c>
      <c r="BJ296" s="102" t="s">
        <v>1</v>
      </c>
      <c r="BK296" s="103" t="s">
        <v>1</v>
      </c>
      <c r="BL296" s="102" t="s">
        <v>1</v>
      </c>
      <c r="BM296" s="103" t="s">
        <v>1</v>
      </c>
      <c r="BN296" s="102" t="s">
        <v>1</v>
      </c>
      <c r="BO296" s="103" t="s">
        <v>1</v>
      </c>
      <c r="BP296" s="102" t="s">
        <v>1</v>
      </c>
      <c r="BQ296" s="103" t="s">
        <v>1</v>
      </c>
    </row>
    <row r="297" spans="1:69" ht="7.5" customHeight="1" x14ac:dyDescent="0.25">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c r="BF297" s="30" t="s">
        <v>1</v>
      </c>
      <c r="BG297" s="37" t="s">
        <v>1</v>
      </c>
      <c r="BH297" s="102" t="s">
        <v>1</v>
      </c>
      <c r="BI297" s="103" t="s">
        <v>1</v>
      </c>
      <c r="BJ297" s="102" t="s">
        <v>1</v>
      </c>
      <c r="BK297" s="103" t="s">
        <v>1</v>
      </c>
      <c r="BL297" s="102" t="s">
        <v>1</v>
      </c>
      <c r="BM297" s="103" t="s">
        <v>1</v>
      </c>
      <c r="BN297" s="102" t="s">
        <v>1</v>
      </c>
      <c r="BO297" s="103" t="s">
        <v>1</v>
      </c>
      <c r="BP297" s="102" t="s">
        <v>1</v>
      </c>
      <c r="BQ297" s="103" t="s">
        <v>1</v>
      </c>
    </row>
    <row r="298" spans="1:69" ht="7.5" customHeight="1" x14ac:dyDescent="0.25">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c r="BF298" s="30" t="s">
        <v>1</v>
      </c>
      <c r="BG298" s="37" t="s">
        <v>1</v>
      </c>
      <c r="BH298" s="102" t="s">
        <v>1</v>
      </c>
      <c r="BI298" s="103" t="s">
        <v>1</v>
      </c>
      <c r="BJ298" s="102" t="s">
        <v>1</v>
      </c>
      <c r="BK298" s="103" t="s">
        <v>1</v>
      </c>
      <c r="BL298" s="102" t="s">
        <v>1</v>
      </c>
      <c r="BM298" s="103" t="s">
        <v>1</v>
      </c>
      <c r="BN298" s="102" t="s">
        <v>1</v>
      </c>
      <c r="BO298" s="103" t="s">
        <v>1</v>
      </c>
      <c r="BP298" s="102" t="s">
        <v>1</v>
      </c>
      <c r="BQ298" s="103" t="s">
        <v>1</v>
      </c>
    </row>
    <row r="299" spans="1:69" ht="7.5" customHeight="1" x14ac:dyDescent="0.25">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c r="BF299" s="30" t="s">
        <v>1</v>
      </c>
      <c r="BG299" s="37" t="s">
        <v>1</v>
      </c>
      <c r="BH299" s="102" t="s">
        <v>1</v>
      </c>
      <c r="BI299" s="103" t="s">
        <v>1</v>
      </c>
      <c r="BJ299" s="102" t="s">
        <v>1</v>
      </c>
      <c r="BK299" s="103" t="s">
        <v>1</v>
      </c>
      <c r="BL299" s="102" t="s">
        <v>1</v>
      </c>
      <c r="BM299" s="103" t="s">
        <v>1</v>
      </c>
      <c r="BN299" s="102" t="s">
        <v>1</v>
      </c>
      <c r="BO299" s="103" t="s">
        <v>1</v>
      </c>
      <c r="BP299" s="102" t="s">
        <v>1</v>
      </c>
      <c r="BQ299" s="103" t="s">
        <v>1</v>
      </c>
    </row>
    <row r="300" spans="1:69" ht="7.5" customHeight="1" x14ac:dyDescent="0.25">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c r="BF300" s="30" t="s">
        <v>1</v>
      </c>
      <c r="BG300" s="37" t="s">
        <v>1</v>
      </c>
      <c r="BH300" s="102" t="s">
        <v>1</v>
      </c>
      <c r="BI300" s="103" t="s">
        <v>1</v>
      </c>
      <c r="BJ300" s="102" t="s">
        <v>1</v>
      </c>
      <c r="BK300" s="103" t="s">
        <v>1</v>
      </c>
      <c r="BL300" s="102" t="s">
        <v>1</v>
      </c>
      <c r="BM300" s="103" t="s">
        <v>1</v>
      </c>
      <c r="BN300" s="102" t="s">
        <v>1</v>
      </c>
      <c r="BO300" s="103" t="s">
        <v>1</v>
      </c>
      <c r="BP300" s="102" t="s">
        <v>1</v>
      </c>
      <c r="BQ300" s="103" t="s">
        <v>1</v>
      </c>
    </row>
    <row r="301" spans="1:69" ht="7.5" customHeight="1" x14ac:dyDescent="0.25">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c r="BF301" s="30" t="s">
        <v>1</v>
      </c>
      <c r="BG301" s="37" t="s">
        <v>1</v>
      </c>
      <c r="BH301" s="102" t="s">
        <v>1</v>
      </c>
      <c r="BI301" s="103" t="s">
        <v>1</v>
      </c>
      <c r="BJ301" s="102" t="s">
        <v>1</v>
      </c>
      <c r="BK301" s="103" t="s">
        <v>1</v>
      </c>
      <c r="BL301" s="102" t="s">
        <v>1</v>
      </c>
      <c r="BM301" s="103" t="s">
        <v>1</v>
      </c>
      <c r="BN301" s="102" t="s">
        <v>1</v>
      </c>
      <c r="BO301" s="103" t="s">
        <v>1</v>
      </c>
      <c r="BP301" s="102" t="s">
        <v>1</v>
      </c>
      <c r="BQ301" s="103" t="s">
        <v>1</v>
      </c>
    </row>
    <row r="302" spans="1:69" ht="7.5" customHeight="1" x14ac:dyDescent="0.25">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c r="BF302" s="30" t="s">
        <v>1</v>
      </c>
      <c r="BG302" s="37" t="s">
        <v>1</v>
      </c>
      <c r="BH302" s="102" t="s">
        <v>1</v>
      </c>
      <c r="BI302" s="103" t="s">
        <v>1</v>
      </c>
      <c r="BJ302" s="102" t="s">
        <v>1</v>
      </c>
      <c r="BK302" s="103" t="s">
        <v>1</v>
      </c>
      <c r="BL302" s="102" t="s">
        <v>1</v>
      </c>
      <c r="BM302" s="103" t="s">
        <v>1</v>
      </c>
      <c r="BN302" s="102" t="s">
        <v>1</v>
      </c>
      <c r="BO302" s="103" t="s">
        <v>1</v>
      </c>
      <c r="BP302" s="102" t="s">
        <v>1</v>
      </c>
      <c r="BQ302" s="103" t="s">
        <v>1</v>
      </c>
    </row>
    <row r="303" spans="1:69" ht="7.5" customHeight="1" x14ac:dyDescent="0.25">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c r="BF303" s="30" t="s">
        <v>1</v>
      </c>
      <c r="BG303" s="37" t="s">
        <v>1</v>
      </c>
      <c r="BH303" s="102" t="s">
        <v>1</v>
      </c>
      <c r="BI303" s="103" t="s">
        <v>1</v>
      </c>
      <c r="BJ303" s="102" t="s">
        <v>1</v>
      </c>
      <c r="BK303" s="103" t="s">
        <v>1</v>
      </c>
      <c r="BL303" s="102" t="s">
        <v>1</v>
      </c>
      <c r="BM303" s="103" t="s">
        <v>1</v>
      </c>
      <c r="BN303" s="102" t="s">
        <v>1</v>
      </c>
      <c r="BO303" s="103" t="s">
        <v>1</v>
      </c>
      <c r="BP303" s="102" t="s">
        <v>1</v>
      </c>
      <c r="BQ303" s="103" t="s">
        <v>1</v>
      </c>
    </row>
    <row r="304" spans="1:69" ht="7.5" customHeight="1" x14ac:dyDescent="0.25">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c r="BF304" s="30" t="s">
        <v>1</v>
      </c>
      <c r="BG304" s="37" t="s">
        <v>1</v>
      </c>
      <c r="BH304" s="102" t="s">
        <v>1</v>
      </c>
      <c r="BI304" s="103" t="s">
        <v>1</v>
      </c>
      <c r="BJ304" s="102" t="s">
        <v>1</v>
      </c>
      <c r="BK304" s="103" t="s">
        <v>1</v>
      </c>
      <c r="BL304" s="102" t="s">
        <v>1</v>
      </c>
      <c r="BM304" s="103" t="s">
        <v>1</v>
      </c>
      <c r="BN304" s="102" t="s">
        <v>1</v>
      </c>
      <c r="BO304" s="103" t="s">
        <v>1</v>
      </c>
      <c r="BP304" s="102" t="s">
        <v>1</v>
      </c>
      <c r="BQ304" s="103" t="s">
        <v>1</v>
      </c>
    </row>
    <row r="305" spans="1:69" ht="7.5" customHeight="1" x14ac:dyDescent="0.25">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c r="BF305" s="30" t="s">
        <v>1</v>
      </c>
      <c r="BG305" s="37" t="s">
        <v>1</v>
      </c>
      <c r="BH305" s="102" t="s">
        <v>1</v>
      </c>
      <c r="BI305" s="103" t="s">
        <v>1</v>
      </c>
      <c r="BJ305" s="102" t="s">
        <v>1</v>
      </c>
      <c r="BK305" s="103" t="s">
        <v>1</v>
      </c>
      <c r="BL305" s="102" t="s">
        <v>1</v>
      </c>
      <c r="BM305" s="103" t="s">
        <v>1</v>
      </c>
      <c r="BN305" s="102" t="s">
        <v>1</v>
      </c>
      <c r="BO305" s="103" t="s">
        <v>1</v>
      </c>
      <c r="BP305" s="102" t="s">
        <v>1</v>
      </c>
      <c r="BQ305" s="103" t="s">
        <v>1</v>
      </c>
    </row>
    <row r="306" spans="1:69" ht="7.5" customHeight="1" x14ac:dyDescent="0.25">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c r="BF306" s="30" t="s">
        <v>1</v>
      </c>
      <c r="BG306" s="37" t="s">
        <v>1</v>
      </c>
      <c r="BH306" s="102" t="s">
        <v>1</v>
      </c>
      <c r="BI306" s="103" t="s">
        <v>1</v>
      </c>
      <c r="BJ306" s="102" t="s">
        <v>1</v>
      </c>
      <c r="BK306" s="103" t="s">
        <v>1</v>
      </c>
      <c r="BL306" s="102" t="s">
        <v>1</v>
      </c>
      <c r="BM306" s="103" t="s">
        <v>1</v>
      </c>
      <c r="BN306" s="102" t="s">
        <v>1</v>
      </c>
      <c r="BO306" s="103" t="s">
        <v>1</v>
      </c>
      <c r="BP306" s="102" t="s">
        <v>1</v>
      </c>
      <c r="BQ306" s="103" t="s">
        <v>1</v>
      </c>
    </row>
    <row r="307" spans="1:69" ht="7.5" customHeight="1" x14ac:dyDescent="0.25">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c r="BF307" s="30" t="s">
        <v>1</v>
      </c>
      <c r="BG307" s="37" t="s">
        <v>1</v>
      </c>
      <c r="BH307" s="102" t="s">
        <v>1</v>
      </c>
      <c r="BI307" s="103" t="s">
        <v>1</v>
      </c>
      <c r="BJ307" s="102" t="s">
        <v>1</v>
      </c>
      <c r="BK307" s="103" t="s">
        <v>1</v>
      </c>
      <c r="BL307" s="102" t="s">
        <v>1</v>
      </c>
      <c r="BM307" s="103" t="s">
        <v>1</v>
      </c>
      <c r="BN307" s="102" t="s">
        <v>1</v>
      </c>
      <c r="BO307" s="103" t="s">
        <v>1</v>
      </c>
      <c r="BP307" s="102" t="s">
        <v>1</v>
      </c>
      <c r="BQ307" s="103" t="s">
        <v>1</v>
      </c>
    </row>
    <row r="308" spans="1:69" ht="7.5" customHeight="1" x14ac:dyDescent="0.25">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c r="BF308" s="30" t="s">
        <v>1</v>
      </c>
      <c r="BG308" s="37" t="s">
        <v>1</v>
      </c>
      <c r="BH308" s="102" t="s">
        <v>1</v>
      </c>
      <c r="BI308" s="103" t="s">
        <v>1</v>
      </c>
      <c r="BJ308" s="102" t="s">
        <v>1</v>
      </c>
      <c r="BK308" s="103" t="s">
        <v>1</v>
      </c>
      <c r="BL308" s="102" t="s">
        <v>1</v>
      </c>
      <c r="BM308" s="103" t="s">
        <v>1</v>
      </c>
      <c r="BN308" s="102" t="s">
        <v>1</v>
      </c>
      <c r="BO308" s="103" t="s">
        <v>1</v>
      </c>
      <c r="BP308" s="102" t="s">
        <v>1</v>
      </c>
      <c r="BQ308" s="103" t="s">
        <v>1</v>
      </c>
    </row>
    <row r="309" spans="1:69" ht="7.5" customHeight="1" x14ac:dyDescent="0.25">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c r="BF309" s="30" t="s">
        <v>1</v>
      </c>
      <c r="BG309" s="37" t="s">
        <v>1</v>
      </c>
      <c r="BH309" s="102" t="s">
        <v>1</v>
      </c>
      <c r="BI309" s="103" t="s">
        <v>1</v>
      </c>
      <c r="BJ309" s="102" t="s">
        <v>1</v>
      </c>
      <c r="BK309" s="103" t="s">
        <v>1</v>
      </c>
      <c r="BL309" s="102" t="s">
        <v>1</v>
      </c>
      <c r="BM309" s="103" t="s">
        <v>1</v>
      </c>
      <c r="BN309" s="102" t="s">
        <v>1</v>
      </c>
      <c r="BO309" s="103" t="s">
        <v>1</v>
      </c>
      <c r="BP309" s="102" t="s">
        <v>1</v>
      </c>
      <c r="BQ309" s="103" t="s">
        <v>1</v>
      </c>
    </row>
    <row r="310" spans="1:69" ht="7.5" customHeight="1" x14ac:dyDescent="0.25">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c r="BF310" s="30" t="s">
        <v>1</v>
      </c>
      <c r="BG310" s="37" t="s">
        <v>1</v>
      </c>
      <c r="BH310" s="102" t="s">
        <v>1</v>
      </c>
      <c r="BI310" s="103" t="s">
        <v>1</v>
      </c>
      <c r="BJ310" s="102" t="s">
        <v>1</v>
      </c>
      <c r="BK310" s="103" t="s">
        <v>1</v>
      </c>
      <c r="BL310" s="102" t="s">
        <v>1</v>
      </c>
      <c r="BM310" s="103" t="s">
        <v>1</v>
      </c>
      <c r="BN310" s="102" t="s">
        <v>1</v>
      </c>
      <c r="BO310" s="103" t="s">
        <v>1</v>
      </c>
      <c r="BP310" s="102" t="s">
        <v>1</v>
      </c>
      <c r="BQ310" s="103" t="s">
        <v>1</v>
      </c>
    </row>
    <row r="311" spans="1:69" ht="7.5" customHeight="1" x14ac:dyDescent="0.25">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c r="BF311" s="30" t="s">
        <v>1</v>
      </c>
      <c r="BG311" s="37" t="s">
        <v>1</v>
      </c>
      <c r="BH311" s="102" t="s">
        <v>1</v>
      </c>
      <c r="BI311" s="103" t="s">
        <v>1</v>
      </c>
      <c r="BJ311" s="102" t="s">
        <v>1</v>
      </c>
      <c r="BK311" s="103" t="s">
        <v>1</v>
      </c>
      <c r="BL311" s="102" t="s">
        <v>1</v>
      </c>
      <c r="BM311" s="103" t="s">
        <v>1</v>
      </c>
      <c r="BN311" s="102" t="s">
        <v>1</v>
      </c>
      <c r="BO311" s="103" t="s">
        <v>1</v>
      </c>
      <c r="BP311" s="102" t="s">
        <v>1</v>
      </c>
      <c r="BQ311" s="103" t="s">
        <v>1</v>
      </c>
    </row>
    <row r="312" spans="1:69" ht="7.5" customHeight="1" x14ac:dyDescent="0.25">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c r="BF312" s="30" t="s">
        <v>1</v>
      </c>
      <c r="BG312" s="37" t="s">
        <v>1</v>
      </c>
      <c r="BH312" s="102" t="s">
        <v>1</v>
      </c>
      <c r="BI312" s="103" t="s">
        <v>1</v>
      </c>
      <c r="BJ312" s="102" t="s">
        <v>1</v>
      </c>
      <c r="BK312" s="103" t="s">
        <v>1</v>
      </c>
      <c r="BL312" s="102" t="s">
        <v>1</v>
      </c>
      <c r="BM312" s="103" t="s">
        <v>1</v>
      </c>
      <c r="BN312" s="102" t="s">
        <v>1</v>
      </c>
      <c r="BO312" s="103" t="s">
        <v>1</v>
      </c>
      <c r="BP312" s="102" t="s">
        <v>1</v>
      </c>
      <c r="BQ312" s="103" t="s">
        <v>1</v>
      </c>
    </row>
    <row r="313" spans="1:69" ht="7.5" customHeight="1" x14ac:dyDescent="0.25">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c r="BF313" s="30" t="s">
        <v>1</v>
      </c>
      <c r="BG313" s="37" t="s">
        <v>1</v>
      </c>
      <c r="BH313" s="102" t="s">
        <v>1</v>
      </c>
      <c r="BI313" s="103" t="s">
        <v>1</v>
      </c>
      <c r="BJ313" s="102" t="s">
        <v>1</v>
      </c>
      <c r="BK313" s="103" t="s">
        <v>1</v>
      </c>
      <c r="BL313" s="102" t="s">
        <v>1</v>
      </c>
      <c r="BM313" s="103" t="s">
        <v>1</v>
      </c>
      <c r="BN313" s="102" t="s">
        <v>1</v>
      </c>
      <c r="BO313" s="103" t="s">
        <v>1</v>
      </c>
      <c r="BP313" s="102" t="s">
        <v>1</v>
      </c>
      <c r="BQ313" s="103" t="s">
        <v>1</v>
      </c>
    </row>
    <row r="314" spans="1:69" ht="7.5" customHeight="1" x14ac:dyDescent="0.25">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c r="BF314" s="30" t="s">
        <v>1</v>
      </c>
      <c r="BG314" s="37" t="s">
        <v>1</v>
      </c>
      <c r="BH314" s="102" t="s">
        <v>1</v>
      </c>
      <c r="BI314" s="103" t="s">
        <v>1</v>
      </c>
      <c r="BJ314" s="102" t="s">
        <v>1</v>
      </c>
      <c r="BK314" s="103" t="s">
        <v>1</v>
      </c>
      <c r="BL314" s="102" t="s">
        <v>1</v>
      </c>
      <c r="BM314" s="103" t="s">
        <v>1</v>
      </c>
      <c r="BN314" s="102" t="s">
        <v>1</v>
      </c>
      <c r="BO314" s="103" t="s">
        <v>1</v>
      </c>
      <c r="BP314" s="102" t="s">
        <v>1</v>
      </c>
      <c r="BQ314" s="103" t="s">
        <v>1</v>
      </c>
    </row>
    <row r="315" spans="1:69" ht="7.5" customHeight="1" x14ac:dyDescent="0.25">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c r="BF315" s="30" t="s">
        <v>1</v>
      </c>
      <c r="BG315" s="37" t="s">
        <v>1</v>
      </c>
      <c r="BH315" s="102" t="s">
        <v>1</v>
      </c>
      <c r="BI315" s="103" t="s">
        <v>1</v>
      </c>
      <c r="BJ315" s="102" t="s">
        <v>1</v>
      </c>
      <c r="BK315" s="103" t="s">
        <v>1</v>
      </c>
      <c r="BL315" s="102" t="s">
        <v>1</v>
      </c>
      <c r="BM315" s="103" t="s">
        <v>1</v>
      </c>
      <c r="BN315" s="102" t="s">
        <v>1</v>
      </c>
      <c r="BO315" s="103" t="s">
        <v>1</v>
      </c>
      <c r="BP315" s="102" t="s">
        <v>1</v>
      </c>
      <c r="BQ315" s="103" t="s">
        <v>1</v>
      </c>
    </row>
    <row r="316" spans="1:69" ht="7.5" customHeight="1" x14ac:dyDescent="0.25">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c r="BF316" s="30" t="s">
        <v>1</v>
      </c>
      <c r="BG316" s="37" t="s">
        <v>1</v>
      </c>
      <c r="BH316" s="102" t="s">
        <v>1</v>
      </c>
      <c r="BI316" s="103" t="s">
        <v>1</v>
      </c>
      <c r="BJ316" s="102" t="s">
        <v>1</v>
      </c>
      <c r="BK316" s="103" t="s">
        <v>1</v>
      </c>
      <c r="BL316" s="102" t="s">
        <v>1</v>
      </c>
      <c r="BM316" s="103" t="s">
        <v>1</v>
      </c>
      <c r="BN316" s="102" t="s">
        <v>1</v>
      </c>
      <c r="BO316" s="103" t="s">
        <v>1</v>
      </c>
      <c r="BP316" s="102" t="s">
        <v>1</v>
      </c>
      <c r="BQ316" s="103" t="s">
        <v>1</v>
      </c>
    </row>
    <row r="317" spans="1:69" ht="7.5" customHeight="1" x14ac:dyDescent="0.25">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c r="BF317" s="30" t="s">
        <v>1</v>
      </c>
      <c r="BG317" s="37" t="s">
        <v>1</v>
      </c>
      <c r="BH317" s="102" t="s">
        <v>1</v>
      </c>
      <c r="BI317" s="103" t="s">
        <v>1</v>
      </c>
      <c r="BJ317" s="102" t="s">
        <v>1</v>
      </c>
      <c r="BK317" s="103" t="s">
        <v>1</v>
      </c>
      <c r="BL317" s="102" t="s">
        <v>1</v>
      </c>
      <c r="BM317" s="103" t="s">
        <v>1</v>
      </c>
      <c r="BN317" s="102" t="s">
        <v>1</v>
      </c>
      <c r="BO317" s="103" t="s">
        <v>1</v>
      </c>
      <c r="BP317" s="102" t="s">
        <v>1</v>
      </c>
      <c r="BQ317" s="103" t="s">
        <v>1</v>
      </c>
    </row>
    <row r="318" spans="1:69" ht="7.5" customHeight="1" x14ac:dyDescent="0.25">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c r="BF318" s="30" t="s">
        <v>1</v>
      </c>
      <c r="BG318" s="37" t="s">
        <v>1</v>
      </c>
      <c r="BH318" s="102" t="s">
        <v>1</v>
      </c>
      <c r="BI318" s="103" t="s">
        <v>1</v>
      </c>
      <c r="BJ318" s="102" t="s">
        <v>1</v>
      </c>
      <c r="BK318" s="103" t="s">
        <v>1</v>
      </c>
      <c r="BL318" s="102" t="s">
        <v>1</v>
      </c>
      <c r="BM318" s="103" t="s">
        <v>1</v>
      </c>
      <c r="BN318" s="102" t="s">
        <v>1</v>
      </c>
      <c r="BO318" s="103" t="s">
        <v>1</v>
      </c>
      <c r="BP318" s="102" t="s">
        <v>1</v>
      </c>
      <c r="BQ318" s="103" t="s">
        <v>1</v>
      </c>
    </row>
    <row r="319" spans="1:69" ht="7.5" customHeight="1" x14ac:dyDescent="0.25">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c r="BF319" s="30" t="s">
        <v>1</v>
      </c>
      <c r="BG319" s="37" t="s">
        <v>1</v>
      </c>
      <c r="BH319" s="102" t="s">
        <v>1</v>
      </c>
      <c r="BI319" s="103" t="s">
        <v>1</v>
      </c>
      <c r="BJ319" s="102" t="s">
        <v>1</v>
      </c>
      <c r="BK319" s="103" t="s">
        <v>1</v>
      </c>
      <c r="BL319" s="102" t="s">
        <v>1</v>
      </c>
      <c r="BM319" s="103" t="s">
        <v>1</v>
      </c>
      <c r="BN319" s="102" t="s">
        <v>1</v>
      </c>
      <c r="BO319" s="103" t="s">
        <v>1</v>
      </c>
      <c r="BP319" s="102" t="s">
        <v>1</v>
      </c>
      <c r="BQ319" s="103" t="s">
        <v>1</v>
      </c>
    </row>
    <row r="320" spans="1:69" ht="7.5" customHeight="1" x14ac:dyDescent="0.25">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c r="BF320" s="30" t="s">
        <v>1</v>
      </c>
      <c r="BG320" s="37" t="s">
        <v>1</v>
      </c>
      <c r="BH320" s="102" t="s">
        <v>1</v>
      </c>
      <c r="BI320" s="103" t="s">
        <v>1</v>
      </c>
      <c r="BJ320" s="102" t="s">
        <v>1</v>
      </c>
      <c r="BK320" s="103" t="s">
        <v>1</v>
      </c>
      <c r="BL320" s="102" t="s">
        <v>1</v>
      </c>
      <c r="BM320" s="103" t="s">
        <v>1</v>
      </c>
      <c r="BN320" s="102" t="s">
        <v>1</v>
      </c>
      <c r="BO320" s="103" t="s">
        <v>1</v>
      </c>
      <c r="BP320" s="102" t="s">
        <v>1</v>
      </c>
      <c r="BQ320" s="103" t="s">
        <v>1</v>
      </c>
    </row>
    <row r="321" spans="1:69" ht="7.5" customHeight="1" x14ac:dyDescent="0.25">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c r="BF321" s="30" t="s">
        <v>1</v>
      </c>
      <c r="BG321" s="37" t="s">
        <v>1</v>
      </c>
      <c r="BH321" s="102" t="s">
        <v>1</v>
      </c>
      <c r="BI321" s="103" t="s">
        <v>1</v>
      </c>
      <c r="BJ321" s="102" t="s">
        <v>1</v>
      </c>
      <c r="BK321" s="103" t="s">
        <v>1</v>
      </c>
      <c r="BL321" s="102" t="s">
        <v>1</v>
      </c>
      <c r="BM321" s="103" t="s">
        <v>1</v>
      </c>
      <c r="BN321" s="102" t="s">
        <v>1</v>
      </c>
      <c r="BO321" s="103" t="s">
        <v>1</v>
      </c>
      <c r="BP321" s="102" t="s">
        <v>1</v>
      </c>
      <c r="BQ321" s="103" t="s">
        <v>1</v>
      </c>
    </row>
    <row r="322" spans="1:69" ht="7.5" customHeight="1" x14ac:dyDescent="0.25">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c r="BF322" s="30" t="s">
        <v>1</v>
      </c>
      <c r="BG322" s="37" t="s">
        <v>1</v>
      </c>
      <c r="BH322" s="102" t="s">
        <v>1</v>
      </c>
      <c r="BI322" s="103" t="s">
        <v>1</v>
      </c>
      <c r="BJ322" s="102" t="s">
        <v>1</v>
      </c>
      <c r="BK322" s="103" t="s">
        <v>1</v>
      </c>
      <c r="BL322" s="102" t="s">
        <v>1</v>
      </c>
      <c r="BM322" s="103" t="s">
        <v>1</v>
      </c>
      <c r="BN322" s="102" t="s">
        <v>1</v>
      </c>
      <c r="BO322" s="103" t="s">
        <v>1</v>
      </c>
      <c r="BP322" s="102" t="s">
        <v>1</v>
      </c>
      <c r="BQ322" s="103" t="s">
        <v>1</v>
      </c>
    </row>
    <row r="323" spans="1:69" ht="7.5" customHeight="1" x14ac:dyDescent="0.25">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c r="BF323" s="30" t="s">
        <v>1</v>
      </c>
      <c r="BG323" s="37" t="s">
        <v>1</v>
      </c>
      <c r="BH323" s="102" t="s">
        <v>1</v>
      </c>
      <c r="BI323" s="103" t="s">
        <v>1</v>
      </c>
      <c r="BJ323" s="102" t="s">
        <v>1</v>
      </c>
      <c r="BK323" s="103" t="s">
        <v>1</v>
      </c>
      <c r="BL323" s="102" t="s">
        <v>1</v>
      </c>
      <c r="BM323" s="103" t="s">
        <v>1</v>
      </c>
      <c r="BN323" s="102" t="s">
        <v>1</v>
      </c>
      <c r="BO323" s="103" t="s">
        <v>1</v>
      </c>
      <c r="BP323" s="102" t="s">
        <v>1</v>
      </c>
      <c r="BQ323" s="103" t="s">
        <v>1</v>
      </c>
    </row>
    <row r="324" spans="1:69" ht="7.5" customHeight="1" x14ac:dyDescent="0.25">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c r="BF324" s="30" t="s">
        <v>1</v>
      </c>
      <c r="BG324" s="37" t="s">
        <v>1</v>
      </c>
      <c r="BH324" s="102" t="s">
        <v>1</v>
      </c>
      <c r="BI324" s="103" t="s">
        <v>1</v>
      </c>
      <c r="BJ324" s="102" t="s">
        <v>1</v>
      </c>
      <c r="BK324" s="103" t="s">
        <v>1</v>
      </c>
      <c r="BL324" s="102" t="s">
        <v>1</v>
      </c>
      <c r="BM324" s="103" t="s">
        <v>1</v>
      </c>
      <c r="BN324" s="102" t="s">
        <v>1</v>
      </c>
      <c r="BO324" s="103" t="s">
        <v>1</v>
      </c>
      <c r="BP324" s="102" t="s">
        <v>1</v>
      </c>
      <c r="BQ324" s="103" t="s">
        <v>1</v>
      </c>
    </row>
    <row r="325" spans="1:69" ht="7.5" customHeight="1" x14ac:dyDescent="0.25">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c r="BF325" s="30" t="s">
        <v>1</v>
      </c>
      <c r="BG325" s="37" t="s">
        <v>1</v>
      </c>
      <c r="BH325" s="102" t="s">
        <v>1</v>
      </c>
      <c r="BI325" s="103" t="s">
        <v>1</v>
      </c>
      <c r="BJ325" s="102" t="s">
        <v>1</v>
      </c>
      <c r="BK325" s="103" t="s">
        <v>1</v>
      </c>
      <c r="BL325" s="102" t="s">
        <v>1</v>
      </c>
      <c r="BM325" s="103" t="s">
        <v>1</v>
      </c>
      <c r="BN325" s="102" t="s">
        <v>1</v>
      </c>
      <c r="BO325" s="103" t="s">
        <v>1</v>
      </c>
      <c r="BP325" s="102" t="s">
        <v>1</v>
      </c>
      <c r="BQ325" s="103" t="s">
        <v>1</v>
      </c>
    </row>
    <row r="326" spans="1:69" ht="7.5" customHeight="1" x14ac:dyDescent="0.25">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c r="BF326" s="30" t="s">
        <v>1</v>
      </c>
      <c r="BG326" s="37" t="s">
        <v>1</v>
      </c>
      <c r="BH326" s="102" t="s">
        <v>1</v>
      </c>
      <c r="BI326" s="103" t="s">
        <v>1</v>
      </c>
      <c r="BJ326" s="102" t="s">
        <v>1</v>
      </c>
      <c r="BK326" s="103" t="s">
        <v>1</v>
      </c>
      <c r="BL326" s="102" t="s">
        <v>1</v>
      </c>
      <c r="BM326" s="103" t="s">
        <v>1</v>
      </c>
      <c r="BN326" s="102" t="s">
        <v>1</v>
      </c>
      <c r="BO326" s="103" t="s">
        <v>1</v>
      </c>
      <c r="BP326" s="102" t="s">
        <v>1</v>
      </c>
      <c r="BQ326" s="103" t="s">
        <v>1</v>
      </c>
    </row>
    <row r="327" spans="1:69" ht="7.5" customHeight="1" x14ac:dyDescent="0.25">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c r="BF327" s="30" t="s">
        <v>1</v>
      </c>
      <c r="BG327" s="37" t="s">
        <v>1</v>
      </c>
      <c r="BH327" s="102" t="s">
        <v>1</v>
      </c>
      <c r="BI327" s="103" t="s">
        <v>1</v>
      </c>
      <c r="BJ327" s="102" t="s">
        <v>1</v>
      </c>
      <c r="BK327" s="103" t="s">
        <v>1</v>
      </c>
      <c r="BL327" s="102" t="s">
        <v>1</v>
      </c>
      <c r="BM327" s="103" t="s">
        <v>1</v>
      </c>
      <c r="BN327" s="102" t="s">
        <v>1</v>
      </c>
      <c r="BO327" s="103" t="s">
        <v>1</v>
      </c>
      <c r="BP327" s="102" t="s">
        <v>1</v>
      </c>
      <c r="BQ327" s="103" t="s">
        <v>1</v>
      </c>
    </row>
    <row r="328" spans="1:69" ht="7.5" customHeight="1" x14ac:dyDescent="0.25">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c r="BF328" s="30" t="s">
        <v>1</v>
      </c>
      <c r="BG328" s="37" t="s">
        <v>1</v>
      </c>
      <c r="BH328" s="102" t="s">
        <v>1</v>
      </c>
      <c r="BI328" s="103" t="s">
        <v>1</v>
      </c>
      <c r="BJ328" s="102" t="s">
        <v>1</v>
      </c>
      <c r="BK328" s="103" t="s">
        <v>1</v>
      </c>
      <c r="BL328" s="102" t="s">
        <v>1</v>
      </c>
      <c r="BM328" s="103" t="s">
        <v>1</v>
      </c>
      <c r="BN328" s="102" t="s">
        <v>1</v>
      </c>
      <c r="BO328" s="103" t="s">
        <v>1</v>
      </c>
      <c r="BP328" s="102" t="s">
        <v>1</v>
      </c>
      <c r="BQ328" s="103" t="s">
        <v>1</v>
      </c>
    </row>
    <row r="329" spans="1:69" ht="7.5" customHeight="1" x14ac:dyDescent="0.25">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c r="BF329" s="30" t="s">
        <v>1</v>
      </c>
      <c r="BG329" s="37" t="s">
        <v>1</v>
      </c>
      <c r="BH329" s="102" t="s">
        <v>1</v>
      </c>
      <c r="BI329" s="103" t="s">
        <v>1</v>
      </c>
      <c r="BJ329" s="102" t="s">
        <v>1</v>
      </c>
      <c r="BK329" s="103" t="s">
        <v>1</v>
      </c>
      <c r="BL329" s="102" t="s">
        <v>1</v>
      </c>
      <c r="BM329" s="103" t="s">
        <v>1</v>
      </c>
      <c r="BN329" s="102" t="s">
        <v>1</v>
      </c>
      <c r="BO329" s="103" t="s">
        <v>1</v>
      </c>
      <c r="BP329" s="102" t="s">
        <v>1</v>
      </c>
      <c r="BQ329" s="103" t="s">
        <v>1</v>
      </c>
    </row>
    <row r="330" spans="1:69" ht="7.5" customHeight="1" x14ac:dyDescent="0.25">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c r="BF330" s="30" t="s">
        <v>1</v>
      </c>
      <c r="BG330" s="37" t="s">
        <v>1</v>
      </c>
      <c r="BH330" s="102" t="s">
        <v>1</v>
      </c>
      <c r="BI330" s="103" t="s">
        <v>1</v>
      </c>
      <c r="BJ330" s="102" t="s">
        <v>1</v>
      </c>
      <c r="BK330" s="103" t="s">
        <v>1</v>
      </c>
      <c r="BL330" s="102" t="s">
        <v>1</v>
      </c>
      <c r="BM330" s="103" t="s">
        <v>1</v>
      </c>
      <c r="BN330" s="102" t="s">
        <v>1</v>
      </c>
      <c r="BO330" s="103" t="s">
        <v>1</v>
      </c>
      <c r="BP330" s="102" t="s">
        <v>1</v>
      </c>
      <c r="BQ330" s="103" t="s">
        <v>1</v>
      </c>
    </row>
    <row r="331" spans="1:69" ht="7.5" customHeight="1" x14ac:dyDescent="0.25">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c r="BF331" s="30" t="s">
        <v>1</v>
      </c>
      <c r="BG331" s="37" t="s">
        <v>1</v>
      </c>
      <c r="BH331" s="102" t="s">
        <v>1</v>
      </c>
      <c r="BI331" s="103" t="s">
        <v>1</v>
      </c>
      <c r="BJ331" s="102" t="s">
        <v>1</v>
      </c>
      <c r="BK331" s="103" t="s">
        <v>1</v>
      </c>
      <c r="BL331" s="102" t="s">
        <v>1</v>
      </c>
      <c r="BM331" s="103" t="s">
        <v>1</v>
      </c>
      <c r="BN331" s="102" t="s">
        <v>1</v>
      </c>
      <c r="BO331" s="103" t="s">
        <v>1</v>
      </c>
      <c r="BP331" s="102" t="s">
        <v>1</v>
      </c>
      <c r="BQ331" s="103" t="s">
        <v>1</v>
      </c>
    </row>
    <row r="332" spans="1:69" ht="7.5" customHeight="1" x14ac:dyDescent="0.25">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c r="BF332" s="30" t="s">
        <v>1</v>
      </c>
      <c r="BG332" s="37" t="s">
        <v>1</v>
      </c>
      <c r="BH332" s="102" t="s">
        <v>1</v>
      </c>
      <c r="BI332" s="103" t="s">
        <v>1</v>
      </c>
      <c r="BJ332" s="102" t="s">
        <v>1</v>
      </c>
      <c r="BK332" s="103" t="s">
        <v>1</v>
      </c>
      <c r="BL332" s="102" t="s">
        <v>1</v>
      </c>
      <c r="BM332" s="103" t="s">
        <v>1</v>
      </c>
      <c r="BN332" s="102" t="s">
        <v>1</v>
      </c>
      <c r="BO332" s="103" t="s">
        <v>1</v>
      </c>
      <c r="BP332" s="102" t="s">
        <v>1</v>
      </c>
      <c r="BQ332" s="103" t="s">
        <v>1</v>
      </c>
    </row>
    <row r="333" spans="1:69" ht="7.5" customHeight="1" x14ac:dyDescent="0.25">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c r="BF333" s="30" t="s">
        <v>1</v>
      </c>
      <c r="BG333" s="37" t="s">
        <v>1</v>
      </c>
      <c r="BH333" s="102" t="s">
        <v>1</v>
      </c>
      <c r="BI333" s="103" t="s">
        <v>1</v>
      </c>
      <c r="BJ333" s="102" t="s">
        <v>1</v>
      </c>
      <c r="BK333" s="103" t="s">
        <v>1</v>
      </c>
      <c r="BL333" s="102" t="s">
        <v>1</v>
      </c>
      <c r="BM333" s="103" t="s">
        <v>1</v>
      </c>
      <c r="BN333" s="102" t="s">
        <v>1</v>
      </c>
      <c r="BO333" s="103" t="s">
        <v>1</v>
      </c>
      <c r="BP333" s="102" t="s">
        <v>1</v>
      </c>
      <c r="BQ333" s="103" t="s">
        <v>1</v>
      </c>
    </row>
    <row r="334" spans="1:69" ht="7.5" customHeight="1" x14ac:dyDescent="0.25">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c r="BF334" s="30" t="s">
        <v>1</v>
      </c>
      <c r="BG334" s="37" t="s">
        <v>1</v>
      </c>
      <c r="BH334" s="102" t="s">
        <v>1</v>
      </c>
      <c r="BI334" s="103" t="s">
        <v>1</v>
      </c>
      <c r="BJ334" s="102" t="s">
        <v>1</v>
      </c>
      <c r="BK334" s="103" t="s">
        <v>1</v>
      </c>
      <c r="BL334" s="102" t="s">
        <v>1</v>
      </c>
      <c r="BM334" s="103" t="s">
        <v>1</v>
      </c>
      <c r="BN334" s="102" t="s">
        <v>1</v>
      </c>
      <c r="BO334" s="103" t="s">
        <v>1</v>
      </c>
      <c r="BP334" s="102" t="s">
        <v>1</v>
      </c>
      <c r="BQ334" s="103" t="s">
        <v>1</v>
      </c>
    </row>
    <row r="335" spans="1:69" ht="7.5" customHeight="1" x14ac:dyDescent="0.25">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c r="BF335" s="30" t="s">
        <v>1</v>
      </c>
      <c r="BG335" s="37" t="s">
        <v>1</v>
      </c>
      <c r="BH335" s="102" t="s">
        <v>1</v>
      </c>
      <c r="BI335" s="103" t="s">
        <v>1</v>
      </c>
      <c r="BJ335" s="102" t="s">
        <v>1</v>
      </c>
      <c r="BK335" s="103" t="s">
        <v>1</v>
      </c>
      <c r="BL335" s="102" t="s">
        <v>1</v>
      </c>
      <c r="BM335" s="103" t="s">
        <v>1</v>
      </c>
      <c r="BN335" s="102" t="s">
        <v>1</v>
      </c>
      <c r="BO335" s="103" t="s">
        <v>1</v>
      </c>
      <c r="BP335" s="102" t="s">
        <v>1</v>
      </c>
      <c r="BQ335" s="103" t="s">
        <v>1</v>
      </c>
    </row>
    <row r="336" spans="1:69" ht="7.5" customHeight="1" x14ac:dyDescent="0.25">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c r="BF336" s="30" t="s">
        <v>1</v>
      </c>
      <c r="BG336" s="37" t="s">
        <v>1</v>
      </c>
      <c r="BH336" s="102" t="s">
        <v>1</v>
      </c>
      <c r="BI336" s="103" t="s">
        <v>1</v>
      </c>
      <c r="BJ336" s="102" t="s">
        <v>1</v>
      </c>
      <c r="BK336" s="103" t="s">
        <v>1</v>
      </c>
      <c r="BL336" s="102" t="s">
        <v>1</v>
      </c>
      <c r="BM336" s="103" t="s">
        <v>1</v>
      </c>
      <c r="BN336" s="102" t="s">
        <v>1</v>
      </c>
      <c r="BO336" s="103" t="s">
        <v>1</v>
      </c>
      <c r="BP336" s="102" t="s">
        <v>1</v>
      </c>
      <c r="BQ336" s="103" t="s">
        <v>1</v>
      </c>
    </row>
    <row r="337" spans="1:69" ht="7.5" customHeight="1" x14ac:dyDescent="0.25">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c r="BF337" s="30" t="s">
        <v>1</v>
      </c>
      <c r="BG337" s="37" t="s">
        <v>1</v>
      </c>
      <c r="BH337" s="102" t="s">
        <v>1</v>
      </c>
      <c r="BI337" s="103" t="s">
        <v>1</v>
      </c>
      <c r="BJ337" s="102" t="s">
        <v>1</v>
      </c>
      <c r="BK337" s="103" t="s">
        <v>1</v>
      </c>
      <c r="BL337" s="102" t="s">
        <v>1</v>
      </c>
      <c r="BM337" s="103" t="s">
        <v>1</v>
      </c>
      <c r="BN337" s="102" t="s">
        <v>1</v>
      </c>
      <c r="BO337" s="103" t="s">
        <v>1</v>
      </c>
      <c r="BP337" s="102" t="s">
        <v>1</v>
      </c>
      <c r="BQ337" s="103" t="s">
        <v>1</v>
      </c>
    </row>
    <row r="338" spans="1:69" ht="7.5" customHeight="1" x14ac:dyDescent="0.25">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c r="BF338" s="30" t="s">
        <v>1</v>
      </c>
      <c r="BG338" s="37" t="s">
        <v>1</v>
      </c>
      <c r="BH338" s="102" t="s">
        <v>1</v>
      </c>
      <c r="BI338" s="103" t="s">
        <v>1</v>
      </c>
      <c r="BJ338" s="102" t="s">
        <v>1</v>
      </c>
      <c r="BK338" s="103" t="s">
        <v>1</v>
      </c>
      <c r="BL338" s="102" t="s">
        <v>1</v>
      </c>
      <c r="BM338" s="103" t="s">
        <v>1</v>
      </c>
      <c r="BN338" s="102" t="s">
        <v>1</v>
      </c>
      <c r="BO338" s="103" t="s">
        <v>1</v>
      </c>
      <c r="BP338" s="102" t="s">
        <v>1</v>
      </c>
      <c r="BQ338" s="103" t="s">
        <v>1</v>
      </c>
    </row>
    <row r="339" spans="1:69" ht="7.5" customHeight="1" x14ac:dyDescent="0.25">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c r="BF339" s="30" t="s">
        <v>1</v>
      </c>
      <c r="BG339" s="37" t="s">
        <v>1</v>
      </c>
      <c r="BH339" s="102" t="s">
        <v>1</v>
      </c>
      <c r="BI339" s="103" t="s">
        <v>1</v>
      </c>
      <c r="BJ339" s="102" t="s">
        <v>1</v>
      </c>
      <c r="BK339" s="103" t="s">
        <v>1</v>
      </c>
      <c r="BL339" s="102" t="s">
        <v>1</v>
      </c>
      <c r="BM339" s="103" t="s">
        <v>1</v>
      </c>
      <c r="BN339" s="102" t="s">
        <v>1</v>
      </c>
      <c r="BO339" s="103" t="s">
        <v>1</v>
      </c>
      <c r="BP339" s="102" t="s">
        <v>1</v>
      </c>
      <c r="BQ339" s="103" t="s">
        <v>1</v>
      </c>
    </row>
    <row r="340" spans="1:69" ht="7.5" customHeight="1" x14ac:dyDescent="0.25">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c r="BF340" s="30" t="s">
        <v>1</v>
      </c>
      <c r="BG340" s="37" t="s">
        <v>1</v>
      </c>
      <c r="BH340" s="102" t="s">
        <v>1</v>
      </c>
      <c r="BI340" s="103" t="s">
        <v>1</v>
      </c>
      <c r="BJ340" s="102" t="s">
        <v>1</v>
      </c>
      <c r="BK340" s="103" t="s">
        <v>1</v>
      </c>
      <c r="BL340" s="102" t="s">
        <v>1</v>
      </c>
      <c r="BM340" s="103" t="s">
        <v>1</v>
      </c>
      <c r="BN340" s="102" t="s">
        <v>1</v>
      </c>
      <c r="BO340" s="103" t="s">
        <v>1</v>
      </c>
      <c r="BP340" s="102" t="s">
        <v>1</v>
      </c>
      <c r="BQ340" s="103" t="s">
        <v>1</v>
      </c>
    </row>
    <row r="341" spans="1:69" ht="7.5" customHeight="1" x14ac:dyDescent="0.25">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c r="BF341" s="30" t="s">
        <v>1</v>
      </c>
      <c r="BG341" s="37" t="s">
        <v>1</v>
      </c>
      <c r="BH341" s="102" t="s">
        <v>1</v>
      </c>
      <c r="BI341" s="103" t="s">
        <v>1</v>
      </c>
      <c r="BJ341" s="102" t="s">
        <v>1</v>
      </c>
      <c r="BK341" s="103" t="s">
        <v>1</v>
      </c>
      <c r="BL341" s="102" t="s">
        <v>1</v>
      </c>
      <c r="BM341" s="103" t="s">
        <v>1</v>
      </c>
      <c r="BN341" s="102" t="s">
        <v>1</v>
      </c>
      <c r="BO341" s="103" t="s">
        <v>1</v>
      </c>
      <c r="BP341" s="102" t="s">
        <v>1</v>
      </c>
      <c r="BQ341" s="103" t="s">
        <v>1</v>
      </c>
    </row>
    <row r="342" spans="1:69" ht="7.5" customHeight="1" x14ac:dyDescent="0.25">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c r="BF342" s="30" t="s">
        <v>1</v>
      </c>
      <c r="BG342" s="37" t="s">
        <v>1</v>
      </c>
      <c r="BH342" s="102" t="s">
        <v>1</v>
      </c>
      <c r="BI342" s="103" t="s">
        <v>1</v>
      </c>
      <c r="BJ342" s="102" t="s">
        <v>1</v>
      </c>
      <c r="BK342" s="103" t="s">
        <v>1</v>
      </c>
      <c r="BL342" s="102" t="s">
        <v>1</v>
      </c>
      <c r="BM342" s="103" t="s">
        <v>1</v>
      </c>
      <c r="BN342" s="102" t="s">
        <v>1</v>
      </c>
      <c r="BO342" s="103" t="s">
        <v>1</v>
      </c>
      <c r="BP342" s="102" t="s">
        <v>1</v>
      </c>
      <c r="BQ342" s="103" t="s">
        <v>1</v>
      </c>
    </row>
    <row r="343" spans="1:69" ht="7.5" customHeight="1" x14ac:dyDescent="0.25">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c r="BF343" s="30" t="s">
        <v>1</v>
      </c>
      <c r="BG343" s="37" t="s">
        <v>1</v>
      </c>
      <c r="BH343" s="102" t="s">
        <v>1</v>
      </c>
      <c r="BI343" s="103" t="s">
        <v>1</v>
      </c>
      <c r="BJ343" s="102" t="s">
        <v>1</v>
      </c>
      <c r="BK343" s="103" t="s">
        <v>1</v>
      </c>
      <c r="BL343" s="102" t="s">
        <v>1</v>
      </c>
      <c r="BM343" s="103" t="s">
        <v>1</v>
      </c>
      <c r="BN343" s="102" t="s">
        <v>1</v>
      </c>
      <c r="BO343" s="103" t="s">
        <v>1</v>
      </c>
      <c r="BP343" s="102" t="s">
        <v>1</v>
      </c>
      <c r="BQ343" s="103" t="s">
        <v>1</v>
      </c>
    </row>
    <row r="344" spans="1:69" ht="7.5" customHeight="1" x14ac:dyDescent="0.25">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c r="BF344" s="30" t="s">
        <v>1</v>
      </c>
      <c r="BG344" s="37" t="s">
        <v>1</v>
      </c>
      <c r="BH344" s="102" t="s">
        <v>1</v>
      </c>
      <c r="BI344" s="103" t="s">
        <v>1</v>
      </c>
      <c r="BJ344" s="102" t="s">
        <v>1</v>
      </c>
      <c r="BK344" s="103" t="s">
        <v>1</v>
      </c>
      <c r="BL344" s="102" t="s">
        <v>1</v>
      </c>
      <c r="BM344" s="103" t="s">
        <v>1</v>
      </c>
      <c r="BN344" s="102" t="s">
        <v>1</v>
      </c>
      <c r="BO344" s="103" t="s">
        <v>1</v>
      </c>
      <c r="BP344" s="102" t="s">
        <v>1</v>
      </c>
      <c r="BQ344" s="103" t="s">
        <v>1</v>
      </c>
    </row>
    <row r="345" spans="1:69" ht="7.5" customHeight="1" x14ac:dyDescent="0.25">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c r="BF345" s="30" t="s">
        <v>1</v>
      </c>
      <c r="BG345" s="37" t="s">
        <v>1</v>
      </c>
      <c r="BH345" s="102" t="s">
        <v>1</v>
      </c>
      <c r="BI345" s="103" t="s">
        <v>1</v>
      </c>
      <c r="BJ345" s="102" t="s">
        <v>1</v>
      </c>
      <c r="BK345" s="103" t="s">
        <v>1</v>
      </c>
      <c r="BL345" s="102" t="s">
        <v>1</v>
      </c>
      <c r="BM345" s="103" t="s">
        <v>1</v>
      </c>
      <c r="BN345" s="102" t="s">
        <v>1</v>
      </c>
      <c r="BO345" s="103" t="s">
        <v>1</v>
      </c>
      <c r="BP345" s="102" t="s">
        <v>1</v>
      </c>
      <c r="BQ345" s="103" t="s">
        <v>1</v>
      </c>
    </row>
    <row r="346" spans="1:69" ht="7.5" customHeight="1" x14ac:dyDescent="0.25">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c r="BF346" s="30" t="s">
        <v>1</v>
      </c>
      <c r="BG346" s="37" t="s">
        <v>1</v>
      </c>
      <c r="BH346" s="102" t="s">
        <v>1</v>
      </c>
      <c r="BI346" s="103" t="s">
        <v>1</v>
      </c>
      <c r="BJ346" s="102" t="s">
        <v>1</v>
      </c>
      <c r="BK346" s="103" t="s">
        <v>1</v>
      </c>
      <c r="BL346" s="102" t="s">
        <v>1</v>
      </c>
      <c r="BM346" s="103" t="s">
        <v>1</v>
      </c>
      <c r="BN346" s="102" t="s">
        <v>1</v>
      </c>
      <c r="BO346" s="103" t="s">
        <v>1</v>
      </c>
      <c r="BP346" s="102" t="s">
        <v>1</v>
      </c>
      <c r="BQ346" s="103" t="s">
        <v>1</v>
      </c>
    </row>
    <row r="347" spans="1:69" ht="7.5" customHeight="1" x14ac:dyDescent="0.25">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c r="BF347" s="30" t="s">
        <v>1</v>
      </c>
      <c r="BG347" s="37" t="s">
        <v>1</v>
      </c>
      <c r="BH347" s="102" t="s">
        <v>1</v>
      </c>
      <c r="BI347" s="103" t="s">
        <v>1</v>
      </c>
      <c r="BJ347" s="102" t="s">
        <v>1</v>
      </c>
      <c r="BK347" s="103" t="s">
        <v>1</v>
      </c>
      <c r="BL347" s="102" t="s">
        <v>1</v>
      </c>
      <c r="BM347" s="103" t="s">
        <v>1</v>
      </c>
      <c r="BN347" s="102" t="s">
        <v>1</v>
      </c>
      <c r="BO347" s="103" t="s">
        <v>1</v>
      </c>
      <c r="BP347" s="102" t="s">
        <v>1</v>
      </c>
      <c r="BQ347" s="103" t="s">
        <v>1</v>
      </c>
    </row>
    <row r="348" spans="1:69" ht="7.5" customHeight="1" x14ac:dyDescent="0.25">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c r="BF348" s="30" t="s">
        <v>1</v>
      </c>
      <c r="BG348" s="37" t="s">
        <v>1</v>
      </c>
      <c r="BH348" s="102" t="s">
        <v>1</v>
      </c>
      <c r="BI348" s="103" t="s">
        <v>1</v>
      </c>
      <c r="BJ348" s="102" t="s">
        <v>1</v>
      </c>
      <c r="BK348" s="103" t="s">
        <v>1</v>
      </c>
      <c r="BL348" s="102" t="s">
        <v>1</v>
      </c>
      <c r="BM348" s="103" t="s">
        <v>1</v>
      </c>
      <c r="BN348" s="102" t="s">
        <v>1</v>
      </c>
      <c r="BO348" s="103" t="s">
        <v>1</v>
      </c>
      <c r="BP348" s="102" t="s">
        <v>1</v>
      </c>
      <c r="BQ348" s="103" t="s">
        <v>1</v>
      </c>
    </row>
    <row r="349" spans="1:69" ht="7.5" customHeight="1" x14ac:dyDescent="0.25">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c r="BF349" s="30" t="s">
        <v>1</v>
      </c>
      <c r="BG349" s="37" t="s">
        <v>1</v>
      </c>
      <c r="BH349" s="102" t="s">
        <v>1</v>
      </c>
      <c r="BI349" s="103" t="s">
        <v>1</v>
      </c>
      <c r="BJ349" s="102" t="s">
        <v>1</v>
      </c>
      <c r="BK349" s="103" t="s">
        <v>1</v>
      </c>
      <c r="BL349" s="102" t="s">
        <v>1</v>
      </c>
      <c r="BM349" s="103" t="s">
        <v>1</v>
      </c>
      <c r="BN349" s="102" t="s">
        <v>1</v>
      </c>
      <c r="BO349" s="103" t="s">
        <v>1</v>
      </c>
      <c r="BP349" s="102" t="s">
        <v>1</v>
      </c>
      <c r="BQ349" s="103" t="s">
        <v>1</v>
      </c>
    </row>
    <row r="350" spans="1:69" ht="7.5" customHeight="1" x14ac:dyDescent="0.25">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c r="BF350" s="30" t="s">
        <v>1</v>
      </c>
      <c r="BG350" s="37" t="s">
        <v>1</v>
      </c>
      <c r="BH350" s="102" t="s">
        <v>1</v>
      </c>
      <c r="BI350" s="103" t="s">
        <v>1</v>
      </c>
      <c r="BJ350" s="102" t="s">
        <v>1</v>
      </c>
      <c r="BK350" s="103" t="s">
        <v>1</v>
      </c>
      <c r="BL350" s="102" t="s">
        <v>1</v>
      </c>
      <c r="BM350" s="103" t="s">
        <v>1</v>
      </c>
      <c r="BN350" s="102" t="s">
        <v>1</v>
      </c>
      <c r="BO350" s="103" t="s">
        <v>1</v>
      </c>
      <c r="BP350" s="102" t="s">
        <v>1</v>
      </c>
      <c r="BQ350" s="103" t="s">
        <v>1</v>
      </c>
    </row>
    <row r="351" spans="1:69" ht="7.5" customHeight="1" x14ac:dyDescent="0.25">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c r="BF351" s="30" t="s">
        <v>1</v>
      </c>
      <c r="BG351" s="37" t="s">
        <v>1</v>
      </c>
      <c r="BH351" s="102" t="s">
        <v>1</v>
      </c>
      <c r="BI351" s="103" t="s">
        <v>1</v>
      </c>
      <c r="BJ351" s="102" t="s">
        <v>1</v>
      </c>
      <c r="BK351" s="103" t="s">
        <v>1</v>
      </c>
      <c r="BL351" s="102" t="s">
        <v>1</v>
      </c>
      <c r="BM351" s="103" t="s">
        <v>1</v>
      </c>
      <c r="BN351" s="102" t="s">
        <v>1</v>
      </c>
      <c r="BO351" s="103" t="s">
        <v>1</v>
      </c>
      <c r="BP351" s="102" t="s">
        <v>1</v>
      </c>
      <c r="BQ351" s="103" t="s">
        <v>1</v>
      </c>
    </row>
    <row r="352" spans="1:69" ht="7.5" customHeight="1" x14ac:dyDescent="0.25">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c r="BF352" s="30" t="s">
        <v>1</v>
      </c>
      <c r="BG352" s="37" t="s">
        <v>1</v>
      </c>
      <c r="BH352" s="102" t="s">
        <v>1</v>
      </c>
      <c r="BI352" s="103" t="s">
        <v>1</v>
      </c>
      <c r="BJ352" s="102" t="s">
        <v>1</v>
      </c>
      <c r="BK352" s="103" t="s">
        <v>1</v>
      </c>
      <c r="BL352" s="102" t="s">
        <v>1</v>
      </c>
      <c r="BM352" s="103" t="s">
        <v>1</v>
      </c>
      <c r="BN352" s="102" t="s">
        <v>1</v>
      </c>
      <c r="BO352" s="103" t="s">
        <v>1</v>
      </c>
      <c r="BP352" s="102" t="s">
        <v>1</v>
      </c>
      <c r="BQ352" s="103" t="s">
        <v>1</v>
      </c>
    </row>
    <row r="353" spans="1:69" ht="7.5" customHeight="1" x14ac:dyDescent="0.25">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c r="BF353" s="30" t="s">
        <v>1</v>
      </c>
      <c r="BG353" s="37" t="s">
        <v>1</v>
      </c>
      <c r="BH353" s="102" t="s">
        <v>1</v>
      </c>
      <c r="BI353" s="103" t="s">
        <v>1</v>
      </c>
      <c r="BJ353" s="102" t="s">
        <v>1</v>
      </c>
      <c r="BK353" s="103" t="s">
        <v>1</v>
      </c>
      <c r="BL353" s="102" t="s">
        <v>1</v>
      </c>
      <c r="BM353" s="103" t="s">
        <v>1</v>
      </c>
      <c r="BN353" s="102" t="s">
        <v>1</v>
      </c>
      <c r="BO353" s="103" t="s">
        <v>1</v>
      </c>
      <c r="BP353" s="102" t="s">
        <v>1</v>
      </c>
      <c r="BQ353" s="103" t="s">
        <v>1</v>
      </c>
    </row>
    <row r="354" spans="1:69" ht="7.5" customHeight="1" x14ac:dyDescent="0.25">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c r="BF354" s="30" t="s">
        <v>1</v>
      </c>
      <c r="BG354" s="37" t="s">
        <v>1</v>
      </c>
      <c r="BH354" s="102" t="s">
        <v>1</v>
      </c>
      <c r="BI354" s="103" t="s">
        <v>1</v>
      </c>
      <c r="BJ354" s="102" t="s">
        <v>1</v>
      </c>
      <c r="BK354" s="103" t="s">
        <v>1</v>
      </c>
      <c r="BL354" s="102" t="s">
        <v>1</v>
      </c>
      <c r="BM354" s="103" t="s">
        <v>1</v>
      </c>
      <c r="BN354" s="102" t="s">
        <v>1</v>
      </c>
      <c r="BO354" s="103" t="s">
        <v>1</v>
      </c>
      <c r="BP354" s="102" t="s">
        <v>1</v>
      </c>
      <c r="BQ354" s="103" t="s">
        <v>1</v>
      </c>
    </row>
    <row r="355" spans="1:69" ht="7.5" customHeight="1" x14ac:dyDescent="0.25">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c r="BF355" s="30" t="s">
        <v>1</v>
      </c>
      <c r="BG355" s="37" t="s">
        <v>1</v>
      </c>
      <c r="BH355" s="102" t="s">
        <v>1</v>
      </c>
      <c r="BI355" s="103" t="s">
        <v>1</v>
      </c>
      <c r="BJ355" s="102" t="s">
        <v>1</v>
      </c>
      <c r="BK355" s="103" t="s">
        <v>1</v>
      </c>
      <c r="BL355" s="102" t="s">
        <v>1</v>
      </c>
      <c r="BM355" s="103" t="s">
        <v>1</v>
      </c>
      <c r="BN355" s="102" t="s">
        <v>1</v>
      </c>
      <c r="BO355" s="103" t="s">
        <v>1</v>
      </c>
      <c r="BP355" s="102" t="s">
        <v>1</v>
      </c>
      <c r="BQ355" s="103" t="s">
        <v>1</v>
      </c>
    </row>
    <row r="356" spans="1:69" ht="7.5" customHeight="1" x14ac:dyDescent="0.25">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c r="BF356" s="30" t="s">
        <v>1</v>
      </c>
      <c r="BG356" s="37" t="s">
        <v>1</v>
      </c>
      <c r="BH356" s="102" t="s">
        <v>1</v>
      </c>
      <c r="BI356" s="103" t="s">
        <v>1</v>
      </c>
      <c r="BJ356" s="102" t="s">
        <v>1</v>
      </c>
      <c r="BK356" s="103" t="s">
        <v>1</v>
      </c>
      <c r="BL356" s="102" t="s">
        <v>1</v>
      </c>
      <c r="BM356" s="103" t="s">
        <v>1</v>
      </c>
      <c r="BN356" s="102" t="s">
        <v>1</v>
      </c>
      <c r="BO356" s="103" t="s">
        <v>1</v>
      </c>
      <c r="BP356" s="102" t="s">
        <v>1</v>
      </c>
      <c r="BQ356" s="103" t="s">
        <v>1</v>
      </c>
    </row>
    <row r="357" spans="1:69" ht="7.5" customHeight="1" x14ac:dyDescent="0.25">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c r="BF357" s="30" t="s">
        <v>1</v>
      </c>
      <c r="BG357" s="37" t="s">
        <v>1</v>
      </c>
      <c r="BH357" s="102" t="s">
        <v>1</v>
      </c>
      <c r="BI357" s="103" t="s">
        <v>1</v>
      </c>
      <c r="BJ357" s="102" t="s">
        <v>1</v>
      </c>
      <c r="BK357" s="103" t="s">
        <v>1</v>
      </c>
      <c r="BL357" s="102" t="s">
        <v>1</v>
      </c>
      <c r="BM357" s="103" t="s">
        <v>1</v>
      </c>
      <c r="BN357" s="102" t="s">
        <v>1</v>
      </c>
      <c r="BO357" s="103" t="s">
        <v>1</v>
      </c>
      <c r="BP357" s="102" t="s">
        <v>1</v>
      </c>
      <c r="BQ357" s="103" t="s">
        <v>1</v>
      </c>
    </row>
    <row r="358" spans="1:69" ht="7.5" customHeight="1" x14ac:dyDescent="0.25">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c r="BF358" s="30" t="s">
        <v>1</v>
      </c>
      <c r="BG358" s="37" t="s">
        <v>1</v>
      </c>
      <c r="BH358" s="102" t="s">
        <v>1</v>
      </c>
      <c r="BI358" s="103" t="s">
        <v>1</v>
      </c>
      <c r="BJ358" s="102" t="s">
        <v>1</v>
      </c>
      <c r="BK358" s="103" t="s">
        <v>1</v>
      </c>
      <c r="BL358" s="102" t="s">
        <v>1</v>
      </c>
      <c r="BM358" s="103" t="s">
        <v>1</v>
      </c>
      <c r="BN358" s="102" t="s">
        <v>1</v>
      </c>
      <c r="BO358" s="103" t="s">
        <v>1</v>
      </c>
      <c r="BP358" s="102" t="s">
        <v>1</v>
      </c>
      <c r="BQ358" s="103" t="s">
        <v>1</v>
      </c>
    </row>
    <row r="359" spans="1:69" ht="7.5" customHeight="1" x14ac:dyDescent="0.25">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c r="BF359" s="30" t="s">
        <v>1</v>
      </c>
      <c r="BG359" s="37" t="s">
        <v>1</v>
      </c>
      <c r="BH359" s="102" t="s">
        <v>1</v>
      </c>
      <c r="BI359" s="103" t="s">
        <v>1</v>
      </c>
      <c r="BJ359" s="102" t="s">
        <v>1</v>
      </c>
      <c r="BK359" s="103" t="s">
        <v>1</v>
      </c>
      <c r="BL359" s="102" t="s">
        <v>1</v>
      </c>
      <c r="BM359" s="103" t="s">
        <v>1</v>
      </c>
      <c r="BN359" s="102" t="s">
        <v>1</v>
      </c>
      <c r="BO359" s="103" t="s">
        <v>1</v>
      </c>
      <c r="BP359" s="102" t="s">
        <v>1</v>
      </c>
      <c r="BQ359" s="103" t="s">
        <v>1</v>
      </c>
    </row>
    <row r="360" spans="1:69" ht="7.5" customHeight="1" x14ac:dyDescent="0.25">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c r="BF360" s="30" t="s">
        <v>1</v>
      </c>
      <c r="BG360" s="37" t="s">
        <v>1</v>
      </c>
      <c r="BH360" s="102" t="s">
        <v>1</v>
      </c>
      <c r="BI360" s="103" t="s">
        <v>1</v>
      </c>
      <c r="BJ360" s="102" t="s">
        <v>1</v>
      </c>
      <c r="BK360" s="103" t="s">
        <v>1</v>
      </c>
      <c r="BL360" s="102" t="s">
        <v>1</v>
      </c>
      <c r="BM360" s="103" t="s">
        <v>1</v>
      </c>
      <c r="BN360" s="102" t="s">
        <v>1</v>
      </c>
      <c r="BO360" s="103" t="s">
        <v>1</v>
      </c>
      <c r="BP360" s="102" t="s">
        <v>1</v>
      </c>
      <c r="BQ360" s="103" t="s">
        <v>1</v>
      </c>
    </row>
    <row r="361" spans="1:69" ht="7.5" customHeight="1" x14ac:dyDescent="0.25">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c r="BF361" s="30" t="s">
        <v>1</v>
      </c>
      <c r="BG361" s="37" t="s">
        <v>1</v>
      </c>
      <c r="BH361" s="102" t="s">
        <v>1</v>
      </c>
      <c r="BI361" s="103" t="s">
        <v>1</v>
      </c>
      <c r="BJ361" s="102" t="s">
        <v>1</v>
      </c>
      <c r="BK361" s="103" t="s">
        <v>1</v>
      </c>
      <c r="BL361" s="102" t="s">
        <v>1</v>
      </c>
      <c r="BM361" s="103" t="s">
        <v>1</v>
      </c>
      <c r="BN361" s="102" t="s">
        <v>1</v>
      </c>
      <c r="BO361" s="103" t="s">
        <v>1</v>
      </c>
      <c r="BP361" s="102" t="s">
        <v>1</v>
      </c>
      <c r="BQ361" s="103" t="s">
        <v>1</v>
      </c>
    </row>
    <row r="362" spans="1:69" ht="7.5" customHeight="1" x14ac:dyDescent="0.25">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c r="BF362" s="30" t="s">
        <v>1</v>
      </c>
      <c r="BG362" s="37" t="s">
        <v>1</v>
      </c>
      <c r="BH362" s="102" t="s">
        <v>1</v>
      </c>
      <c r="BI362" s="103" t="s">
        <v>1</v>
      </c>
      <c r="BJ362" s="102" t="s">
        <v>1</v>
      </c>
      <c r="BK362" s="103" t="s">
        <v>1</v>
      </c>
      <c r="BL362" s="102" t="s">
        <v>1</v>
      </c>
      <c r="BM362" s="103" t="s">
        <v>1</v>
      </c>
      <c r="BN362" s="102" t="s">
        <v>1</v>
      </c>
      <c r="BO362" s="103" t="s">
        <v>1</v>
      </c>
      <c r="BP362" s="102" t="s">
        <v>1</v>
      </c>
      <c r="BQ362" s="103" t="s">
        <v>1</v>
      </c>
    </row>
    <row r="363" spans="1:69" ht="7.5" customHeight="1" x14ac:dyDescent="0.25">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c r="BF363" s="30" t="s">
        <v>1</v>
      </c>
      <c r="BG363" s="37" t="s">
        <v>1</v>
      </c>
      <c r="BH363" s="102" t="s">
        <v>1</v>
      </c>
      <c r="BI363" s="103" t="s">
        <v>1</v>
      </c>
      <c r="BJ363" s="102" t="s">
        <v>1</v>
      </c>
      <c r="BK363" s="103" t="s">
        <v>1</v>
      </c>
      <c r="BL363" s="102" t="s">
        <v>1</v>
      </c>
      <c r="BM363" s="103" t="s">
        <v>1</v>
      </c>
      <c r="BN363" s="102" t="s">
        <v>1</v>
      </c>
      <c r="BO363" s="103" t="s">
        <v>1</v>
      </c>
      <c r="BP363" s="102" t="s">
        <v>1</v>
      </c>
      <c r="BQ363" s="103" t="s">
        <v>1</v>
      </c>
    </row>
    <row r="364" spans="1:69" ht="7.5" customHeight="1" x14ac:dyDescent="0.25">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c r="BF364" s="30" t="s">
        <v>1</v>
      </c>
      <c r="BG364" s="37" t="s">
        <v>1</v>
      </c>
      <c r="BH364" s="102" t="s">
        <v>1</v>
      </c>
      <c r="BI364" s="103" t="s">
        <v>1</v>
      </c>
      <c r="BJ364" s="102" t="s">
        <v>1</v>
      </c>
      <c r="BK364" s="103" t="s">
        <v>1</v>
      </c>
      <c r="BL364" s="102" t="s">
        <v>1</v>
      </c>
      <c r="BM364" s="103" t="s">
        <v>1</v>
      </c>
      <c r="BN364" s="102" t="s">
        <v>1</v>
      </c>
      <c r="BO364" s="103" t="s">
        <v>1</v>
      </c>
      <c r="BP364" s="102" t="s">
        <v>1</v>
      </c>
      <c r="BQ364" s="103" t="s">
        <v>1</v>
      </c>
    </row>
    <row r="365" spans="1:69" ht="7.5" customHeight="1" x14ac:dyDescent="0.25">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c r="BF365" s="30" t="s">
        <v>1</v>
      </c>
      <c r="BG365" s="37" t="s">
        <v>1</v>
      </c>
      <c r="BH365" s="102" t="s">
        <v>1</v>
      </c>
      <c r="BI365" s="103" t="s">
        <v>1</v>
      </c>
      <c r="BJ365" s="102" t="s">
        <v>1</v>
      </c>
      <c r="BK365" s="103" t="s">
        <v>1</v>
      </c>
      <c r="BL365" s="102" t="s">
        <v>1</v>
      </c>
      <c r="BM365" s="103" t="s">
        <v>1</v>
      </c>
      <c r="BN365" s="102" t="s">
        <v>1</v>
      </c>
      <c r="BO365" s="103" t="s">
        <v>1</v>
      </c>
      <c r="BP365" s="102" t="s">
        <v>1</v>
      </c>
      <c r="BQ365" s="103" t="s">
        <v>1</v>
      </c>
    </row>
    <row r="366" spans="1:69" ht="7.5" customHeight="1" x14ac:dyDescent="0.25">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c r="BF366" s="30" t="s">
        <v>1</v>
      </c>
      <c r="BG366" s="37" t="s">
        <v>1</v>
      </c>
      <c r="BH366" s="102" t="s">
        <v>1</v>
      </c>
      <c r="BI366" s="103" t="s">
        <v>1</v>
      </c>
      <c r="BJ366" s="102" t="s">
        <v>1</v>
      </c>
      <c r="BK366" s="103" t="s">
        <v>1</v>
      </c>
      <c r="BL366" s="102" t="s">
        <v>1</v>
      </c>
      <c r="BM366" s="103" t="s">
        <v>1</v>
      </c>
      <c r="BN366" s="102" t="s">
        <v>1</v>
      </c>
      <c r="BO366" s="103" t="s">
        <v>1</v>
      </c>
      <c r="BP366" s="102" t="s">
        <v>1</v>
      </c>
      <c r="BQ366" s="103" t="s">
        <v>1</v>
      </c>
    </row>
    <row r="367" spans="1:69" ht="7.5" customHeight="1" x14ac:dyDescent="0.25">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c r="BF367" s="30" t="s">
        <v>1</v>
      </c>
      <c r="BG367" s="37" t="s">
        <v>1</v>
      </c>
      <c r="BH367" s="102" t="s">
        <v>1</v>
      </c>
      <c r="BI367" s="103" t="s">
        <v>1</v>
      </c>
      <c r="BJ367" s="102" t="s">
        <v>1</v>
      </c>
      <c r="BK367" s="103" t="s">
        <v>1</v>
      </c>
      <c r="BL367" s="102" t="s">
        <v>1</v>
      </c>
      <c r="BM367" s="103" t="s">
        <v>1</v>
      </c>
      <c r="BN367" s="102" t="s">
        <v>1</v>
      </c>
      <c r="BO367" s="103" t="s">
        <v>1</v>
      </c>
      <c r="BP367" s="102" t="s">
        <v>1</v>
      </c>
      <c r="BQ367" s="103" t="s">
        <v>1</v>
      </c>
    </row>
    <row r="368" spans="1:69" ht="7.5" customHeight="1" x14ac:dyDescent="0.25">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c r="BF368" s="30" t="s">
        <v>1</v>
      </c>
      <c r="BG368" s="37" t="s">
        <v>1</v>
      </c>
      <c r="BH368" s="102" t="s">
        <v>1</v>
      </c>
      <c r="BI368" s="103" t="s">
        <v>1</v>
      </c>
      <c r="BJ368" s="102" t="s">
        <v>1</v>
      </c>
      <c r="BK368" s="103" t="s">
        <v>1</v>
      </c>
      <c r="BL368" s="102" t="s">
        <v>1</v>
      </c>
      <c r="BM368" s="103" t="s">
        <v>1</v>
      </c>
      <c r="BN368" s="102" t="s">
        <v>1</v>
      </c>
      <c r="BO368" s="103" t="s">
        <v>1</v>
      </c>
      <c r="BP368" s="102" t="s">
        <v>1</v>
      </c>
      <c r="BQ368" s="103" t="s">
        <v>1</v>
      </c>
    </row>
    <row r="369" spans="1:69" ht="7.5" customHeight="1" x14ac:dyDescent="0.25">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c r="BF369" s="30" t="s">
        <v>1</v>
      </c>
      <c r="BG369" s="37" t="s">
        <v>1</v>
      </c>
      <c r="BH369" s="102" t="s">
        <v>1</v>
      </c>
      <c r="BI369" s="103" t="s">
        <v>1</v>
      </c>
      <c r="BJ369" s="102" t="s">
        <v>1</v>
      </c>
      <c r="BK369" s="103" t="s">
        <v>1</v>
      </c>
      <c r="BL369" s="102" t="s">
        <v>1</v>
      </c>
      <c r="BM369" s="103" t="s">
        <v>1</v>
      </c>
      <c r="BN369" s="102" t="s">
        <v>1</v>
      </c>
      <c r="BO369" s="103" t="s">
        <v>1</v>
      </c>
      <c r="BP369" s="102" t="s">
        <v>1</v>
      </c>
      <c r="BQ369" s="103" t="s">
        <v>1</v>
      </c>
    </row>
    <row r="370" spans="1:69" ht="7.5" customHeight="1" x14ac:dyDescent="0.25">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c r="BF370" s="30" t="s">
        <v>1</v>
      </c>
      <c r="BG370" s="37" t="s">
        <v>1</v>
      </c>
      <c r="BH370" s="102" t="s">
        <v>1</v>
      </c>
      <c r="BI370" s="103" t="s">
        <v>1</v>
      </c>
      <c r="BJ370" s="102" t="s">
        <v>1</v>
      </c>
      <c r="BK370" s="103" t="s">
        <v>1</v>
      </c>
      <c r="BL370" s="102" t="s">
        <v>1</v>
      </c>
      <c r="BM370" s="103" t="s">
        <v>1</v>
      </c>
      <c r="BN370" s="102" t="s">
        <v>1</v>
      </c>
      <c r="BO370" s="103" t="s">
        <v>1</v>
      </c>
      <c r="BP370" s="102" t="s">
        <v>1</v>
      </c>
      <c r="BQ370" s="103" t="s">
        <v>1</v>
      </c>
    </row>
    <row r="371" spans="1:69" ht="7.5" customHeight="1" x14ac:dyDescent="0.25">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c r="BF371" s="30" t="s">
        <v>1</v>
      </c>
      <c r="BG371" s="37" t="s">
        <v>1</v>
      </c>
      <c r="BH371" s="102" t="s">
        <v>1</v>
      </c>
      <c r="BI371" s="103" t="s">
        <v>1</v>
      </c>
      <c r="BJ371" s="102" t="s">
        <v>1</v>
      </c>
      <c r="BK371" s="103" t="s">
        <v>1</v>
      </c>
      <c r="BL371" s="102" t="s">
        <v>1</v>
      </c>
      <c r="BM371" s="103" t="s">
        <v>1</v>
      </c>
      <c r="BN371" s="102" t="s">
        <v>1</v>
      </c>
      <c r="BO371" s="103" t="s">
        <v>1</v>
      </c>
      <c r="BP371" s="102" t="s">
        <v>1</v>
      </c>
      <c r="BQ371" s="103" t="s">
        <v>1</v>
      </c>
    </row>
    <row r="372" spans="1:69" ht="7.5" customHeight="1" x14ac:dyDescent="0.25">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c r="BF372" s="30" t="s">
        <v>1</v>
      </c>
      <c r="BG372" s="37" t="s">
        <v>1</v>
      </c>
      <c r="BH372" s="102" t="s">
        <v>1</v>
      </c>
      <c r="BI372" s="103" t="s">
        <v>1</v>
      </c>
      <c r="BJ372" s="102" t="s">
        <v>1</v>
      </c>
      <c r="BK372" s="103" t="s">
        <v>1</v>
      </c>
      <c r="BL372" s="102" t="s">
        <v>1</v>
      </c>
      <c r="BM372" s="103" t="s">
        <v>1</v>
      </c>
      <c r="BN372" s="102" t="s">
        <v>1</v>
      </c>
      <c r="BO372" s="103" t="s">
        <v>1</v>
      </c>
      <c r="BP372" s="102" t="s">
        <v>1</v>
      </c>
      <c r="BQ372" s="103" t="s">
        <v>1</v>
      </c>
    </row>
    <row r="373" spans="1:69" ht="7.5" customHeight="1" x14ac:dyDescent="0.25">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c r="BF373" s="30" t="s">
        <v>1</v>
      </c>
      <c r="BG373" s="37" t="s">
        <v>1</v>
      </c>
      <c r="BH373" s="102" t="s">
        <v>1</v>
      </c>
      <c r="BI373" s="103" t="s">
        <v>1</v>
      </c>
      <c r="BJ373" s="102" t="s">
        <v>1</v>
      </c>
      <c r="BK373" s="103" t="s">
        <v>1</v>
      </c>
      <c r="BL373" s="102" t="s">
        <v>1</v>
      </c>
      <c r="BM373" s="103" t="s">
        <v>1</v>
      </c>
      <c r="BN373" s="102" t="s">
        <v>1</v>
      </c>
      <c r="BO373" s="103" t="s">
        <v>1</v>
      </c>
      <c r="BP373" s="102" t="s">
        <v>1</v>
      </c>
      <c r="BQ373" s="103" t="s">
        <v>1</v>
      </c>
    </row>
    <row r="374" spans="1:69" ht="7.5" customHeight="1" x14ac:dyDescent="0.25">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c r="BF374" s="30" t="s">
        <v>1</v>
      </c>
      <c r="BG374" s="37" t="s">
        <v>1</v>
      </c>
      <c r="BH374" s="102" t="s">
        <v>1</v>
      </c>
      <c r="BI374" s="103" t="s">
        <v>1</v>
      </c>
      <c r="BJ374" s="102" t="s">
        <v>1</v>
      </c>
      <c r="BK374" s="103" t="s">
        <v>1</v>
      </c>
      <c r="BL374" s="102" t="s">
        <v>1</v>
      </c>
      <c r="BM374" s="103" t="s">
        <v>1</v>
      </c>
      <c r="BN374" s="102" t="s">
        <v>1</v>
      </c>
      <c r="BO374" s="103" t="s">
        <v>1</v>
      </c>
      <c r="BP374" s="102" t="s">
        <v>1</v>
      </c>
      <c r="BQ374" s="103" t="s">
        <v>1</v>
      </c>
    </row>
    <row r="375" spans="1:69" ht="7.5" customHeight="1" x14ac:dyDescent="0.25">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c r="BF375" s="30" t="s">
        <v>1</v>
      </c>
      <c r="BG375" s="37" t="s">
        <v>1</v>
      </c>
      <c r="BH375" s="102" t="s">
        <v>1</v>
      </c>
      <c r="BI375" s="103" t="s">
        <v>1</v>
      </c>
      <c r="BJ375" s="102" t="s">
        <v>1</v>
      </c>
      <c r="BK375" s="103" t="s">
        <v>1</v>
      </c>
      <c r="BL375" s="102" t="s">
        <v>1</v>
      </c>
      <c r="BM375" s="103" t="s">
        <v>1</v>
      </c>
      <c r="BN375" s="102" t="s">
        <v>1</v>
      </c>
      <c r="BO375" s="103" t="s">
        <v>1</v>
      </c>
      <c r="BP375" s="102" t="s">
        <v>1</v>
      </c>
      <c r="BQ375" s="103" t="s">
        <v>1</v>
      </c>
    </row>
    <row r="376" spans="1:69" ht="7.5" customHeight="1" x14ac:dyDescent="0.25">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c r="BF376" s="30" t="s">
        <v>1</v>
      </c>
      <c r="BG376" s="37" t="s">
        <v>1</v>
      </c>
      <c r="BH376" s="102" t="s">
        <v>1</v>
      </c>
      <c r="BI376" s="103" t="s">
        <v>1</v>
      </c>
      <c r="BJ376" s="102" t="s">
        <v>1</v>
      </c>
      <c r="BK376" s="103" t="s">
        <v>1</v>
      </c>
      <c r="BL376" s="102" t="s">
        <v>1</v>
      </c>
      <c r="BM376" s="103" t="s">
        <v>1</v>
      </c>
      <c r="BN376" s="102" t="s">
        <v>1</v>
      </c>
      <c r="BO376" s="103" t="s">
        <v>1</v>
      </c>
      <c r="BP376" s="102" t="s">
        <v>1</v>
      </c>
      <c r="BQ376" s="103" t="s">
        <v>1</v>
      </c>
    </row>
    <row r="377" spans="1:69" ht="7.5" customHeight="1" x14ac:dyDescent="0.25">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c r="BF377" s="30" t="s">
        <v>1</v>
      </c>
      <c r="BG377" s="37" t="s">
        <v>1</v>
      </c>
      <c r="BH377" s="102" t="s">
        <v>1</v>
      </c>
      <c r="BI377" s="103" t="s">
        <v>1</v>
      </c>
      <c r="BJ377" s="102" t="s">
        <v>1</v>
      </c>
      <c r="BK377" s="103" t="s">
        <v>1</v>
      </c>
      <c r="BL377" s="102" t="s">
        <v>1</v>
      </c>
      <c r="BM377" s="103" t="s">
        <v>1</v>
      </c>
      <c r="BN377" s="102" t="s">
        <v>1</v>
      </c>
      <c r="BO377" s="103" t="s">
        <v>1</v>
      </c>
      <c r="BP377" s="102" t="s">
        <v>1</v>
      </c>
      <c r="BQ377" s="103" t="s">
        <v>1</v>
      </c>
    </row>
    <row r="378" spans="1:69" ht="7.5" customHeight="1" x14ac:dyDescent="0.25">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c r="BF378" s="30" t="s">
        <v>1</v>
      </c>
      <c r="BG378" s="37" t="s">
        <v>1</v>
      </c>
      <c r="BH378" s="102" t="s">
        <v>1</v>
      </c>
      <c r="BI378" s="103" t="s">
        <v>1</v>
      </c>
      <c r="BJ378" s="102" t="s">
        <v>1</v>
      </c>
      <c r="BK378" s="103" t="s">
        <v>1</v>
      </c>
      <c r="BL378" s="102" t="s">
        <v>1</v>
      </c>
      <c r="BM378" s="103" t="s">
        <v>1</v>
      </c>
      <c r="BN378" s="102" t="s">
        <v>1</v>
      </c>
      <c r="BO378" s="103" t="s">
        <v>1</v>
      </c>
      <c r="BP378" s="102" t="s">
        <v>1</v>
      </c>
      <c r="BQ378" s="103" t="s">
        <v>1</v>
      </c>
    </row>
    <row r="379" spans="1:69" ht="7.5" customHeight="1" x14ac:dyDescent="0.25">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c r="BF379" s="30" t="s">
        <v>1</v>
      </c>
      <c r="BG379" s="37" t="s">
        <v>1</v>
      </c>
      <c r="BH379" s="102" t="s">
        <v>1</v>
      </c>
      <c r="BI379" s="103" t="s">
        <v>1</v>
      </c>
      <c r="BJ379" s="102" t="s">
        <v>1</v>
      </c>
      <c r="BK379" s="103" t="s">
        <v>1</v>
      </c>
      <c r="BL379" s="102" t="s">
        <v>1</v>
      </c>
      <c r="BM379" s="103" t="s">
        <v>1</v>
      </c>
      <c r="BN379" s="102" t="s">
        <v>1</v>
      </c>
      <c r="BO379" s="103" t="s">
        <v>1</v>
      </c>
      <c r="BP379" s="102" t="s">
        <v>1</v>
      </c>
      <c r="BQ379" s="103" t="s">
        <v>1</v>
      </c>
    </row>
    <row r="380" spans="1:69" ht="7.5" customHeight="1" x14ac:dyDescent="0.25">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c r="BF380" s="30" t="s">
        <v>1</v>
      </c>
      <c r="BG380" s="37" t="s">
        <v>1</v>
      </c>
      <c r="BH380" s="102" t="s">
        <v>1</v>
      </c>
      <c r="BI380" s="103" t="s">
        <v>1</v>
      </c>
      <c r="BJ380" s="102" t="s">
        <v>1</v>
      </c>
      <c r="BK380" s="103" t="s">
        <v>1</v>
      </c>
      <c r="BL380" s="102" t="s">
        <v>1</v>
      </c>
      <c r="BM380" s="103" t="s">
        <v>1</v>
      </c>
      <c r="BN380" s="102" t="s">
        <v>1</v>
      </c>
      <c r="BO380" s="103" t="s">
        <v>1</v>
      </c>
      <c r="BP380" s="102" t="s">
        <v>1</v>
      </c>
      <c r="BQ380" s="103" t="s">
        <v>1</v>
      </c>
    </row>
    <row r="381" spans="1:69" ht="7.5" customHeight="1" x14ac:dyDescent="0.25">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c r="BF381" s="30" t="s">
        <v>1</v>
      </c>
      <c r="BG381" s="37" t="s">
        <v>1</v>
      </c>
      <c r="BH381" s="102" t="s">
        <v>1</v>
      </c>
      <c r="BI381" s="103" t="s">
        <v>1</v>
      </c>
      <c r="BJ381" s="102" t="s">
        <v>1</v>
      </c>
      <c r="BK381" s="103" t="s">
        <v>1</v>
      </c>
      <c r="BL381" s="102" t="s">
        <v>1</v>
      </c>
      <c r="BM381" s="103" t="s">
        <v>1</v>
      </c>
      <c r="BN381" s="102" t="s">
        <v>1</v>
      </c>
      <c r="BO381" s="103" t="s">
        <v>1</v>
      </c>
      <c r="BP381" s="102" t="s">
        <v>1</v>
      </c>
      <c r="BQ381" s="103" t="s">
        <v>1</v>
      </c>
    </row>
    <row r="382" spans="1:69" ht="7.5" customHeight="1" x14ac:dyDescent="0.25">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c r="BF382" s="30" t="s">
        <v>1</v>
      </c>
      <c r="BG382" s="37" t="s">
        <v>1</v>
      </c>
      <c r="BH382" s="102" t="s">
        <v>1</v>
      </c>
      <c r="BI382" s="103" t="s">
        <v>1</v>
      </c>
      <c r="BJ382" s="102" t="s">
        <v>1</v>
      </c>
      <c r="BK382" s="103" t="s">
        <v>1</v>
      </c>
      <c r="BL382" s="102" t="s">
        <v>1</v>
      </c>
      <c r="BM382" s="103" t="s">
        <v>1</v>
      </c>
      <c r="BN382" s="102" t="s">
        <v>1</v>
      </c>
      <c r="BO382" s="103" t="s">
        <v>1</v>
      </c>
      <c r="BP382" s="102" t="s">
        <v>1</v>
      </c>
      <c r="BQ382" s="103" t="s">
        <v>1</v>
      </c>
    </row>
    <row r="383" spans="1:69" ht="7.5" customHeight="1" x14ac:dyDescent="0.25">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c r="BF383" s="30" t="s">
        <v>1</v>
      </c>
      <c r="BG383" s="37" t="s">
        <v>1</v>
      </c>
      <c r="BH383" s="102" t="s">
        <v>1</v>
      </c>
      <c r="BI383" s="103" t="s">
        <v>1</v>
      </c>
      <c r="BJ383" s="102" t="s">
        <v>1</v>
      </c>
      <c r="BK383" s="103" t="s">
        <v>1</v>
      </c>
      <c r="BL383" s="102" t="s">
        <v>1</v>
      </c>
      <c r="BM383" s="103" t="s">
        <v>1</v>
      </c>
      <c r="BN383" s="102" t="s">
        <v>1</v>
      </c>
      <c r="BO383" s="103" t="s">
        <v>1</v>
      </c>
      <c r="BP383" s="102" t="s">
        <v>1</v>
      </c>
      <c r="BQ383" s="103" t="s">
        <v>1</v>
      </c>
    </row>
    <row r="384" spans="1:69" ht="7.5" customHeight="1" x14ac:dyDescent="0.25">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c r="BF384" s="30" t="s">
        <v>1</v>
      </c>
      <c r="BG384" s="37" t="s">
        <v>1</v>
      </c>
      <c r="BH384" s="102" t="s">
        <v>1</v>
      </c>
      <c r="BI384" s="103" t="s">
        <v>1</v>
      </c>
      <c r="BJ384" s="102" t="s">
        <v>1</v>
      </c>
      <c r="BK384" s="103" t="s">
        <v>1</v>
      </c>
      <c r="BL384" s="102" t="s">
        <v>1</v>
      </c>
      <c r="BM384" s="103" t="s">
        <v>1</v>
      </c>
      <c r="BN384" s="102" t="s">
        <v>1</v>
      </c>
      <c r="BO384" s="103" t="s">
        <v>1</v>
      </c>
      <c r="BP384" s="102" t="s">
        <v>1</v>
      </c>
      <c r="BQ384" s="103" t="s">
        <v>1</v>
      </c>
    </row>
    <row r="385" spans="1:69" ht="7.5" customHeight="1" x14ac:dyDescent="0.25">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c r="BF385" s="30" t="s">
        <v>1</v>
      </c>
      <c r="BG385" s="37" t="s">
        <v>1</v>
      </c>
      <c r="BH385" s="102" t="s">
        <v>1</v>
      </c>
      <c r="BI385" s="103" t="s">
        <v>1</v>
      </c>
      <c r="BJ385" s="102" t="s">
        <v>1</v>
      </c>
      <c r="BK385" s="103" t="s">
        <v>1</v>
      </c>
      <c r="BL385" s="102" t="s">
        <v>1</v>
      </c>
      <c r="BM385" s="103" t="s">
        <v>1</v>
      </c>
      <c r="BN385" s="102" t="s">
        <v>1</v>
      </c>
      <c r="BO385" s="103" t="s">
        <v>1</v>
      </c>
      <c r="BP385" s="102" t="s">
        <v>1</v>
      </c>
      <c r="BQ385" s="103" t="s">
        <v>1</v>
      </c>
    </row>
    <row r="386" spans="1:69" ht="7.5" customHeight="1" x14ac:dyDescent="0.25">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c r="BF386" s="30" t="s">
        <v>1</v>
      </c>
      <c r="BG386" s="37" t="s">
        <v>1</v>
      </c>
      <c r="BH386" s="102" t="s">
        <v>1</v>
      </c>
      <c r="BI386" s="103" t="s">
        <v>1</v>
      </c>
      <c r="BJ386" s="102" t="s">
        <v>1</v>
      </c>
      <c r="BK386" s="103" t="s">
        <v>1</v>
      </c>
      <c r="BL386" s="102" t="s">
        <v>1</v>
      </c>
      <c r="BM386" s="103" t="s">
        <v>1</v>
      </c>
      <c r="BN386" s="102" t="s">
        <v>1</v>
      </c>
      <c r="BO386" s="103" t="s">
        <v>1</v>
      </c>
      <c r="BP386" s="102" t="s">
        <v>1</v>
      </c>
      <c r="BQ386" s="103" t="s">
        <v>1</v>
      </c>
    </row>
    <row r="387" spans="1:69" ht="7.5" customHeight="1" x14ac:dyDescent="0.25">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c r="BF387" s="30" t="s">
        <v>1</v>
      </c>
      <c r="BG387" s="37" t="s">
        <v>1</v>
      </c>
      <c r="BH387" s="102" t="s">
        <v>1</v>
      </c>
      <c r="BI387" s="103" t="s">
        <v>1</v>
      </c>
      <c r="BJ387" s="102" t="s">
        <v>1</v>
      </c>
      <c r="BK387" s="103" t="s">
        <v>1</v>
      </c>
      <c r="BL387" s="102" t="s">
        <v>1</v>
      </c>
      <c r="BM387" s="103" t="s">
        <v>1</v>
      </c>
      <c r="BN387" s="102" t="s">
        <v>1</v>
      </c>
      <c r="BO387" s="103" t="s">
        <v>1</v>
      </c>
      <c r="BP387" s="102" t="s">
        <v>1</v>
      </c>
      <c r="BQ387" s="103" t="s">
        <v>1</v>
      </c>
    </row>
    <row r="388" spans="1:69" ht="7.5" customHeight="1" x14ac:dyDescent="0.25">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c r="BF388" s="30" t="s">
        <v>1</v>
      </c>
      <c r="BG388" s="37" t="s">
        <v>1</v>
      </c>
      <c r="BH388" s="102" t="s">
        <v>1</v>
      </c>
      <c r="BI388" s="103" t="s">
        <v>1</v>
      </c>
      <c r="BJ388" s="102" t="s">
        <v>1</v>
      </c>
      <c r="BK388" s="103" t="s">
        <v>1</v>
      </c>
      <c r="BL388" s="102" t="s">
        <v>1</v>
      </c>
      <c r="BM388" s="103" t="s">
        <v>1</v>
      </c>
      <c r="BN388" s="102" t="s">
        <v>1</v>
      </c>
      <c r="BO388" s="103" t="s">
        <v>1</v>
      </c>
      <c r="BP388" s="102" t="s">
        <v>1</v>
      </c>
      <c r="BQ388" s="103" t="s">
        <v>1</v>
      </c>
    </row>
    <row r="389" spans="1:69" ht="7.5" customHeight="1" x14ac:dyDescent="0.25">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c r="BF389" s="30" t="s">
        <v>1</v>
      </c>
      <c r="BG389" s="37" t="s">
        <v>1</v>
      </c>
      <c r="BH389" s="102" t="s">
        <v>1</v>
      </c>
      <c r="BI389" s="103" t="s">
        <v>1</v>
      </c>
      <c r="BJ389" s="102" t="s">
        <v>1</v>
      </c>
      <c r="BK389" s="103" t="s">
        <v>1</v>
      </c>
      <c r="BL389" s="102" t="s">
        <v>1</v>
      </c>
      <c r="BM389" s="103" t="s">
        <v>1</v>
      </c>
      <c r="BN389" s="102" t="s">
        <v>1</v>
      </c>
      <c r="BO389" s="103" t="s">
        <v>1</v>
      </c>
      <c r="BP389" s="102" t="s">
        <v>1</v>
      </c>
      <c r="BQ389" s="103" t="s">
        <v>1</v>
      </c>
    </row>
    <row r="390" spans="1:69" ht="7.5" customHeight="1" x14ac:dyDescent="0.25">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c r="BF390" s="30" t="s">
        <v>1</v>
      </c>
      <c r="BG390" s="37" t="s">
        <v>1</v>
      </c>
      <c r="BH390" s="102" t="s">
        <v>1</v>
      </c>
      <c r="BI390" s="103" t="s">
        <v>1</v>
      </c>
      <c r="BJ390" s="102" t="s">
        <v>1</v>
      </c>
      <c r="BK390" s="103" t="s">
        <v>1</v>
      </c>
      <c r="BL390" s="102" t="s">
        <v>1</v>
      </c>
      <c r="BM390" s="103" t="s">
        <v>1</v>
      </c>
      <c r="BN390" s="102" t="s">
        <v>1</v>
      </c>
      <c r="BO390" s="103" t="s">
        <v>1</v>
      </c>
      <c r="BP390" s="102" t="s">
        <v>1</v>
      </c>
      <c r="BQ390" s="103" t="s">
        <v>1</v>
      </c>
    </row>
    <row r="391" spans="1:69" ht="7.5" customHeight="1" x14ac:dyDescent="0.25">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c r="BF391" s="30" t="s">
        <v>1</v>
      </c>
      <c r="BG391" s="37" t="s">
        <v>1</v>
      </c>
      <c r="BH391" s="102" t="s">
        <v>1</v>
      </c>
      <c r="BI391" s="103" t="s">
        <v>1</v>
      </c>
      <c r="BJ391" s="102" t="s">
        <v>1</v>
      </c>
      <c r="BK391" s="103" t="s">
        <v>1</v>
      </c>
      <c r="BL391" s="102" t="s">
        <v>1</v>
      </c>
      <c r="BM391" s="103" t="s">
        <v>1</v>
      </c>
      <c r="BN391" s="102" t="s">
        <v>1</v>
      </c>
      <c r="BO391" s="103" t="s">
        <v>1</v>
      </c>
      <c r="BP391" s="102" t="s">
        <v>1</v>
      </c>
      <c r="BQ391" s="103" t="s">
        <v>1</v>
      </c>
    </row>
    <row r="392" spans="1:69" ht="7.5" customHeight="1" x14ac:dyDescent="0.25">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c r="BF392" s="30" t="s">
        <v>1</v>
      </c>
      <c r="BG392" s="37" t="s">
        <v>1</v>
      </c>
      <c r="BH392" s="102" t="s">
        <v>1</v>
      </c>
      <c r="BI392" s="103" t="s">
        <v>1</v>
      </c>
      <c r="BJ392" s="102" t="s">
        <v>1</v>
      </c>
      <c r="BK392" s="103" t="s">
        <v>1</v>
      </c>
      <c r="BL392" s="102" t="s">
        <v>1</v>
      </c>
      <c r="BM392" s="103" t="s">
        <v>1</v>
      </c>
      <c r="BN392" s="102" t="s">
        <v>1</v>
      </c>
      <c r="BO392" s="103" t="s">
        <v>1</v>
      </c>
      <c r="BP392" s="102" t="s">
        <v>1</v>
      </c>
      <c r="BQ392" s="103" t="s">
        <v>1</v>
      </c>
    </row>
    <row r="393" spans="1:69" ht="7.5" customHeight="1" x14ac:dyDescent="0.25">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c r="BF393" s="30" t="s">
        <v>1</v>
      </c>
      <c r="BG393" s="37" t="s">
        <v>1</v>
      </c>
      <c r="BH393" s="102" t="s">
        <v>1</v>
      </c>
      <c r="BI393" s="103" t="s">
        <v>1</v>
      </c>
      <c r="BJ393" s="102" t="s">
        <v>1</v>
      </c>
      <c r="BK393" s="103" t="s">
        <v>1</v>
      </c>
      <c r="BL393" s="102" t="s">
        <v>1</v>
      </c>
      <c r="BM393" s="103" t="s">
        <v>1</v>
      </c>
      <c r="BN393" s="102" t="s">
        <v>1</v>
      </c>
      <c r="BO393" s="103" t="s">
        <v>1</v>
      </c>
      <c r="BP393" s="102" t="s">
        <v>1</v>
      </c>
      <c r="BQ393" s="103" t="s">
        <v>1</v>
      </c>
    </row>
    <row r="394" spans="1:69" ht="7.5" customHeight="1" x14ac:dyDescent="0.25">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c r="BF394" s="30" t="s">
        <v>1</v>
      </c>
      <c r="BG394" s="37" t="s">
        <v>1</v>
      </c>
      <c r="BH394" s="102" t="s">
        <v>1</v>
      </c>
      <c r="BI394" s="103" t="s">
        <v>1</v>
      </c>
      <c r="BJ394" s="102" t="s">
        <v>1</v>
      </c>
      <c r="BK394" s="103" t="s">
        <v>1</v>
      </c>
      <c r="BL394" s="102" t="s">
        <v>1</v>
      </c>
      <c r="BM394" s="103" t="s">
        <v>1</v>
      </c>
      <c r="BN394" s="102" t="s">
        <v>1</v>
      </c>
      <c r="BO394" s="103" t="s">
        <v>1</v>
      </c>
      <c r="BP394" s="102" t="s">
        <v>1</v>
      </c>
      <c r="BQ394" s="103" t="s">
        <v>1</v>
      </c>
    </row>
    <row r="395" spans="1:69" ht="7.5" customHeight="1" x14ac:dyDescent="0.25">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c r="BF395" s="30" t="s">
        <v>1</v>
      </c>
      <c r="BG395" s="37" t="s">
        <v>1</v>
      </c>
      <c r="BH395" s="102" t="s">
        <v>1</v>
      </c>
      <c r="BI395" s="103" t="s">
        <v>1</v>
      </c>
      <c r="BJ395" s="102" t="s">
        <v>1</v>
      </c>
      <c r="BK395" s="103" t="s">
        <v>1</v>
      </c>
      <c r="BL395" s="102" t="s">
        <v>1</v>
      </c>
      <c r="BM395" s="103" t="s">
        <v>1</v>
      </c>
      <c r="BN395" s="102" t="s">
        <v>1</v>
      </c>
      <c r="BO395" s="103" t="s">
        <v>1</v>
      </c>
      <c r="BP395" s="102" t="s">
        <v>1</v>
      </c>
      <c r="BQ395" s="103" t="s">
        <v>1</v>
      </c>
    </row>
    <row r="396" spans="1:69" ht="7.5" customHeight="1" x14ac:dyDescent="0.25">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c r="BF396" s="30" t="s">
        <v>1</v>
      </c>
      <c r="BG396" s="37" t="s">
        <v>1</v>
      </c>
      <c r="BH396" s="102" t="s">
        <v>1</v>
      </c>
      <c r="BI396" s="103" t="s">
        <v>1</v>
      </c>
      <c r="BJ396" s="102" t="s">
        <v>1</v>
      </c>
      <c r="BK396" s="103" t="s">
        <v>1</v>
      </c>
      <c r="BL396" s="102" t="s">
        <v>1</v>
      </c>
      <c r="BM396" s="103" t="s">
        <v>1</v>
      </c>
      <c r="BN396" s="102" t="s">
        <v>1</v>
      </c>
      <c r="BO396" s="103" t="s">
        <v>1</v>
      </c>
      <c r="BP396" s="102" t="s">
        <v>1</v>
      </c>
      <c r="BQ396" s="103" t="s">
        <v>1</v>
      </c>
    </row>
    <row r="397" spans="1:69" ht="7.5" customHeight="1" x14ac:dyDescent="0.25">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c r="BF397" s="30" t="s">
        <v>1</v>
      </c>
      <c r="BG397" s="37" t="s">
        <v>1</v>
      </c>
      <c r="BH397" s="102" t="s">
        <v>1</v>
      </c>
      <c r="BI397" s="103" t="s">
        <v>1</v>
      </c>
      <c r="BJ397" s="102" t="s">
        <v>1</v>
      </c>
      <c r="BK397" s="103" t="s">
        <v>1</v>
      </c>
      <c r="BL397" s="102" t="s">
        <v>1</v>
      </c>
      <c r="BM397" s="103" t="s">
        <v>1</v>
      </c>
      <c r="BN397" s="102" t="s">
        <v>1</v>
      </c>
      <c r="BO397" s="103" t="s">
        <v>1</v>
      </c>
      <c r="BP397" s="102" t="s">
        <v>1</v>
      </c>
      <c r="BQ397" s="103" t="s">
        <v>1</v>
      </c>
    </row>
    <row r="398" spans="1:69" ht="7.5" customHeight="1" x14ac:dyDescent="0.25">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c r="BF398" s="30" t="s">
        <v>1</v>
      </c>
      <c r="BG398" s="37" t="s">
        <v>1</v>
      </c>
      <c r="BH398" s="102" t="s">
        <v>1</v>
      </c>
      <c r="BI398" s="103" t="s">
        <v>1</v>
      </c>
      <c r="BJ398" s="102" t="s">
        <v>1</v>
      </c>
      <c r="BK398" s="103" t="s">
        <v>1</v>
      </c>
      <c r="BL398" s="102" t="s">
        <v>1</v>
      </c>
      <c r="BM398" s="103" t="s">
        <v>1</v>
      </c>
      <c r="BN398" s="102" t="s">
        <v>1</v>
      </c>
      <c r="BO398" s="103" t="s">
        <v>1</v>
      </c>
      <c r="BP398" s="102" t="s">
        <v>1</v>
      </c>
      <c r="BQ398" s="103" t="s">
        <v>1</v>
      </c>
    </row>
    <row r="399" spans="1:69" ht="7.5" customHeight="1" x14ac:dyDescent="0.25">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c r="BF399" s="30" t="s">
        <v>1</v>
      </c>
      <c r="BG399" s="37" t="s">
        <v>1</v>
      </c>
      <c r="BH399" s="102" t="s">
        <v>1</v>
      </c>
      <c r="BI399" s="103" t="s">
        <v>1</v>
      </c>
      <c r="BJ399" s="102" t="s">
        <v>1</v>
      </c>
      <c r="BK399" s="103" t="s">
        <v>1</v>
      </c>
      <c r="BL399" s="102" t="s">
        <v>1</v>
      </c>
      <c r="BM399" s="103" t="s">
        <v>1</v>
      </c>
      <c r="BN399" s="102" t="s">
        <v>1</v>
      </c>
      <c r="BO399" s="103" t="s">
        <v>1</v>
      </c>
      <c r="BP399" s="102" t="s">
        <v>1</v>
      </c>
      <c r="BQ399" s="103" t="s">
        <v>1</v>
      </c>
    </row>
    <row r="400" spans="1:69" ht="7.5" customHeight="1" x14ac:dyDescent="0.25">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c r="BF400" s="30" t="s">
        <v>1</v>
      </c>
      <c r="BG400" s="37" t="s">
        <v>1</v>
      </c>
      <c r="BH400" s="102" t="s">
        <v>1</v>
      </c>
      <c r="BI400" s="103" t="s">
        <v>1</v>
      </c>
      <c r="BJ400" s="102" t="s">
        <v>1</v>
      </c>
      <c r="BK400" s="103" t="s">
        <v>1</v>
      </c>
      <c r="BL400" s="102" t="s">
        <v>1</v>
      </c>
      <c r="BM400" s="103" t="s">
        <v>1</v>
      </c>
      <c r="BN400" s="102" t="s">
        <v>1</v>
      </c>
      <c r="BO400" s="103" t="s">
        <v>1</v>
      </c>
      <c r="BP400" s="102" t="s">
        <v>1</v>
      </c>
      <c r="BQ400" s="103" t="s">
        <v>1</v>
      </c>
    </row>
    <row r="401" spans="1:69" ht="7.5" customHeight="1" x14ac:dyDescent="0.25">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c r="BF401" s="30" t="s">
        <v>1</v>
      </c>
      <c r="BG401" s="37" t="s">
        <v>1</v>
      </c>
      <c r="BH401" s="102" t="s">
        <v>1</v>
      </c>
      <c r="BI401" s="103" t="s">
        <v>1</v>
      </c>
      <c r="BJ401" s="102" t="s">
        <v>1</v>
      </c>
      <c r="BK401" s="103" t="s">
        <v>1</v>
      </c>
      <c r="BL401" s="102" t="s">
        <v>1</v>
      </c>
      <c r="BM401" s="103" t="s">
        <v>1</v>
      </c>
      <c r="BN401" s="102" t="s">
        <v>1</v>
      </c>
      <c r="BO401" s="103" t="s">
        <v>1</v>
      </c>
      <c r="BP401" s="102" t="s">
        <v>1</v>
      </c>
      <c r="BQ401" s="103" t="s">
        <v>1</v>
      </c>
    </row>
    <row r="402" spans="1:69" ht="7.5" customHeight="1" x14ac:dyDescent="0.25">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c r="BF402" s="30" t="s">
        <v>1</v>
      </c>
      <c r="BG402" s="37" t="s">
        <v>1</v>
      </c>
      <c r="BH402" s="102" t="s">
        <v>1</v>
      </c>
      <c r="BI402" s="103" t="s">
        <v>1</v>
      </c>
      <c r="BJ402" s="102" t="s">
        <v>1</v>
      </c>
      <c r="BK402" s="103" t="s">
        <v>1</v>
      </c>
      <c r="BL402" s="102" t="s">
        <v>1</v>
      </c>
      <c r="BM402" s="103" t="s">
        <v>1</v>
      </c>
      <c r="BN402" s="102" t="s">
        <v>1</v>
      </c>
      <c r="BO402" s="103" t="s">
        <v>1</v>
      </c>
      <c r="BP402" s="102" t="s">
        <v>1</v>
      </c>
      <c r="BQ402" s="103" t="s">
        <v>1</v>
      </c>
    </row>
    <row r="403" spans="1:69" ht="7.5" customHeight="1" x14ac:dyDescent="0.25">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c r="BF403" s="30" t="s">
        <v>1</v>
      </c>
      <c r="BG403" s="37" t="s">
        <v>1</v>
      </c>
      <c r="BH403" s="102" t="s">
        <v>1</v>
      </c>
      <c r="BI403" s="103" t="s">
        <v>1</v>
      </c>
      <c r="BJ403" s="102" t="s">
        <v>1</v>
      </c>
      <c r="BK403" s="103" t="s">
        <v>1</v>
      </c>
      <c r="BL403" s="102" t="s">
        <v>1</v>
      </c>
      <c r="BM403" s="103" t="s">
        <v>1</v>
      </c>
      <c r="BN403" s="102" t="s">
        <v>1</v>
      </c>
      <c r="BO403" s="103" t="s">
        <v>1</v>
      </c>
      <c r="BP403" s="102" t="s">
        <v>1</v>
      </c>
      <c r="BQ403" s="103" t="s">
        <v>1</v>
      </c>
    </row>
    <row r="404" spans="1:69" ht="7.5" customHeight="1" x14ac:dyDescent="0.25">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c r="BF404" s="30" t="s">
        <v>1</v>
      </c>
      <c r="BG404" s="37" t="s">
        <v>1</v>
      </c>
      <c r="BH404" s="102" t="s">
        <v>1</v>
      </c>
      <c r="BI404" s="103" t="s">
        <v>1</v>
      </c>
      <c r="BJ404" s="102" t="s">
        <v>1</v>
      </c>
      <c r="BK404" s="103" t="s">
        <v>1</v>
      </c>
      <c r="BL404" s="102" t="s">
        <v>1</v>
      </c>
      <c r="BM404" s="103" t="s">
        <v>1</v>
      </c>
      <c r="BN404" s="102" t="s">
        <v>1</v>
      </c>
      <c r="BO404" s="103" t="s">
        <v>1</v>
      </c>
      <c r="BP404" s="102" t="s">
        <v>1</v>
      </c>
      <c r="BQ404" s="103" t="s">
        <v>1</v>
      </c>
    </row>
    <row r="405" spans="1:69" ht="7.5" customHeight="1" x14ac:dyDescent="0.25">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c r="BF405" s="30" t="s">
        <v>1</v>
      </c>
      <c r="BG405" s="37" t="s">
        <v>1</v>
      </c>
      <c r="BH405" s="102" t="s">
        <v>1</v>
      </c>
      <c r="BI405" s="103" t="s">
        <v>1</v>
      </c>
      <c r="BJ405" s="102" t="s">
        <v>1</v>
      </c>
      <c r="BK405" s="103" t="s">
        <v>1</v>
      </c>
      <c r="BL405" s="102" t="s">
        <v>1</v>
      </c>
      <c r="BM405" s="103" t="s">
        <v>1</v>
      </c>
      <c r="BN405" s="102" t="s">
        <v>1</v>
      </c>
      <c r="BO405" s="103" t="s">
        <v>1</v>
      </c>
      <c r="BP405" s="102" t="s">
        <v>1</v>
      </c>
      <c r="BQ405" s="103" t="s">
        <v>1</v>
      </c>
    </row>
    <row r="406" spans="1:69" ht="7.5" customHeight="1" x14ac:dyDescent="0.25">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c r="BF406" s="30" t="s">
        <v>1</v>
      </c>
      <c r="BG406" s="37" t="s">
        <v>1</v>
      </c>
      <c r="BH406" s="102" t="s">
        <v>1</v>
      </c>
      <c r="BI406" s="103" t="s">
        <v>1</v>
      </c>
      <c r="BJ406" s="102" t="s">
        <v>1</v>
      </c>
      <c r="BK406" s="103" t="s">
        <v>1</v>
      </c>
      <c r="BL406" s="102" t="s">
        <v>1</v>
      </c>
      <c r="BM406" s="103" t="s">
        <v>1</v>
      </c>
      <c r="BN406" s="102" t="s">
        <v>1</v>
      </c>
      <c r="BO406" s="103" t="s">
        <v>1</v>
      </c>
      <c r="BP406" s="102" t="s">
        <v>1</v>
      </c>
      <c r="BQ406" s="103" t="s">
        <v>1</v>
      </c>
    </row>
    <row r="407" spans="1:69" ht="7.5" customHeight="1" x14ac:dyDescent="0.25">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c r="BF407" s="30" t="s">
        <v>1</v>
      </c>
      <c r="BG407" s="37" t="s">
        <v>1</v>
      </c>
      <c r="BH407" s="102" t="s">
        <v>1</v>
      </c>
      <c r="BI407" s="103" t="s">
        <v>1</v>
      </c>
      <c r="BJ407" s="102" t="s">
        <v>1</v>
      </c>
      <c r="BK407" s="103" t="s">
        <v>1</v>
      </c>
      <c r="BL407" s="102" t="s">
        <v>1</v>
      </c>
      <c r="BM407" s="103" t="s">
        <v>1</v>
      </c>
      <c r="BN407" s="102" t="s">
        <v>1</v>
      </c>
      <c r="BO407" s="103" t="s">
        <v>1</v>
      </c>
      <c r="BP407" s="102" t="s">
        <v>1</v>
      </c>
      <c r="BQ407" s="103" t="s">
        <v>1</v>
      </c>
    </row>
    <row r="408" spans="1:69" ht="7.5" customHeight="1" x14ac:dyDescent="0.25">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c r="BF408" s="30" t="s">
        <v>1</v>
      </c>
      <c r="BG408" s="37" t="s">
        <v>1</v>
      </c>
      <c r="BH408" s="102" t="s">
        <v>1</v>
      </c>
      <c r="BI408" s="103" t="s">
        <v>1</v>
      </c>
      <c r="BJ408" s="102" t="s">
        <v>1</v>
      </c>
      <c r="BK408" s="103" t="s">
        <v>1</v>
      </c>
      <c r="BL408" s="102" t="s">
        <v>1</v>
      </c>
      <c r="BM408" s="103" t="s">
        <v>1</v>
      </c>
      <c r="BN408" s="102" t="s">
        <v>1</v>
      </c>
      <c r="BO408" s="103" t="s">
        <v>1</v>
      </c>
      <c r="BP408" s="102" t="s">
        <v>1</v>
      </c>
      <c r="BQ408" s="103" t="s">
        <v>1</v>
      </c>
    </row>
    <row r="409" spans="1:69" ht="7.5" customHeight="1" x14ac:dyDescent="0.25">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c r="BF409" s="30" t="s">
        <v>1</v>
      </c>
      <c r="BG409" s="37" t="s">
        <v>1</v>
      </c>
      <c r="BH409" s="102" t="s">
        <v>1</v>
      </c>
      <c r="BI409" s="103" t="s">
        <v>1</v>
      </c>
      <c r="BJ409" s="102" t="s">
        <v>1</v>
      </c>
      <c r="BK409" s="103" t="s">
        <v>1</v>
      </c>
      <c r="BL409" s="102" t="s">
        <v>1</v>
      </c>
      <c r="BM409" s="103" t="s">
        <v>1</v>
      </c>
      <c r="BN409" s="102" t="s">
        <v>1</v>
      </c>
      <c r="BO409" s="103" t="s">
        <v>1</v>
      </c>
      <c r="BP409" s="102" t="s">
        <v>1</v>
      </c>
      <c r="BQ409" s="103" t="s">
        <v>1</v>
      </c>
    </row>
    <row r="410" spans="1:69" ht="7.5" customHeight="1" x14ac:dyDescent="0.25">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c r="BF410" s="30" t="s">
        <v>1</v>
      </c>
      <c r="BG410" s="37" t="s">
        <v>1</v>
      </c>
      <c r="BH410" s="102" t="s">
        <v>1</v>
      </c>
      <c r="BI410" s="103" t="s">
        <v>1</v>
      </c>
      <c r="BJ410" s="102" t="s">
        <v>1</v>
      </c>
      <c r="BK410" s="103" t="s">
        <v>1</v>
      </c>
      <c r="BL410" s="102" t="s">
        <v>1</v>
      </c>
      <c r="BM410" s="103" t="s">
        <v>1</v>
      </c>
      <c r="BN410" s="102" t="s">
        <v>1</v>
      </c>
      <c r="BO410" s="103" t="s">
        <v>1</v>
      </c>
      <c r="BP410" s="102" t="s">
        <v>1</v>
      </c>
      <c r="BQ410" s="103" t="s">
        <v>1</v>
      </c>
    </row>
    <row r="411" spans="1:69" ht="7.5" customHeight="1" x14ac:dyDescent="0.25">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c r="BF411" s="30" t="s">
        <v>1</v>
      </c>
      <c r="BG411" s="37" t="s">
        <v>1</v>
      </c>
      <c r="BH411" s="102" t="s">
        <v>1</v>
      </c>
      <c r="BI411" s="103" t="s">
        <v>1</v>
      </c>
      <c r="BJ411" s="102" t="s">
        <v>1</v>
      </c>
      <c r="BK411" s="103" t="s">
        <v>1</v>
      </c>
      <c r="BL411" s="102" t="s">
        <v>1</v>
      </c>
      <c r="BM411" s="103" t="s">
        <v>1</v>
      </c>
      <c r="BN411" s="102" t="s">
        <v>1</v>
      </c>
      <c r="BO411" s="103" t="s">
        <v>1</v>
      </c>
      <c r="BP411" s="102" t="s">
        <v>1</v>
      </c>
      <c r="BQ411" s="103" t="s">
        <v>1</v>
      </c>
    </row>
    <row r="412" spans="1:69" ht="7.5" customHeight="1" x14ac:dyDescent="0.25">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c r="BF412" s="30" t="s">
        <v>1</v>
      </c>
      <c r="BG412" s="37" t="s">
        <v>1</v>
      </c>
      <c r="BH412" s="102" t="s">
        <v>1</v>
      </c>
      <c r="BI412" s="103" t="s">
        <v>1</v>
      </c>
      <c r="BJ412" s="102" t="s">
        <v>1</v>
      </c>
      <c r="BK412" s="103" t="s">
        <v>1</v>
      </c>
      <c r="BL412" s="102" t="s">
        <v>1</v>
      </c>
      <c r="BM412" s="103" t="s">
        <v>1</v>
      </c>
      <c r="BN412" s="102" t="s">
        <v>1</v>
      </c>
      <c r="BO412" s="103" t="s">
        <v>1</v>
      </c>
      <c r="BP412" s="102" t="s">
        <v>1</v>
      </c>
      <c r="BQ412" s="103" t="s">
        <v>1</v>
      </c>
    </row>
    <row r="413" spans="1:69" ht="7.5" customHeight="1" x14ac:dyDescent="0.25">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c r="BF413" s="30" t="s">
        <v>1</v>
      </c>
      <c r="BG413" s="37" t="s">
        <v>1</v>
      </c>
      <c r="BH413" s="102" t="s">
        <v>1</v>
      </c>
      <c r="BI413" s="103" t="s">
        <v>1</v>
      </c>
      <c r="BJ413" s="102" t="s">
        <v>1</v>
      </c>
      <c r="BK413" s="103" t="s">
        <v>1</v>
      </c>
      <c r="BL413" s="102" t="s">
        <v>1</v>
      </c>
      <c r="BM413" s="103" t="s">
        <v>1</v>
      </c>
      <c r="BN413" s="102" t="s">
        <v>1</v>
      </c>
      <c r="BO413" s="103" t="s">
        <v>1</v>
      </c>
      <c r="BP413" s="102" t="s">
        <v>1</v>
      </c>
      <c r="BQ413" s="103" t="s">
        <v>1</v>
      </c>
    </row>
    <row r="414" spans="1:69" ht="7.5" customHeight="1" x14ac:dyDescent="0.25">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c r="BF414" s="30" t="s">
        <v>1</v>
      </c>
      <c r="BG414" s="37" t="s">
        <v>1</v>
      </c>
      <c r="BH414" s="102" t="s">
        <v>1</v>
      </c>
      <c r="BI414" s="103" t="s">
        <v>1</v>
      </c>
      <c r="BJ414" s="102" t="s">
        <v>1</v>
      </c>
      <c r="BK414" s="103" t="s">
        <v>1</v>
      </c>
      <c r="BL414" s="102" t="s">
        <v>1</v>
      </c>
      <c r="BM414" s="103" t="s">
        <v>1</v>
      </c>
      <c r="BN414" s="102" t="s">
        <v>1</v>
      </c>
      <c r="BO414" s="103" t="s">
        <v>1</v>
      </c>
      <c r="BP414" s="102" t="s">
        <v>1</v>
      </c>
      <c r="BQ414" s="103" t="s">
        <v>1</v>
      </c>
    </row>
    <row r="415" spans="1:69" ht="7.5" customHeight="1" x14ac:dyDescent="0.25">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c r="BF415" s="30" t="s">
        <v>1</v>
      </c>
      <c r="BG415" s="37" t="s">
        <v>1</v>
      </c>
      <c r="BH415" s="102" t="s">
        <v>1</v>
      </c>
      <c r="BI415" s="103" t="s">
        <v>1</v>
      </c>
      <c r="BJ415" s="102" t="s">
        <v>1</v>
      </c>
      <c r="BK415" s="103" t="s">
        <v>1</v>
      </c>
      <c r="BL415" s="102" t="s">
        <v>1</v>
      </c>
      <c r="BM415" s="103" t="s">
        <v>1</v>
      </c>
      <c r="BN415" s="102" t="s">
        <v>1</v>
      </c>
      <c r="BO415" s="103" t="s">
        <v>1</v>
      </c>
      <c r="BP415" s="102" t="s">
        <v>1</v>
      </c>
      <c r="BQ415" s="103" t="s">
        <v>1</v>
      </c>
    </row>
    <row r="416" spans="1:69" ht="7.5" customHeight="1" x14ac:dyDescent="0.25">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c r="BF416" s="30" t="s">
        <v>1</v>
      </c>
      <c r="BG416" s="37" t="s">
        <v>1</v>
      </c>
      <c r="BH416" s="102" t="s">
        <v>1</v>
      </c>
      <c r="BI416" s="103" t="s">
        <v>1</v>
      </c>
      <c r="BJ416" s="102" t="s">
        <v>1</v>
      </c>
      <c r="BK416" s="103" t="s">
        <v>1</v>
      </c>
      <c r="BL416" s="102" t="s">
        <v>1</v>
      </c>
      <c r="BM416" s="103" t="s">
        <v>1</v>
      </c>
      <c r="BN416" s="102" t="s">
        <v>1</v>
      </c>
      <c r="BO416" s="103" t="s">
        <v>1</v>
      </c>
      <c r="BP416" s="102" t="s">
        <v>1</v>
      </c>
      <c r="BQ416" s="103" t="s">
        <v>1</v>
      </c>
    </row>
    <row r="417" spans="1:69" ht="7.5" customHeight="1" x14ac:dyDescent="0.25">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c r="BF417" s="30" t="s">
        <v>1</v>
      </c>
      <c r="BG417" s="37" t="s">
        <v>1</v>
      </c>
      <c r="BH417" s="102" t="s">
        <v>1</v>
      </c>
      <c r="BI417" s="103" t="s">
        <v>1</v>
      </c>
      <c r="BJ417" s="102" t="s">
        <v>1</v>
      </c>
      <c r="BK417" s="103" t="s">
        <v>1</v>
      </c>
      <c r="BL417" s="102" t="s">
        <v>1</v>
      </c>
      <c r="BM417" s="103" t="s">
        <v>1</v>
      </c>
      <c r="BN417" s="102" t="s">
        <v>1</v>
      </c>
      <c r="BO417" s="103" t="s">
        <v>1</v>
      </c>
      <c r="BP417" s="102" t="s">
        <v>1</v>
      </c>
      <c r="BQ417" s="103" t="s">
        <v>1</v>
      </c>
    </row>
    <row r="418" spans="1:69" ht="7.5" customHeight="1" x14ac:dyDescent="0.25">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c r="BF418" s="30" t="s">
        <v>1</v>
      </c>
      <c r="BG418" s="37" t="s">
        <v>1</v>
      </c>
      <c r="BH418" s="102" t="s">
        <v>1</v>
      </c>
      <c r="BI418" s="103" t="s">
        <v>1</v>
      </c>
      <c r="BJ418" s="102" t="s">
        <v>1</v>
      </c>
      <c r="BK418" s="103" t="s">
        <v>1</v>
      </c>
      <c r="BL418" s="102" t="s">
        <v>1</v>
      </c>
      <c r="BM418" s="103" t="s">
        <v>1</v>
      </c>
      <c r="BN418" s="102" t="s">
        <v>1</v>
      </c>
      <c r="BO418" s="103" t="s">
        <v>1</v>
      </c>
      <c r="BP418" s="102" t="s">
        <v>1</v>
      </c>
      <c r="BQ418" s="103" t="s">
        <v>1</v>
      </c>
    </row>
    <row r="419" spans="1:69" ht="7.5" customHeight="1" x14ac:dyDescent="0.25">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c r="BF419" s="30" t="s">
        <v>1</v>
      </c>
      <c r="BG419" s="37" t="s">
        <v>1</v>
      </c>
      <c r="BH419" s="102" t="s">
        <v>1</v>
      </c>
      <c r="BI419" s="103" t="s">
        <v>1</v>
      </c>
      <c r="BJ419" s="102" t="s">
        <v>1</v>
      </c>
      <c r="BK419" s="103" t="s">
        <v>1</v>
      </c>
      <c r="BL419" s="102" t="s">
        <v>1</v>
      </c>
      <c r="BM419" s="103" t="s">
        <v>1</v>
      </c>
      <c r="BN419" s="102" t="s">
        <v>1</v>
      </c>
      <c r="BO419" s="103" t="s">
        <v>1</v>
      </c>
      <c r="BP419" s="102" t="s">
        <v>1</v>
      </c>
      <c r="BQ419" s="103" t="s">
        <v>1</v>
      </c>
    </row>
    <row r="420" spans="1:69" ht="7.5" customHeight="1" x14ac:dyDescent="0.25">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c r="BF420" s="30" t="s">
        <v>1</v>
      </c>
      <c r="BG420" s="37" t="s">
        <v>1</v>
      </c>
      <c r="BH420" s="102" t="s">
        <v>1</v>
      </c>
      <c r="BI420" s="103" t="s">
        <v>1</v>
      </c>
      <c r="BJ420" s="102" t="s">
        <v>1</v>
      </c>
      <c r="BK420" s="103" t="s">
        <v>1</v>
      </c>
      <c r="BL420" s="102" t="s">
        <v>1</v>
      </c>
      <c r="BM420" s="103" t="s">
        <v>1</v>
      </c>
      <c r="BN420" s="102" t="s">
        <v>1</v>
      </c>
      <c r="BO420" s="103" t="s">
        <v>1</v>
      </c>
      <c r="BP420" s="102" t="s">
        <v>1</v>
      </c>
      <c r="BQ420" s="103" t="s">
        <v>1</v>
      </c>
    </row>
    <row r="421" spans="1:69" ht="7.5" customHeight="1" x14ac:dyDescent="0.25">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c r="BF421" s="30" t="s">
        <v>1</v>
      </c>
      <c r="BG421" s="37" t="s">
        <v>1</v>
      </c>
      <c r="BH421" s="102" t="s">
        <v>1</v>
      </c>
      <c r="BI421" s="103" t="s">
        <v>1</v>
      </c>
      <c r="BJ421" s="102" t="s">
        <v>1</v>
      </c>
      <c r="BK421" s="103" t="s">
        <v>1</v>
      </c>
      <c r="BL421" s="102" t="s">
        <v>1</v>
      </c>
      <c r="BM421" s="103" t="s">
        <v>1</v>
      </c>
      <c r="BN421" s="102" t="s">
        <v>1</v>
      </c>
      <c r="BO421" s="103" t="s">
        <v>1</v>
      </c>
      <c r="BP421" s="102" t="s">
        <v>1</v>
      </c>
      <c r="BQ421" s="103" t="s">
        <v>1</v>
      </c>
    </row>
    <row r="422" spans="1:69" ht="7.5" customHeight="1" x14ac:dyDescent="0.25">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c r="BF422" s="30" t="s">
        <v>1</v>
      </c>
      <c r="BG422" s="37" t="s">
        <v>1</v>
      </c>
      <c r="BH422" s="102" t="s">
        <v>1</v>
      </c>
      <c r="BI422" s="103" t="s">
        <v>1</v>
      </c>
      <c r="BJ422" s="102" t="s">
        <v>1</v>
      </c>
      <c r="BK422" s="103" t="s">
        <v>1</v>
      </c>
      <c r="BL422" s="102" t="s">
        <v>1</v>
      </c>
      <c r="BM422" s="103" t="s">
        <v>1</v>
      </c>
      <c r="BN422" s="102" t="s">
        <v>1</v>
      </c>
      <c r="BO422" s="103" t="s">
        <v>1</v>
      </c>
      <c r="BP422" s="102" t="s">
        <v>1</v>
      </c>
      <c r="BQ422" s="103" t="s">
        <v>1</v>
      </c>
    </row>
    <row r="423" spans="1:69" ht="7.5" customHeight="1" x14ac:dyDescent="0.25">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c r="BF423" s="30" t="s">
        <v>1</v>
      </c>
      <c r="BG423" s="37" t="s">
        <v>1</v>
      </c>
      <c r="BH423" s="102" t="s">
        <v>1</v>
      </c>
      <c r="BI423" s="103" t="s">
        <v>1</v>
      </c>
      <c r="BJ423" s="102" t="s">
        <v>1</v>
      </c>
      <c r="BK423" s="103" t="s">
        <v>1</v>
      </c>
      <c r="BL423" s="102" t="s">
        <v>1</v>
      </c>
      <c r="BM423" s="103" t="s">
        <v>1</v>
      </c>
      <c r="BN423" s="102" t="s">
        <v>1</v>
      </c>
      <c r="BO423" s="103" t="s">
        <v>1</v>
      </c>
      <c r="BP423" s="102" t="s">
        <v>1</v>
      </c>
      <c r="BQ423" s="103" t="s">
        <v>1</v>
      </c>
    </row>
    <row r="424" spans="1:69" ht="7.5" customHeight="1" x14ac:dyDescent="0.25">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c r="BF424" s="30" t="s">
        <v>1</v>
      </c>
      <c r="BG424" s="37" t="s">
        <v>1</v>
      </c>
      <c r="BH424" s="102" t="s">
        <v>1</v>
      </c>
      <c r="BI424" s="103" t="s">
        <v>1</v>
      </c>
      <c r="BJ424" s="102" t="s">
        <v>1</v>
      </c>
      <c r="BK424" s="103" t="s">
        <v>1</v>
      </c>
      <c r="BL424" s="102" t="s">
        <v>1</v>
      </c>
      <c r="BM424" s="103" t="s">
        <v>1</v>
      </c>
      <c r="BN424" s="102" t="s">
        <v>1</v>
      </c>
      <c r="BO424" s="103" t="s">
        <v>1</v>
      </c>
      <c r="BP424" s="102" t="s">
        <v>1</v>
      </c>
      <c r="BQ424" s="103" t="s">
        <v>1</v>
      </c>
    </row>
    <row r="425" spans="1:69" ht="7.5" customHeight="1" x14ac:dyDescent="0.25">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c r="BF425" s="30" t="s">
        <v>1</v>
      </c>
      <c r="BG425" s="37" t="s">
        <v>1</v>
      </c>
      <c r="BH425" s="102" t="s">
        <v>1</v>
      </c>
      <c r="BI425" s="103" t="s">
        <v>1</v>
      </c>
      <c r="BJ425" s="102" t="s">
        <v>1</v>
      </c>
      <c r="BK425" s="103" t="s">
        <v>1</v>
      </c>
      <c r="BL425" s="102" t="s">
        <v>1</v>
      </c>
      <c r="BM425" s="103" t="s">
        <v>1</v>
      </c>
      <c r="BN425" s="102" t="s">
        <v>1</v>
      </c>
      <c r="BO425" s="103" t="s">
        <v>1</v>
      </c>
      <c r="BP425" s="102" t="s">
        <v>1</v>
      </c>
      <c r="BQ425" s="103" t="s">
        <v>1</v>
      </c>
    </row>
    <row r="426" spans="1:69" ht="7.5" customHeight="1" x14ac:dyDescent="0.25">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c r="BF426" s="30" t="s">
        <v>1</v>
      </c>
      <c r="BG426" s="37" t="s">
        <v>1</v>
      </c>
      <c r="BH426" s="102" t="s">
        <v>1</v>
      </c>
      <c r="BI426" s="103" t="s">
        <v>1</v>
      </c>
      <c r="BJ426" s="102" t="s">
        <v>1</v>
      </c>
      <c r="BK426" s="103" t="s">
        <v>1</v>
      </c>
      <c r="BL426" s="102" t="s">
        <v>1</v>
      </c>
      <c r="BM426" s="103" t="s">
        <v>1</v>
      </c>
      <c r="BN426" s="102" t="s">
        <v>1</v>
      </c>
      <c r="BO426" s="103" t="s">
        <v>1</v>
      </c>
      <c r="BP426" s="102" t="s">
        <v>1</v>
      </c>
      <c r="BQ426" s="103" t="s">
        <v>1</v>
      </c>
    </row>
    <row r="427" spans="1:69" ht="7.5" customHeight="1" x14ac:dyDescent="0.25">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c r="BF427" s="30" t="s">
        <v>1</v>
      </c>
      <c r="BG427" s="37" t="s">
        <v>1</v>
      </c>
      <c r="BH427" s="102" t="s">
        <v>1</v>
      </c>
      <c r="BI427" s="103" t="s">
        <v>1</v>
      </c>
      <c r="BJ427" s="102" t="s">
        <v>1</v>
      </c>
      <c r="BK427" s="103" t="s">
        <v>1</v>
      </c>
      <c r="BL427" s="102" t="s">
        <v>1</v>
      </c>
      <c r="BM427" s="103" t="s">
        <v>1</v>
      </c>
      <c r="BN427" s="102" t="s">
        <v>1</v>
      </c>
      <c r="BO427" s="103" t="s">
        <v>1</v>
      </c>
      <c r="BP427" s="102" t="s">
        <v>1</v>
      </c>
      <c r="BQ427" s="103" t="s">
        <v>1</v>
      </c>
    </row>
    <row r="428" spans="1:69" ht="7.5" customHeight="1" x14ac:dyDescent="0.25">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c r="BF428" s="30" t="s">
        <v>1</v>
      </c>
      <c r="BG428" s="37" t="s">
        <v>1</v>
      </c>
      <c r="BH428" s="102" t="s">
        <v>1</v>
      </c>
      <c r="BI428" s="103" t="s">
        <v>1</v>
      </c>
      <c r="BJ428" s="102" t="s">
        <v>1</v>
      </c>
      <c r="BK428" s="103" t="s">
        <v>1</v>
      </c>
      <c r="BL428" s="102" t="s">
        <v>1</v>
      </c>
      <c r="BM428" s="103" t="s">
        <v>1</v>
      </c>
      <c r="BN428" s="102" t="s">
        <v>1</v>
      </c>
      <c r="BO428" s="103" t="s">
        <v>1</v>
      </c>
      <c r="BP428" s="102" t="s">
        <v>1</v>
      </c>
      <c r="BQ428" s="103" t="s">
        <v>1</v>
      </c>
    </row>
    <row r="429" spans="1:69" ht="7.5" customHeight="1" x14ac:dyDescent="0.25">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c r="BF429" s="30" t="s">
        <v>1</v>
      </c>
      <c r="BG429" s="37" t="s">
        <v>1</v>
      </c>
      <c r="BH429" s="102" t="s">
        <v>1</v>
      </c>
      <c r="BI429" s="103" t="s">
        <v>1</v>
      </c>
      <c r="BJ429" s="102" t="s">
        <v>1</v>
      </c>
      <c r="BK429" s="103" t="s">
        <v>1</v>
      </c>
      <c r="BL429" s="102" t="s">
        <v>1</v>
      </c>
      <c r="BM429" s="103" t="s">
        <v>1</v>
      </c>
      <c r="BN429" s="102" t="s">
        <v>1</v>
      </c>
      <c r="BO429" s="103" t="s">
        <v>1</v>
      </c>
      <c r="BP429" s="102" t="s">
        <v>1</v>
      </c>
      <c r="BQ429" s="103" t="s">
        <v>1</v>
      </c>
    </row>
    <row r="430" spans="1:69" ht="7.5" customHeight="1" x14ac:dyDescent="0.25">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c r="BF430" s="30" t="s">
        <v>1</v>
      </c>
      <c r="BG430" s="37" t="s">
        <v>1</v>
      </c>
      <c r="BH430" s="102" t="s">
        <v>1</v>
      </c>
      <c r="BI430" s="103" t="s">
        <v>1</v>
      </c>
      <c r="BJ430" s="102" t="s">
        <v>1</v>
      </c>
      <c r="BK430" s="103" t="s">
        <v>1</v>
      </c>
      <c r="BL430" s="102" t="s">
        <v>1</v>
      </c>
      <c r="BM430" s="103" t="s">
        <v>1</v>
      </c>
      <c r="BN430" s="102" t="s">
        <v>1</v>
      </c>
      <c r="BO430" s="103" t="s">
        <v>1</v>
      </c>
      <c r="BP430" s="102" t="s">
        <v>1</v>
      </c>
      <c r="BQ430" s="103" t="s">
        <v>1</v>
      </c>
    </row>
    <row r="431" spans="1:69" ht="7.5" customHeight="1" x14ac:dyDescent="0.25">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c r="BF431" s="30" t="s">
        <v>1</v>
      </c>
      <c r="BG431" s="37" t="s">
        <v>1</v>
      </c>
      <c r="BH431" s="102" t="s">
        <v>1</v>
      </c>
      <c r="BI431" s="103" t="s">
        <v>1</v>
      </c>
      <c r="BJ431" s="102" t="s">
        <v>1</v>
      </c>
      <c r="BK431" s="103" t="s">
        <v>1</v>
      </c>
      <c r="BL431" s="102" t="s">
        <v>1</v>
      </c>
      <c r="BM431" s="103" t="s">
        <v>1</v>
      </c>
      <c r="BN431" s="102" t="s">
        <v>1</v>
      </c>
      <c r="BO431" s="103" t="s">
        <v>1</v>
      </c>
      <c r="BP431" s="102" t="s">
        <v>1</v>
      </c>
      <c r="BQ431" s="103" t="s">
        <v>1</v>
      </c>
    </row>
    <row r="432" spans="1:69" ht="7.5" customHeight="1" x14ac:dyDescent="0.25">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c r="BF432" s="30" t="s">
        <v>1</v>
      </c>
      <c r="BG432" s="37" t="s">
        <v>1</v>
      </c>
      <c r="BH432" s="102" t="s">
        <v>1</v>
      </c>
      <c r="BI432" s="103" t="s">
        <v>1</v>
      </c>
      <c r="BJ432" s="102" t="s">
        <v>1</v>
      </c>
      <c r="BK432" s="103" t="s">
        <v>1</v>
      </c>
      <c r="BL432" s="102" t="s">
        <v>1</v>
      </c>
      <c r="BM432" s="103" t="s">
        <v>1</v>
      </c>
      <c r="BN432" s="102" t="s">
        <v>1</v>
      </c>
      <c r="BO432" s="103" t="s">
        <v>1</v>
      </c>
      <c r="BP432" s="102" t="s">
        <v>1</v>
      </c>
      <c r="BQ432" s="103" t="s">
        <v>1</v>
      </c>
    </row>
    <row r="433" spans="1:69" ht="7.5" customHeight="1" x14ac:dyDescent="0.25">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c r="BF433" s="30" t="s">
        <v>1</v>
      </c>
      <c r="BG433" s="37" t="s">
        <v>1</v>
      </c>
      <c r="BH433" s="102" t="s">
        <v>1</v>
      </c>
      <c r="BI433" s="103" t="s">
        <v>1</v>
      </c>
      <c r="BJ433" s="102" t="s">
        <v>1</v>
      </c>
      <c r="BK433" s="103" t="s">
        <v>1</v>
      </c>
      <c r="BL433" s="102" t="s">
        <v>1</v>
      </c>
      <c r="BM433" s="103" t="s">
        <v>1</v>
      </c>
      <c r="BN433" s="102" t="s">
        <v>1</v>
      </c>
      <c r="BO433" s="103" t="s">
        <v>1</v>
      </c>
      <c r="BP433" s="102" t="s">
        <v>1</v>
      </c>
      <c r="BQ433" s="103" t="s">
        <v>1</v>
      </c>
    </row>
    <row r="434" spans="1:69" ht="7.5" customHeight="1" x14ac:dyDescent="0.25">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c r="BF434" s="30" t="s">
        <v>1</v>
      </c>
      <c r="BG434" s="37" t="s">
        <v>1</v>
      </c>
      <c r="BH434" s="102" t="s">
        <v>1</v>
      </c>
      <c r="BI434" s="103" t="s">
        <v>1</v>
      </c>
      <c r="BJ434" s="102" t="s">
        <v>1</v>
      </c>
      <c r="BK434" s="103" t="s">
        <v>1</v>
      </c>
      <c r="BL434" s="102" t="s">
        <v>1</v>
      </c>
      <c r="BM434" s="103" t="s">
        <v>1</v>
      </c>
      <c r="BN434" s="102" t="s">
        <v>1</v>
      </c>
      <c r="BO434" s="103" t="s">
        <v>1</v>
      </c>
      <c r="BP434" s="102" t="s">
        <v>1</v>
      </c>
      <c r="BQ434" s="103" t="s">
        <v>1</v>
      </c>
    </row>
    <row r="435" spans="1:69" ht="7.5" customHeight="1" x14ac:dyDescent="0.25">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c r="BF435" s="30" t="s">
        <v>1</v>
      </c>
      <c r="BG435" s="37" t="s">
        <v>1</v>
      </c>
      <c r="BH435" s="102" t="s">
        <v>1</v>
      </c>
      <c r="BI435" s="103" t="s">
        <v>1</v>
      </c>
      <c r="BJ435" s="102" t="s">
        <v>1</v>
      </c>
      <c r="BK435" s="103" t="s">
        <v>1</v>
      </c>
      <c r="BL435" s="102" t="s">
        <v>1</v>
      </c>
      <c r="BM435" s="103" t="s">
        <v>1</v>
      </c>
      <c r="BN435" s="102" t="s">
        <v>1</v>
      </c>
      <c r="BO435" s="103" t="s">
        <v>1</v>
      </c>
      <c r="BP435" s="102" t="s">
        <v>1</v>
      </c>
      <c r="BQ435" s="103" t="s">
        <v>1</v>
      </c>
    </row>
    <row r="436" spans="1:69" ht="7.5" customHeight="1" x14ac:dyDescent="0.25">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c r="BF436" s="30" t="s">
        <v>1</v>
      </c>
      <c r="BG436" s="37" t="s">
        <v>1</v>
      </c>
      <c r="BH436" s="102" t="s">
        <v>1</v>
      </c>
      <c r="BI436" s="103" t="s">
        <v>1</v>
      </c>
      <c r="BJ436" s="102" t="s">
        <v>1</v>
      </c>
      <c r="BK436" s="103" t="s">
        <v>1</v>
      </c>
      <c r="BL436" s="102" t="s">
        <v>1</v>
      </c>
      <c r="BM436" s="103" t="s">
        <v>1</v>
      </c>
      <c r="BN436" s="102" t="s">
        <v>1</v>
      </c>
      <c r="BO436" s="103" t="s">
        <v>1</v>
      </c>
      <c r="BP436" s="102" t="s">
        <v>1</v>
      </c>
      <c r="BQ436" s="103" t="s">
        <v>1</v>
      </c>
    </row>
    <row r="437" spans="1:69" ht="7.5" customHeight="1" x14ac:dyDescent="0.25">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c r="BF437" s="30" t="s">
        <v>1</v>
      </c>
      <c r="BG437" s="37" t="s">
        <v>1</v>
      </c>
      <c r="BH437" s="102" t="s">
        <v>1</v>
      </c>
      <c r="BI437" s="103" t="s">
        <v>1</v>
      </c>
      <c r="BJ437" s="102" t="s">
        <v>1</v>
      </c>
      <c r="BK437" s="103" t="s">
        <v>1</v>
      </c>
      <c r="BL437" s="102" t="s">
        <v>1</v>
      </c>
      <c r="BM437" s="103" t="s">
        <v>1</v>
      </c>
      <c r="BN437" s="102" t="s">
        <v>1</v>
      </c>
      <c r="BO437" s="103" t="s">
        <v>1</v>
      </c>
      <c r="BP437" s="102" t="s">
        <v>1</v>
      </c>
      <c r="BQ437" s="103" t="s">
        <v>1</v>
      </c>
    </row>
    <row r="438" spans="1:69" ht="7.5" customHeight="1" x14ac:dyDescent="0.25">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c r="BF438" s="30" t="s">
        <v>1</v>
      </c>
      <c r="BG438" s="37" t="s">
        <v>1</v>
      </c>
      <c r="BH438" s="102" t="s">
        <v>1</v>
      </c>
      <c r="BI438" s="103" t="s">
        <v>1</v>
      </c>
      <c r="BJ438" s="102" t="s">
        <v>1</v>
      </c>
      <c r="BK438" s="103" t="s">
        <v>1</v>
      </c>
      <c r="BL438" s="102" t="s">
        <v>1</v>
      </c>
      <c r="BM438" s="103" t="s">
        <v>1</v>
      </c>
      <c r="BN438" s="102" t="s">
        <v>1</v>
      </c>
      <c r="BO438" s="103" t="s">
        <v>1</v>
      </c>
      <c r="BP438" s="102" t="s">
        <v>1</v>
      </c>
      <c r="BQ438" s="103" t="s">
        <v>1</v>
      </c>
    </row>
    <row r="439" spans="1:69" ht="7.5" customHeight="1" x14ac:dyDescent="0.25">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c r="BF439" s="30" t="s">
        <v>1</v>
      </c>
      <c r="BG439" s="37" t="s">
        <v>1</v>
      </c>
      <c r="BH439" s="102" t="s">
        <v>1</v>
      </c>
      <c r="BI439" s="103" t="s">
        <v>1</v>
      </c>
      <c r="BJ439" s="102" t="s">
        <v>1</v>
      </c>
      <c r="BK439" s="103" t="s">
        <v>1</v>
      </c>
      <c r="BL439" s="102" t="s">
        <v>1</v>
      </c>
      <c r="BM439" s="103" t="s">
        <v>1</v>
      </c>
      <c r="BN439" s="102" t="s">
        <v>1</v>
      </c>
      <c r="BO439" s="103" t="s">
        <v>1</v>
      </c>
      <c r="BP439" s="102" t="s">
        <v>1</v>
      </c>
      <c r="BQ439" s="103" t="s">
        <v>1</v>
      </c>
    </row>
    <row r="440" spans="1:69" ht="7.5" customHeight="1" x14ac:dyDescent="0.25">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c r="BF440" s="30" t="s">
        <v>1</v>
      </c>
      <c r="BG440" s="37" t="s">
        <v>1</v>
      </c>
      <c r="BH440" s="102" t="s">
        <v>1</v>
      </c>
      <c r="BI440" s="103" t="s">
        <v>1</v>
      </c>
      <c r="BJ440" s="102" t="s">
        <v>1</v>
      </c>
      <c r="BK440" s="103" t="s">
        <v>1</v>
      </c>
      <c r="BL440" s="102" t="s">
        <v>1</v>
      </c>
      <c r="BM440" s="103" t="s">
        <v>1</v>
      </c>
      <c r="BN440" s="102" t="s">
        <v>1</v>
      </c>
      <c r="BO440" s="103" t="s">
        <v>1</v>
      </c>
      <c r="BP440" s="102" t="s">
        <v>1</v>
      </c>
      <c r="BQ440" s="103" t="s">
        <v>1</v>
      </c>
    </row>
    <row r="441" spans="1:69" ht="7.5" customHeight="1" x14ac:dyDescent="0.25">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c r="BF441" s="30" t="s">
        <v>1</v>
      </c>
      <c r="BG441" s="37" t="s">
        <v>1</v>
      </c>
      <c r="BH441" s="102" t="s">
        <v>1</v>
      </c>
      <c r="BI441" s="103" t="s">
        <v>1</v>
      </c>
      <c r="BJ441" s="102" t="s">
        <v>1</v>
      </c>
      <c r="BK441" s="103" t="s">
        <v>1</v>
      </c>
      <c r="BL441" s="102" t="s">
        <v>1</v>
      </c>
      <c r="BM441" s="103" t="s">
        <v>1</v>
      </c>
      <c r="BN441" s="102" t="s">
        <v>1</v>
      </c>
      <c r="BO441" s="103" t="s">
        <v>1</v>
      </c>
      <c r="BP441" s="102" t="s">
        <v>1</v>
      </c>
      <c r="BQ441" s="103" t="s">
        <v>1</v>
      </c>
    </row>
    <row r="442" spans="1:69" ht="7.5" customHeight="1" x14ac:dyDescent="0.25">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c r="BF442" s="30" t="s">
        <v>1</v>
      </c>
      <c r="BG442" s="37" t="s">
        <v>1</v>
      </c>
      <c r="BH442" s="102" t="s">
        <v>1</v>
      </c>
      <c r="BI442" s="103" t="s">
        <v>1</v>
      </c>
      <c r="BJ442" s="102" t="s">
        <v>1</v>
      </c>
      <c r="BK442" s="103" t="s">
        <v>1</v>
      </c>
      <c r="BL442" s="102" t="s">
        <v>1</v>
      </c>
      <c r="BM442" s="103" t="s">
        <v>1</v>
      </c>
      <c r="BN442" s="102" t="s">
        <v>1</v>
      </c>
      <c r="BO442" s="103" t="s">
        <v>1</v>
      </c>
      <c r="BP442" s="102" t="s">
        <v>1</v>
      </c>
      <c r="BQ442" s="103" t="s">
        <v>1</v>
      </c>
    </row>
    <row r="443" spans="1:69" ht="7.5" customHeight="1" x14ac:dyDescent="0.25">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c r="BF443" s="30" t="s">
        <v>1</v>
      </c>
      <c r="BG443" s="37" t="s">
        <v>1</v>
      </c>
      <c r="BH443" s="102" t="s">
        <v>1</v>
      </c>
      <c r="BI443" s="103" t="s">
        <v>1</v>
      </c>
      <c r="BJ443" s="102" t="s">
        <v>1</v>
      </c>
      <c r="BK443" s="103" t="s">
        <v>1</v>
      </c>
      <c r="BL443" s="102" t="s">
        <v>1</v>
      </c>
      <c r="BM443" s="103" t="s">
        <v>1</v>
      </c>
      <c r="BN443" s="102" t="s">
        <v>1</v>
      </c>
      <c r="BO443" s="103" t="s">
        <v>1</v>
      </c>
      <c r="BP443" s="102" t="s">
        <v>1</v>
      </c>
      <c r="BQ443" s="103" t="s">
        <v>1</v>
      </c>
    </row>
    <row r="444" spans="1:69" ht="7.5" customHeight="1" x14ac:dyDescent="0.25">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c r="BF444" s="30" t="s">
        <v>1</v>
      </c>
      <c r="BG444" s="37" t="s">
        <v>1</v>
      </c>
      <c r="BH444" s="102" t="s">
        <v>1</v>
      </c>
      <c r="BI444" s="103" t="s">
        <v>1</v>
      </c>
      <c r="BJ444" s="102" t="s">
        <v>1</v>
      </c>
      <c r="BK444" s="103" t="s">
        <v>1</v>
      </c>
      <c r="BL444" s="102" t="s">
        <v>1</v>
      </c>
      <c r="BM444" s="103" t="s">
        <v>1</v>
      </c>
      <c r="BN444" s="102" t="s">
        <v>1</v>
      </c>
      <c r="BO444" s="103" t="s">
        <v>1</v>
      </c>
      <c r="BP444" s="102" t="s">
        <v>1</v>
      </c>
      <c r="BQ444" s="103" t="s">
        <v>1</v>
      </c>
    </row>
    <row r="445" spans="1:69" ht="7.5" customHeight="1" x14ac:dyDescent="0.25">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c r="BF445" s="30" t="s">
        <v>1</v>
      </c>
      <c r="BG445" s="37" t="s">
        <v>1</v>
      </c>
      <c r="BH445" s="102" t="s">
        <v>1</v>
      </c>
      <c r="BI445" s="103" t="s">
        <v>1</v>
      </c>
      <c r="BJ445" s="102" t="s">
        <v>1</v>
      </c>
      <c r="BK445" s="103" t="s">
        <v>1</v>
      </c>
      <c r="BL445" s="102" t="s">
        <v>1</v>
      </c>
      <c r="BM445" s="103" t="s">
        <v>1</v>
      </c>
      <c r="BN445" s="102" t="s">
        <v>1</v>
      </c>
      <c r="BO445" s="103" t="s">
        <v>1</v>
      </c>
      <c r="BP445" s="102" t="s">
        <v>1</v>
      </c>
      <c r="BQ445" s="103" t="s">
        <v>1</v>
      </c>
    </row>
    <row r="446" spans="1:69" ht="7.5" customHeight="1" x14ac:dyDescent="0.25">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c r="BF446" s="30" t="s">
        <v>1</v>
      </c>
      <c r="BG446" s="37" t="s">
        <v>1</v>
      </c>
      <c r="BH446" s="102" t="s">
        <v>1</v>
      </c>
      <c r="BI446" s="103" t="s">
        <v>1</v>
      </c>
      <c r="BJ446" s="102" t="s">
        <v>1</v>
      </c>
      <c r="BK446" s="103" t="s">
        <v>1</v>
      </c>
      <c r="BL446" s="102" t="s">
        <v>1</v>
      </c>
      <c r="BM446" s="103" t="s">
        <v>1</v>
      </c>
      <c r="BN446" s="102" t="s">
        <v>1</v>
      </c>
      <c r="BO446" s="103" t="s">
        <v>1</v>
      </c>
      <c r="BP446" s="102" t="s">
        <v>1</v>
      </c>
      <c r="BQ446" s="103" t="s">
        <v>1</v>
      </c>
    </row>
    <row r="447" spans="1:69" ht="7.5" customHeight="1" x14ac:dyDescent="0.25">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c r="BF447" s="30" t="s">
        <v>1</v>
      </c>
      <c r="BG447" s="37" t="s">
        <v>1</v>
      </c>
      <c r="BH447" s="102" t="s">
        <v>1</v>
      </c>
      <c r="BI447" s="103" t="s">
        <v>1</v>
      </c>
      <c r="BJ447" s="102" t="s">
        <v>1</v>
      </c>
      <c r="BK447" s="103" t="s">
        <v>1</v>
      </c>
      <c r="BL447" s="102" t="s">
        <v>1</v>
      </c>
      <c r="BM447" s="103" t="s">
        <v>1</v>
      </c>
      <c r="BN447" s="102" t="s">
        <v>1</v>
      </c>
      <c r="BO447" s="103" t="s">
        <v>1</v>
      </c>
      <c r="BP447" s="102" t="s">
        <v>1</v>
      </c>
      <c r="BQ447" s="103" t="s">
        <v>1</v>
      </c>
    </row>
    <row r="448" spans="1:69" ht="7.5" customHeight="1" x14ac:dyDescent="0.25">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c r="BF448" s="30" t="s">
        <v>1</v>
      </c>
      <c r="BG448" s="37" t="s">
        <v>1</v>
      </c>
      <c r="BH448" s="102" t="s">
        <v>1</v>
      </c>
      <c r="BI448" s="103" t="s">
        <v>1</v>
      </c>
      <c r="BJ448" s="102" t="s">
        <v>1</v>
      </c>
      <c r="BK448" s="103" t="s">
        <v>1</v>
      </c>
      <c r="BL448" s="102" t="s">
        <v>1</v>
      </c>
      <c r="BM448" s="103" t="s">
        <v>1</v>
      </c>
      <c r="BN448" s="102" t="s">
        <v>1</v>
      </c>
      <c r="BO448" s="103" t="s">
        <v>1</v>
      </c>
      <c r="BP448" s="102" t="s">
        <v>1</v>
      </c>
      <c r="BQ448" s="103" t="s">
        <v>1</v>
      </c>
    </row>
    <row r="449" spans="1:69" ht="7.5" customHeight="1" x14ac:dyDescent="0.25">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c r="BF449" s="30" t="s">
        <v>1</v>
      </c>
      <c r="BG449" s="37" t="s">
        <v>1</v>
      </c>
      <c r="BH449" s="102" t="s">
        <v>1</v>
      </c>
      <c r="BI449" s="103" t="s">
        <v>1</v>
      </c>
      <c r="BJ449" s="102" t="s">
        <v>1</v>
      </c>
      <c r="BK449" s="103" t="s">
        <v>1</v>
      </c>
      <c r="BL449" s="102" t="s">
        <v>1</v>
      </c>
      <c r="BM449" s="103" t="s">
        <v>1</v>
      </c>
      <c r="BN449" s="102" t="s">
        <v>1</v>
      </c>
      <c r="BO449" s="103" t="s">
        <v>1</v>
      </c>
      <c r="BP449" s="102" t="s">
        <v>1</v>
      </c>
      <c r="BQ449" s="103" t="s">
        <v>1</v>
      </c>
    </row>
    <row r="450" spans="1:69" ht="7.5" customHeight="1" x14ac:dyDescent="0.25">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c r="BF450" s="30" t="s">
        <v>1</v>
      </c>
      <c r="BG450" s="37" t="s">
        <v>1</v>
      </c>
      <c r="BH450" s="102" t="s">
        <v>1</v>
      </c>
      <c r="BI450" s="103" t="s">
        <v>1</v>
      </c>
      <c r="BJ450" s="102" t="s">
        <v>1</v>
      </c>
      <c r="BK450" s="103" t="s">
        <v>1</v>
      </c>
      <c r="BL450" s="102" t="s">
        <v>1</v>
      </c>
      <c r="BM450" s="103" t="s">
        <v>1</v>
      </c>
      <c r="BN450" s="102" t="s">
        <v>1</v>
      </c>
      <c r="BO450" s="103" t="s">
        <v>1</v>
      </c>
      <c r="BP450" s="102" t="s">
        <v>1</v>
      </c>
      <c r="BQ450" s="103" t="s">
        <v>1</v>
      </c>
    </row>
    <row r="451" spans="1:69" ht="7.5" customHeight="1" x14ac:dyDescent="0.25">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c r="BF451" s="30" t="s">
        <v>1</v>
      </c>
      <c r="BG451" s="37" t="s">
        <v>1</v>
      </c>
      <c r="BH451" s="102" t="s">
        <v>1</v>
      </c>
      <c r="BI451" s="103" t="s">
        <v>1</v>
      </c>
      <c r="BJ451" s="102" t="s">
        <v>1</v>
      </c>
      <c r="BK451" s="103" t="s">
        <v>1</v>
      </c>
      <c r="BL451" s="102" t="s">
        <v>1</v>
      </c>
      <c r="BM451" s="103" t="s">
        <v>1</v>
      </c>
      <c r="BN451" s="102" t="s">
        <v>1</v>
      </c>
      <c r="BO451" s="103" t="s">
        <v>1</v>
      </c>
      <c r="BP451" s="102" t="s">
        <v>1</v>
      </c>
      <c r="BQ451" s="103" t="s">
        <v>1</v>
      </c>
    </row>
    <row r="452" spans="1:69" ht="7.5" customHeight="1" x14ac:dyDescent="0.25">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c r="BF452" s="30" t="s">
        <v>1</v>
      </c>
      <c r="BG452" s="37" t="s">
        <v>1</v>
      </c>
      <c r="BH452" s="102" t="s">
        <v>1</v>
      </c>
      <c r="BI452" s="103" t="s">
        <v>1</v>
      </c>
      <c r="BJ452" s="102" t="s">
        <v>1</v>
      </c>
      <c r="BK452" s="103" t="s">
        <v>1</v>
      </c>
      <c r="BL452" s="102" t="s">
        <v>1</v>
      </c>
      <c r="BM452" s="103" t="s">
        <v>1</v>
      </c>
      <c r="BN452" s="102" t="s">
        <v>1</v>
      </c>
      <c r="BO452" s="103" t="s">
        <v>1</v>
      </c>
      <c r="BP452" s="102" t="s">
        <v>1</v>
      </c>
      <c r="BQ452" s="103" t="s">
        <v>1</v>
      </c>
    </row>
    <row r="453" spans="1:69" ht="7.5" customHeight="1" x14ac:dyDescent="0.25">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c r="BF453" s="30" t="s">
        <v>1</v>
      </c>
      <c r="BG453" s="37" t="s">
        <v>1</v>
      </c>
      <c r="BH453" s="102" t="s">
        <v>1</v>
      </c>
      <c r="BI453" s="103" t="s">
        <v>1</v>
      </c>
      <c r="BJ453" s="102" t="s">
        <v>1</v>
      </c>
      <c r="BK453" s="103" t="s">
        <v>1</v>
      </c>
      <c r="BL453" s="102" t="s">
        <v>1</v>
      </c>
      <c r="BM453" s="103" t="s">
        <v>1</v>
      </c>
      <c r="BN453" s="102" t="s">
        <v>1</v>
      </c>
      <c r="BO453" s="103" t="s">
        <v>1</v>
      </c>
      <c r="BP453" s="102" t="s">
        <v>1</v>
      </c>
      <c r="BQ453" s="103" t="s">
        <v>1</v>
      </c>
    </row>
    <row r="454" spans="1:69" ht="7.5" customHeight="1" x14ac:dyDescent="0.25">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c r="BF454" s="30" t="s">
        <v>1</v>
      </c>
      <c r="BG454" s="37" t="s">
        <v>1</v>
      </c>
      <c r="BH454" s="102" t="s">
        <v>1</v>
      </c>
      <c r="BI454" s="103" t="s">
        <v>1</v>
      </c>
      <c r="BJ454" s="102" t="s">
        <v>1</v>
      </c>
      <c r="BK454" s="103" t="s">
        <v>1</v>
      </c>
      <c r="BL454" s="102" t="s">
        <v>1</v>
      </c>
      <c r="BM454" s="103" t="s">
        <v>1</v>
      </c>
      <c r="BN454" s="102" t="s">
        <v>1</v>
      </c>
      <c r="BO454" s="103" t="s">
        <v>1</v>
      </c>
      <c r="BP454" s="102" t="s">
        <v>1</v>
      </c>
      <c r="BQ454" s="103" t="s">
        <v>1</v>
      </c>
    </row>
    <row r="455" spans="1:69" ht="7.5" customHeight="1" x14ac:dyDescent="0.25">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c r="BF455" s="30" t="s">
        <v>1</v>
      </c>
      <c r="BG455" s="37" t="s">
        <v>1</v>
      </c>
      <c r="BH455" s="102" t="s">
        <v>1</v>
      </c>
      <c r="BI455" s="103" t="s">
        <v>1</v>
      </c>
      <c r="BJ455" s="102" t="s">
        <v>1</v>
      </c>
      <c r="BK455" s="103" t="s">
        <v>1</v>
      </c>
      <c r="BL455" s="102" t="s">
        <v>1</v>
      </c>
      <c r="BM455" s="103" t="s">
        <v>1</v>
      </c>
      <c r="BN455" s="102" t="s">
        <v>1</v>
      </c>
      <c r="BO455" s="103" t="s">
        <v>1</v>
      </c>
      <c r="BP455" s="102" t="s">
        <v>1</v>
      </c>
      <c r="BQ455" s="103" t="s">
        <v>1</v>
      </c>
    </row>
    <row r="456" spans="1:69" ht="7.5" customHeight="1" x14ac:dyDescent="0.25">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c r="BF456" s="30" t="s">
        <v>1</v>
      </c>
      <c r="BG456" s="37" t="s">
        <v>1</v>
      </c>
      <c r="BH456" s="102" t="s">
        <v>1</v>
      </c>
      <c r="BI456" s="103" t="s">
        <v>1</v>
      </c>
      <c r="BJ456" s="102" t="s">
        <v>1</v>
      </c>
      <c r="BK456" s="103" t="s">
        <v>1</v>
      </c>
      <c r="BL456" s="102" t="s">
        <v>1</v>
      </c>
      <c r="BM456" s="103" t="s">
        <v>1</v>
      </c>
      <c r="BN456" s="102" t="s">
        <v>1</v>
      </c>
      <c r="BO456" s="103" t="s">
        <v>1</v>
      </c>
      <c r="BP456" s="102" t="s">
        <v>1</v>
      </c>
      <c r="BQ456" s="103" t="s">
        <v>1</v>
      </c>
    </row>
    <row r="457" spans="1:69" ht="7.5" customHeight="1" x14ac:dyDescent="0.25">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c r="BF457" s="30" t="s">
        <v>1</v>
      </c>
      <c r="BG457" s="37" t="s">
        <v>1</v>
      </c>
      <c r="BH457" s="102" t="s">
        <v>1</v>
      </c>
      <c r="BI457" s="103" t="s">
        <v>1</v>
      </c>
      <c r="BJ457" s="102" t="s">
        <v>1</v>
      </c>
      <c r="BK457" s="103" t="s">
        <v>1</v>
      </c>
      <c r="BL457" s="102" t="s">
        <v>1</v>
      </c>
      <c r="BM457" s="103" t="s">
        <v>1</v>
      </c>
      <c r="BN457" s="102" t="s">
        <v>1</v>
      </c>
      <c r="BO457" s="103" t="s">
        <v>1</v>
      </c>
      <c r="BP457" s="102" t="s">
        <v>1</v>
      </c>
      <c r="BQ457" s="103" t="s">
        <v>1</v>
      </c>
    </row>
    <row r="458" spans="1:69" ht="7.5" customHeight="1" x14ac:dyDescent="0.25">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c r="BF458" s="30" t="s">
        <v>1</v>
      </c>
      <c r="BG458" s="37" t="s">
        <v>1</v>
      </c>
      <c r="BH458" s="102" t="s">
        <v>1</v>
      </c>
      <c r="BI458" s="103" t="s">
        <v>1</v>
      </c>
      <c r="BJ458" s="102" t="s">
        <v>1</v>
      </c>
      <c r="BK458" s="103" t="s">
        <v>1</v>
      </c>
      <c r="BL458" s="102" t="s">
        <v>1</v>
      </c>
      <c r="BM458" s="103" t="s">
        <v>1</v>
      </c>
      <c r="BN458" s="102" t="s">
        <v>1</v>
      </c>
      <c r="BO458" s="103" t="s">
        <v>1</v>
      </c>
      <c r="BP458" s="102" t="s">
        <v>1</v>
      </c>
      <c r="BQ458" s="103" t="s">
        <v>1</v>
      </c>
    </row>
    <row r="459" spans="1:69" ht="7.5" customHeight="1" x14ac:dyDescent="0.25">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c r="BF459" s="30" t="s">
        <v>1</v>
      </c>
      <c r="BG459" s="37" t="s">
        <v>1</v>
      </c>
      <c r="BH459" s="102" t="s">
        <v>1</v>
      </c>
      <c r="BI459" s="103" t="s">
        <v>1</v>
      </c>
      <c r="BJ459" s="102" t="s">
        <v>1</v>
      </c>
      <c r="BK459" s="103" t="s">
        <v>1</v>
      </c>
      <c r="BL459" s="102" t="s">
        <v>1</v>
      </c>
      <c r="BM459" s="103" t="s">
        <v>1</v>
      </c>
      <c r="BN459" s="102" t="s">
        <v>1</v>
      </c>
      <c r="BO459" s="103" t="s">
        <v>1</v>
      </c>
      <c r="BP459" s="102" t="s">
        <v>1</v>
      </c>
      <c r="BQ459" s="103" t="s">
        <v>1</v>
      </c>
    </row>
    <row r="460" spans="1:69" ht="7.5" customHeight="1" x14ac:dyDescent="0.25">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c r="BF460" s="30" t="s">
        <v>1</v>
      </c>
      <c r="BG460" s="37" t="s">
        <v>1</v>
      </c>
      <c r="BH460" s="102" t="s">
        <v>1</v>
      </c>
      <c r="BI460" s="103" t="s">
        <v>1</v>
      </c>
      <c r="BJ460" s="102" t="s">
        <v>1</v>
      </c>
      <c r="BK460" s="103" t="s">
        <v>1</v>
      </c>
      <c r="BL460" s="102" t="s">
        <v>1</v>
      </c>
      <c r="BM460" s="103" t="s">
        <v>1</v>
      </c>
      <c r="BN460" s="102" t="s">
        <v>1</v>
      </c>
      <c r="BO460" s="103" t="s">
        <v>1</v>
      </c>
      <c r="BP460" s="102" t="s">
        <v>1</v>
      </c>
      <c r="BQ460" s="103" t="s">
        <v>1</v>
      </c>
    </row>
    <row r="461" spans="1:69" ht="7.5" customHeight="1" x14ac:dyDescent="0.25">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c r="BF461" s="30" t="s">
        <v>1</v>
      </c>
      <c r="BG461" s="37" t="s">
        <v>1</v>
      </c>
      <c r="BH461" s="102" t="s">
        <v>1</v>
      </c>
      <c r="BI461" s="103" t="s">
        <v>1</v>
      </c>
      <c r="BJ461" s="102" t="s">
        <v>1</v>
      </c>
      <c r="BK461" s="103" t="s">
        <v>1</v>
      </c>
      <c r="BL461" s="102" t="s">
        <v>1</v>
      </c>
      <c r="BM461" s="103" t="s">
        <v>1</v>
      </c>
      <c r="BN461" s="102" t="s">
        <v>1</v>
      </c>
      <c r="BO461" s="103" t="s">
        <v>1</v>
      </c>
      <c r="BP461" s="102" t="s">
        <v>1</v>
      </c>
      <c r="BQ461" s="103" t="s">
        <v>1</v>
      </c>
    </row>
    <row r="462" spans="1:69" ht="7.5" customHeight="1" x14ac:dyDescent="0.25">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c r="BF462" s="30" t="s">
        <v>1</v>
      </c>
      <c r="BG462" s="37" t="s">
        <v>1</v>
      </c>
      <c r="BH462" s="102" t="s">
        <v>1</v>
      </c>
      <c r="BI462" s="103" t="s">
        <v>1</v>
      </c>
      <c r="BJ462" s="102" t="s">
        <v>1</v>
      </c>
      <c r="BK462" s="103" t="s">
        <v>1</v>
      </c>
      <c r="BL462" s="102" t="s">
        <v>1</v>
      </c>
      <c r="BM462" s="103" t="s">
        <v>1</v>
      </c>
      <c r="BN462" s="102" t="s">
        <v>1</v>
      </c>
      <c r="BO462" s="103" t="s">
        <v>1</v>
      </c>
      <c r="BP462" s="102" t="s">
        <v>1</v>
      </c>
      <c r="BQ462" s="103" t="s">
        <v>1</v>
      </c>
    </row>
    <row r="463" spans="1:69" ht="7.5" customHeight="1" x14ac:dyDescent="0.25">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c r="BF463" s="30" t="s">
        <v>1</v>
      </c>
      <c r="BG463" s="37" t="s">
        <v>1</v>
      </c>
      <c r="BH463" s="102" t="s">
        <v>1</v>
      </c>
      <c r="BI463" s="103" t="s">
        <v>1</v>
      </c>
      <c r="BJ463" s="102" t="s">
        <v>1</v>
      </c>
      <c r="BK463" s="103" t="s">
        <v>1</v>
      </c>
      <c r="BL463" s="102" t="s">
        <v>1</v>
      </c>
      <c r="BM463" s="103" t="s">
        <v>1</v>
      </c>
      <c r="BN463" s="102" t="s">
        <v>1</v>
      </c>
      <c r="BO463" s="103" t="s">
        <v>1</v>
      </c>
      <c r="BP463" s="102" t="s">
        <v>1</v>
      </c>
      <c r="BQ463" s="103" t="s">
        <v>1</v>
      </c>
    </row>
    <row r="464" spans="1:69" ht="7.5" customHeight="1" x14ac:dyDescent="0.25">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c r="BF464" s="30" t="s">
        <v>1</v>
      </c>
      <c r="BG464" s="37" t="s">
        <v>1</v>
      </c>
      <c r="BH464" s="102" t="s">
        <v>1</v>
      </c>
      <c r="BI464" s="103" t="s">
        <v>1</v>
      </c>
      <c r="BJ464" s="102" t="s">
        <v>1</v>
      </c>
      <c r="BK464" s="103" t="s">
        <v>1</v>
      </c>
      <c r="BL464" s="102" t="s">
        <v>1</v>
      </c>
      <c r="BM464" s="103" t="s">
        <v>1</v>
      </c>
      <c r="BN464" s="102" t="s">
        <v>1</v>
      </c>
      <c r="BO464" s="103" t="s">
        <v>1</v>
      </c>
      <c r="BP464" s="102" t="s">
        <v>1</v>
      </c>
      <c r="BQ464" s="103" t="s">
        <v>1</v>
      </c>
    </row>
    <row r="465" spans="1:69" ht="7.5" customHeight="1" x14ac:dyDescent="0.25">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c r="BF465" s="30" t="s">
        <v>1</v>
      </c>
      <c r="BG465" s="37" t="s">
        <v>1</v>
      </c>
      <c r="BH465" s="102" t="s">
        <v>1</v>
      </c>
      <c r="BI465" s="103" t="s">
        <v>1</v>
      </c>
      <c r="BJ465" s="102" t="s">
        <v>1</v>
      </c>
      <c r="BK465" s="103" t="s">
        <v>1</v>
      </c>
      <c r="BL465" s="102" t="s">
        <v>1</v>
      </c>
      <c r="BM465" s="103" t="s">
        <v>1</v>
      </c>
      <c r="BN465" s="102" t="s">
        <v>1</v>
      </c>
      <c r="BO465" s="103" t="s">
        <v>1</v>
      </c>
      <c r="BP465" s="102" t="s">
        <v>1</v>
      </c>
      <c r="BQ465" s="103" t="s">
        <v>1</v>
      </c>
    </row>
    <row r="466" spans="1:69" ht="7.5" customHeight="1" x14ac:dyDescent="0.25">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c r="BF466" s="30" t="s">
        <v>1</v>
      </c>
      <c r="BG466" s="37" t="s">
        <v>1</v>
      </c>
      <c r="BH466" s="102" t="s">
        <v>1</v>
      </c>
      <c r="BI466" s="103" t="s">
        <v>1</v>
      </c>
      <c r="BJ466" s="102" t="s">
        <v>1</v>
      </c>
      <c r="BK466" s="103" t="s">
        <v>1</v>
      </c>
      <c r="BL466" s="102" t="s">
        <v>1</v>
      </c>
      <c r="BM466" s="103" t="s">
        <v>1</v>
      </c>
      <c r="BN466" s="102" t="s">
        <v>1</v>
      </c>
      <c r="BO466" s="103" t="s">
        <v>1</v>
      </c>
      <c r="BP466" s="102" t="s">
        <v>1</v>
      </c>
      <c r="BQ466" s="103" t="s">
        <v>1</v>
      </c>
    </row>
    <row r="467" spans="1:69" ht="7.5" customHeight="1" x14ac:dyDescent="0.25">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c r="BF467" s="30" t="s">
        <v>1</v>
      </c>
      <c r="BG467" s="37" t="s">
        <v>1</v>
      </c>
      <c r="BH467" s="102" t="s">
        <v>1</v>
      </c>
      <c r="BI467" s="103" t="s">
        <v>1</v>
      </c>
      <c r="BJ467" s="102" t="s">
        <v>1</v>
      </c>
      <c r="BK467" s="103" t="s">
        <v>1</v>
      </c>
      <c r="BL467" s="102" t="s">
        <v>1</v>
      </c>
      <c r="BM467" s="103" t="s">
        <v>1</v>
      </c>
      <c r="BN467" s="102" t="s">
        <v>1</v>
      </c>
      <c r="BO467" s="103" t="s">
        <v>1</v>
      </c>
      <c r="BP467" s="102" t="s">
        <v>1</v>
      </c>
      <c r="BQ467" s="103" t="s">
        <v>1</v>
      </c>
    </row>
    <row r="468" spans="1:69" ht="7.5" customHeight="1" x14ac:dyDescent="0.25">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c r="BF468" s="30" t="s">
        <v>1</v>
      </c>
      <c r="BG468" s="37" t="s">
        <v>1</v>
      </c>
      <c r="BH468" s="102" t="s">
        <v>1</v>
      </c>
      <c r="BI468" s="103" t="s">
        <v>1</v>
      </c>
      <c r="BJ468" s="102" t="s">
        <v>1</v>
      </c>
      <c r="BK468" s="103" t="s">
        <v>1</v>
      </c>
      <c r="BL468" s="102" t="s">
        <v>1</v>
      </c>
      <c r="BM468" s="103" t="s">
        <v>1</v>
      </c>
      <c r="BN468" s="102" t="s">
        <v>1</v>
      </c>
      <c r="BO468" s="103" t="s">
        <v>1</v>
      </c>
      <c r="BP468" s="102" t="s">
        <v>1</v>
      </c>
      <c r="BQ468" s="103" t="s">
        <v>1</v>
      </c>
    </row>
    <row r="469" spans="1:69" ht="7.5" customHeight="1" x14ac:dyDescent="0.25">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c r="BF469" s="30" t="s">
        <v>1</v>
      </c>
      <c r="BG469" s="37" t="s">
        <v>1</v>
      </c>
      <c r="BH469" s="102" t="s">
        <v>1</v>
      </c>
      <c r="BI469" s="103" t="s">
        <v>1</v>
      </c>
      <c r="BJ469" s="102" t="s">
        <v>1</v>
      </c>
      <c r="BK469" s="103" t="s">
        <v>1</v>
      </c>
      <c r="BL469" s="102" t="s">
        <v>1</v>
      </c>
      <c r="BM469" s="103" t="s">
        <v>1</v>
      </c>
      <c r="BN469" s="102" t="s">
        <v>1</v>
      </c>
      <c r="BO469" s="103" t="s">
        <v>1</v>
      </c>
      <c r="BP469" s="102" t="s">
        <v>1</v>
      </c>
      <c r="BQ469" s="103" t="s">
        <v>1</v>
      </c>
    </row>
    <row r="470" spans="1:69" ht="7.5" customHeight="1" x14ac:dyDescent="0.25">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c r="BF470" s="30" t="s">
        <v>1</v>
      </c>
      <c r="BG470" s="37" t="s">
        <v>1</v>
      </c>
      <c r="BH470" s="102" t="s">
        <v>1</v>
      </c>
      <c r="BI470" s="103" t="s">
        <v>1</v>
      </c>
      <c r="BJ470" s="102" t="s">
        <v>1</v>
      </c>
      <c r="BK470" s="103" t="s">
        <v>1</v>
      </c>
      <c r="BL470" s="102" t="s">
        <v>1</v>
      </c>
      <c r="BM470" s="103" t="s">
        <v>1</v>
      </c>
      <c r="BN470" s="102" t="s">
        <v>1</v>
      </c>
      <c r="BO470" s="103" t="s">
        <v>1</v>
      </c>
      <c r="BP470" s="102" t="s">
        <v>1</v>
      </c>
      <c r="BQ470" s="103" t="s">
        <v>1</v>
      </c>
    </row>
    <row r="471" spans="1:69" ht="7.5" customHeight="1" x14ac:dyDescent="0.25">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c r="BF471" s="30" t="s">
        <v>1</v>
      </c>
      <c r="BG471" s="37" t="s">
        <v>1</v>
      </c>
      <c r="BH471" s="102" t="s">
        <v>1</v>
      </c>
      <c r="BI471" s="103" t="s">
        <v>1</v>
      </c>
      <c r="BJ471" s="102" t="s">
        <v>1</v>
      </c>
      <c r="BK471" s="103" t="s">
        <v>1</v>
      </c>
      <c r="BL471" s="102" t="s">
        <v>1</v>
      </c>
      <c r="BM471" s="103" t="s">
        <v>1</v>
      </c>
      <c r="BN471" s="102" t="s">
        <v>1</v>
      </c>
      <c r="BO471" s="103" t="s">
        <v>1</v>
      </c>
      <c r="BP471" s="102" t="s">
        <v>1</v>
      </c>
      <c r="BQ471" s="103" t="s">
        <v>1</v>
      </c>
    </row>
    <row r="472" spans="1:69" ht="7.5" customHeight="1" x14ac:dyDescent="0.25">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c r="BF472" s="30" t="s">
        <v>1</v>
      </c>
      <c r="BG472" s="37" t="s">
        <v>1</v>
      </c>
      <c r="BH472" s="102" t="s">
        <v>1</v>
      </c>
      <c r="BI472" s="103" t="s">
        <v>1</v>
      </c>
      <c r="BJ472" s="102" t="s">
        <v>1</v>
      </c>
      <c r="BK472" s="103" t="s">
        <v>1</v>
      </c>
      <c r="BL472" s="102" t="s">
        <v>1</v>
      </c>
      <c r="BM472" s="103" t="s">
        <v>1</v>
      </c>
      <c r="BN472" s="102" t="s">
        <v>1</v>
      </c>
      <c r="BO472" s="103" t="s">
        <v>1</v>
      </c>
      <c r="BP472" s="102" t="s">
        <v>1</v>
      </c>
      <c r="BQ472" s="103" t="s">
        <v>1</v>
      </c>
    </row>
    <row r="473" spans="1:69" ht="7.5" customHeight="1" x14ac:dyDescent="0.25">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c r="BF473" s="30" t="s">
        <v>1</v>
      </c>
      <c r="BG473" s="37" t="s">
        <v>1</v>
      </c>
      <c r="BH473" s="102" t="s">
        <v>1</v>
      </c>
      <c r="BI473" s="103" t="s">
        <v>1</v>
      </c>
      <c r="BJ473" s="102" t="s">
        <v>1</v>
      </c>
      <c r="BK473" s="103" t="s">
        <v>1</v>
      </c>
      <c r="BL473" s="102" t="s">
        <v>1</v>
      </c>
      <c r="BM473" s="103" t="s">
        <v>1</v>
      </c>
      <c r="BN473" s="102" t="s">
        <v>1</v>
      </c>
      <c r="BO473" s="103" t="s">
        <v>1</v>
      </c>
      <c r="BP473" s="102" t="s">
        <v>1</v>
      </c>
      <c r="BQ473" s="103" t="s">
        <v>1</v>
      </c>
    </row>
    <row r="474" spans="1:69" ht="7.5" customHeight="1" x14ac:dyDescent="0.25">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c r="BF474" s="30" t="s">
        <v>1</v>
      </c>
      <c r="BG474" s="37" t="s">
        <v>1</v>
      </c>
      <c r="BH474" s="102" t="s">
        <v>1</v>
      </c>
      <c r="BI474" s="103" t="s">
        <v>1</v>
      </c>
      <c r="BJ474" s="102" t="s">
        <v>1</v>
      </c>
      <c r="BK474" s="103" t="s">
        <v>1</v>
      </c>
      <c r="BL474" s="102" t="s">
        <v>1</v>
      </c>
      <c r="BM474" s="103" t="s">
        <v>1</v>
      </c>
      <c r="BN474" s="102" t="s">
        <v>1</v>
      </c>
      <c r="BO474" s="103" t="s">
        <v>1</v>
      </c>
      <c r="BP474" s="102" t="s">
        <v>1</v>
      </c>
      <c r="BQ474" s="103" t="s">
        <v>1</v>
      </c>
    </row>
    <row r="475" spans="1:69" ht="7.5" customHeight="1" x14ac:dyDescent="0.25">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c r="BF475" s="30" t="s">
        <v>1</v>
      </c>
      <c r="BG475" s="37" t="s">
        <v>1</v>
      </c>
      <c r="BH475" s="102" t="s">
        <v>1</v>
      </c>
      <c r="BI475" s="103" t="s">
        <v>1</v>
      </c>
      <c r="BJ475" s="102" t="s">
        <v>1</v>
      </c>
      <c r="BK475" s="103" t="s">
        <v>1</v>
      </c>
      <c r="BL475" s="102" t="s">
        <v>1</v>
      </c>
      <c r="BM475" s="103" t="s">
        <v>1</v>
      </c>
      <c r="BN475" s="102" t="s">
        <v>1</v>
      </c>
      <c r="BO475" s="103" t="s">
        <v>1</v>
      </c>
      <c r="BP475" s="102" t="s">
        <v>1</v>
      </c>
      <c r="BQ475" s="103" t="s">
        <v>1</v>
      </c>
    </row>
    <row r="476" spans="1:69" ht="7.5" customHeight="1" x14ac:dyDescent="0.25">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c r="BF476" s="30" t="s">
        <v>1</v>
      </c>
      <c r="BG476" s="37" t="s">
        <v>1</v>
      </c>
      <c r="BH476" s="102" t="s">
        <v>1</v>
      </c>
      <c r="BI476" s="103" t="s">
        <v>1</v>
      </c>
      <c r="BJ476" s="102" t="s">
        <v>1</v>
      </c>
      <c r="BK476" s="103" t="s">
        <v>1</v>
      </c>
      <c r="BL476" s="102" t="s">
        <v>1</v>
      </c>
      <c r="BM476" s="103" t="s">
        <v>1</v>
      </c>
      <c r="BN476" s="102" t="s">
        <v>1</v>
      </c>
      <c r="BO476" s="103" t="s">
        <v>1</v>
      </c>
      <c r="BP476" s="102" t="s">
        <v>1</v>
      </c>
      <c r="BQ476" s="103" t="s">
        <v>1</v>
      </c>
    </row>
    <row r="477" spans="1:69" ht="7.5" customHeight="1" x14ac:dyDescent="0.25">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c r="BF477" s="30" t="s">
        <v>1</v>
      </c>
      <c r="BG477" s="37" t="s">
        <v>1</v>
      </c>
      <c r="BH477" s="102" t="s">
        <v>1</v>
      </c>
      <c r="BI477" s="103" t="s">
        <v>1</v>
      </c>
      <c r="BJ477" s="102" t="s">
        <v>1</v>
      </c>
      <c r="BK477" s="103" t="s">
        <v>1</v>
      </c>
      <c r="BL477" s="102" t="s">
        <v>1</v>
      </c>
      <c r="BM477" s="103" t="s">
        <v>1</v>
      </c>
      <c r="BN477" s="102" t="s">
        <v>1</v>
      </c>
      <c r="BO477" s="103" t="s">
        <v>1</v>
      </c>
      <c r="BP477" s="102" t="s">
        <v>1</v>
      </c>
      <c r="BQ477" s="103" t="s">
        <v>1</v>
      </c>
    </row>
    <row r="478" spans="1:69" ht="7.5" customHeight="1" x14ac:dyDescent="0.25">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c r="BF478" s="30" t="s">
        <v>1</v>
      </c>
      <c r="BG478" s="37" t="s">
        <v>1</v>
      </c>
      <c r="BH478" s="102" t="s">
        <v>1</v>
      </c>
      <c r="BI478" s="103" t="s">
        <v>1</v>
      </c>
      <c r="BJ478" s="102" t="s">
        <v>1</v>
      </c>
      <c r="BK478" s="103" t="s">
        <v>1</v>
      </c>
      <c r="BL478" s="102" t="s">
        <v>1</v>
      </c>
      <c r="BM478" s="103" t="s">
        <v>1</v>
      </c>
      <c r="BN478" s="102" t="s">
        <v>1</v>
      </c>
      <c r="BO478" s="103" t="s">
        <v>1</v>
      </c>
      <c r="BP478" s="102" t="s">
        <v>1</v>
      </c>
      <c r="BQ478" s="103" t="s">
        <v>1</v>
      </c>
    </row>
    <row r="479" spans="1:69" ht="7.5" customHeight="1" x14ac:dyDescent="0.25">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c r="BF479" s="30" t="s">
        <v>1</v>
      </c>
      <c r="BG479" s="37" t="s">
        <v>1</v>
      </c>
      <c r="BH479" s="102" t="s">
        <v>1</v>
      </c>
      <c r="BI479" s="103" t="s">
        <v>1</v>
      </c>
      <c r="BJ479" s="102" t="s">
        <v>1</v>
      </c>
      <c r="BK479" s="103" t="s">
        <v>1</v>
      </c>
      <c r="BL479" s="102" t="s">
        <v>1</v>
      </c>
      <c r="BM479" s="103" t="s">
        <v>1</v>
      </c>
      <c r="BN479" s="102" t="s">
        <v>1</v>
      </c>
      <c r="BO479" s="103" t="s">
        <v>1</v>
      </c>
      <c r="BP479" s="102" t="s">
        <v>1</v>
      </c>
      <c r="BQ479" s="103" t="s">
        <v>1</v>
      </c>
    </row>
    <row r="480" spans="1:69" ht="7.5" customHeight="1" x14ac:dyDescent="0.25">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c r="BF480" s="30" t="s">
        <v>1</v>
      </c>
      <c r="BG480" s="37" t="s">
        <v>1</v>
      </c>
      <c r="BH480" s="102" t="s">
        <v>1</v>
      </c>
      <c r="BI480" s="103" t="s">
        <v>1</v>
      </c>
      <c r="BJ480" s="102" t="s">
        <v>1</v>
      </c>
      <c r="BK480" s="103" t="s">
        <v>1</v>
      </c>
      <c r="BL480" s="102" t="s">
        <v>1</v>
      </c>
      <c r="BM480" s="103" t="s">
        <v>1</v>
      </c>
      <c r="BN480" s="102" t="s">
        <v>1</v>
      </c>
      <c r="BO480" s="103" t="s">
        <v>1</v>
      </c>
      <c r="BP480" s="102" t="s">
        <v>1</v>
      </c>
      <c r="BQ480" s="103" t="s">
        <v>1</v>
      </c>
    </row>
    <row r="481" spans="1:69" ht="7.5" customHeight="1" x14ac:dyDescent="0.25">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c r="BF481" s="30" t="s">
        <v>1</v>
      </c>
      <c r="BG481" s="37" t="s">
        <v>1</v>
      </c>
      <c r="BH481" s="102" t="s">
        <v>1</v>
      </c>
      <c r="BI481" s="103" t="s">
        <v>1</v>
      </c>
      <c r="BJ481" s="102" t="s">
        <v>1</v>
      </c>
      <c r="BK481" s="103" t="s">
        <v>1</v>
      </c>
      <c r="BL481" s="102" t="s">
        <v>1</v>
      </c>
      <c r="BM481" s="103" t="s">
        <v>1</v>
      </c>
      <c r="BN481" s="102" t="s">
        <v>1</v>
      </c>
      <c r="BO481" s="103" t="s">
        <v>1</v>
      </c>
      <c r="BP481" s="102" t="s">
        <v>1</v>
      </c>
      <c r="BQ481" s="103" t="s">
        <v>1</v>
      </c>
    </row>
    <row r="482" spans="1:69" ht="7.5" customHeight="1" x14ac:dyDescent="0.25">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c r="BF482" s="30" t="s">
        <v>1</v>
      </c>
      <c r="BG482" s="37" t="s">
        <v>1</v>
      </c>
      <c r="BH482" s="102" t="s">
        <v>1</v>
      </c>
      <c r="BI482" s="103" t="s">
        <v>1</v>
      </c>
      <c r="BJ482" s="102" t="s">
        <v>1</v>
      </c>
      <c r="BK482" s="103" t="s">
        <v>1</v>
      </c>
      <c r="BL482" s="102" t="s">
        <v>1</v>
      </c>
      <c r="BM482" s="103" t="s">
        <v>1</v>
      </c>
      <c r="BN482" s="102" t="s">
        <v>1</v>
      </c>
      <c r="BO482" s="103" t="s">
        <v>1</v>
      </c>
      <c r="BP482" s="102" t="s">
        <v>1</v>
      </c>
      <c r="BQ482" s="103" t="s">
        <v>1</v>
      </c>
    </row>
    <row r="483" spans="1:69" ht="7.5" customHeight="1" x14ac:dyDescent="0.25">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c r="BF483" s="30" t="s">
        <v>1</v>
      </c>
      <c r="BG483" s="37" t="s">
        <v>1</v>
      </c>
      <c r="BH483" s="102" t="s">
        <v>1</v>
      </c>
      <c r="BI483" s="103" t="s">
        <v>1</v>
      </c>
      <c r="BJ483" s="102" t="s">
        <v>1</v>
      </c>
      <c r="BK483" s="103" t="s">
        <v>1</v>
      </c>
      <c r="BL483" s="102" t="s">
        <v>1</v>
      </c>
      <c r="BM483" s="103" t="s">
        <v>1</v>
      </c>
      <c r="BN483" s="102" t="s">
        <v>1</v>
      </c>
      <c r="BO483" s="103" t="s">
        <v>1</v>
      </c>
      <c r="BP483" s="102" t="s">
        <v>1</v>
      </c>
      <c r="BQ483" s="103" t="s">
        <v>1</v>
      </c>
    </row>
    <row r="484" spans="1:69" ht="7.5" customHeight="1" x14ac:dyDescent="0.25">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c r="BF484" s="30" t="s">
        <v>1</v>
      </c>
      <c r="BG484" s="37" t="s">
        <v>1</v>
      </c>
      <c r="BH484" s="102" t="s">
        <v>1</v>
      </c>
      <c r="BI484" s="103" t="s">
        <v>1</v>
      </c>
      <c r="BJ484" s="102" t="s">
        <v>1</v>
      </c>
      <c r="BK484" s="103" t="s">
        <v>1</v>
      </c>
      <c r="BL484" s="102" t="s">
        <v>1</v>
      </c>
      <c r="BM484" s="103" t="s">
        <v>1</v>
      </c>
      <c r="BN484" s="102" t="s">
        <v>1</v>
      </c>
      <c r="BO484" s="103" t="s">
        <v>1</v>
      </c>
      <c r="BP484" s="102" t="s">
        <v>1</v>
      </c>
      <c r="BQ484" s="103" t="s">
        <v>1</v>
      </c>
    </row>
    <row r="485" spans="1:69" ht="7.5" customHeight="1" x14ac:dyDescent="0.25">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c r="BF485" s="30" t="s">
        <v>1</v>
      </c>
      <c r="BG485" s="37" t="s">
        <v>1</v>
      </c>
      <c r="BH485" s="102" t="s">
        <v>1</v>
      </c>
      <c r="BI485" s="103" t="s">
        <v>1</v>
      </c>
      <c r="BJ485" s="102" t="s">
        <v>1</v>
      </c>
      <c r="BK485" s="103" t="s">
        <v>1</v>
      </c>
      <c r="BL485" s="102" t="s">
        <v>1</v>
      </c>
      <c r="BM485" s="103" t="s">
        <v>1</v>
      </c>
      <c r="BN485" s="102" t="s">
        <v>1</v>
      </c>
      <c r="BO485" s="103" t="s">
        <v>1</v>
      </c>
      <c r="BP485" s="102" t="s">
        <v>1</v>
      </c>
      <c r="BQ485" s="103" t="s">
        <v>1</v>
      </c>
    </row>
    <row r="486" spans="1:69" ht="7.5" customHeight="1" x14ac:dyDescent="0.25">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c r="BF486" s="30" t="s">
        <v>1</v>
      </c>
      <c r="BG486" s="37" t="s">
        <v>1</v>
      </c>
      <c r="BH486" s="102" t="s">
        <v>1</v>
      </c>
      <c r="BI486" s="103" t="s">
        <v>1</v>
      </c>
      <c r="BJ486" s="102" t="s">
        <v>1</v>
      </c>
      <c r="BK486" s="103" t="s">
        <v>1</v>
      </c>
      <c r="BL486" s="102" t="s">
        <v>1</v>
      </c>
      <c r="BM486" s="103" t="s">
        <v>1</v>
      </c>
      <c r="BN486" s="102" t="s">
        <v>1</v>
      </c>
      <c r="BO486" s="103" t="s">
        <v>1</v>
      </c>
      <c r="BP486" s="102" t="s">
        <v>1</v>
      </c>
      <c r="BQ486" s="103" t="s">
        <v>1</v>
      </c>
    </row>
    <row r="487" spans="1:69" ht="7.5" customHeight="1" x14ac:dyDescent="0.25">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c r="BF487" s="30" t="s">
        <v>1</v>
      </c>
      <c r="BG487" s="37" t="s">
        <v>1</v>
      </c>
      <c r="BH487" s="102" t="s">
        <v>1</v>
      </c>
      <c r="BI487" s="103" t="s">
        <v>1</v>
      </c>
      <c r="BJ487" s="102" t="s">
        <v>1</v>
      </c>
      <c r="BK487" s="103" t="s">
        <v>1</v>
      </c>
      <c r="BL487" s="102" t="s">
        <v>1</v>
      </c>
      <c r="BM487" s="103" t="s">
        <v>1</v>
      </c>
      <c r="BN487" s="102" t="s">
        <v>1</v>
      </c>
      <c r="BO487" s="103" t="s">
        <v>1</v>
      </c>
      <c r="BP487" s="102" t="s">
        <v>1</v>
      </c>
      <c r="BQ487" s="103" t="s">
        <v>1</v>
      </c>
    </row>
    <row r="488" spans="1:69" ht="7.5" customHeight="1" x14ac:dyDescent="0.25">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2137</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c r="BF488" s="30" t="s">
        <v>1</v>
      </c>
      <c r="BG488" s="37" t="s">
        <v>1</v>
      </c>
      <c r="BH488" s="102" t="s">
        <v>1</v>
      </c>
      <c r="BI488" s="103" t="s">
        <v>1</v>
      </c>
      <c r="BJ488" s="102" t="s">
        <v>1</v>
      </c>
      <c r="BK488" s="103" t="s">
        <v>1</v>
      </c>
      <c r="BL488" s="102" t="s">
        <v>1</v>
      </c>
      <c r="BM488" s="103" t="s">
        <v>1</v>
      </c>
      <c r="BN488" s="102" t="s">
        <v>1</v>
      </c>
      <c r="BO488" s="103" t="s">
        <v>1</v>
      </c>
      <c r="BP488" s="102" t="s">
        <v>1</v>
      </c>
      <c r="BQ488" s="103" t="s">
        <v>1</v>
      </c>
    </row>
    <row r="489" spans="1:69" ht="7.5" customHeight="1" x14ac:dyDescent="0.25">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2137</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c r="BF489" s="30" t="s">
        <v>1</v>
      </c>
      <c r="BG489" s="37" t="s">
        <v>1</v>
      </c>
      <c r="BH489" s="102" t="s">
        <v>1</v>
      </c>
      <c r="BI489" s="103" t="s">
        <v>1</v>
      </c>
      <c r="BJ489" s="102" t="s">
        <v>1</v>
      </c>
      <c r="BK489" s="103" t="s">
        <v>1</v>
      </c>
      <c r="BL489" s="102" t="s">
        <v>1</v>
      </c>
      <c r="BM489" s="103" t="s">
        <v>1</v>
      </c>
      <c r="BN489" s="102" t="s">
        <v>1</v>
      </c>
      <c r="BO489" s="103" t="s">
        <v>1</v>
      </c>
      <c r="BP489" s="102" t="s">
        <v>1</v>
      </c>
      <c r="BQ489" s="103" t="s">
        <v>1</v>
      </c>
    </row>
    <row r="490" spans="1:69" ht="7.5" customHeight="1" x14ac:dyDescent="0.25">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2137</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c r="BF490" s="30" t="s">
        <v>1</v>
      </c>
      <c r="BG490" s="37" t="s">
        <v>1</v>
      </c>
      <c r="BH490" s="102" t="s">
        <v>1</v>
      </c>
      <c r="BI490" s="103" t="s">
        <v>1</v>
      </c>
      <c r="BJ490" s="102" t="s">
        <v>1</v>
      </c>
      <c r="BK490" s="103" t="s">
        <v>1</v>
      </c>
      <c r="BL490" s="102" t="s">
        <v>1</v>
      </c>
      <c r="BM490" s="103" t="s">
        <v>1</v>
      </c>
      <c r="BN490" s="102" t="s">
        <v>1</v>
      </c>
      <c r="BO490" s="103" t="s">
        <v>1</v>
      </c>
      <c r="BP490" s="102" t="s">
        <v>1</v>
      </c>
      <c r="BQ490" s="103" t="s">
        <v>1</v>
      </c>
    </row>
    <row r="491" spans="1:69" ht="7.5" customHeight="1" x14ac:dyDescent="0.25">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2137</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c r="BF491" s="30" t="s">
        <v>1</v>
      </c>
      <c r="BG491" s="37" t="s">
        <v>1</v>
      </c>
      <c r="BH491" s="102" t="s">
        <v>1</v>
      </c>
      <c r="BI491" s="103" t="s">
        <v>1</v>
      </c>
      <c r="BJ491" s="102" t="s">
        <v>1</v>
      </c>
      <c r="BK491" s="103" t="s">
        <v>1</v>
      </c>
      <c r="BL491" s="102" t="s">
        <v>1</v>
      </c>
      <c r="BM491" s="103" t="s">
        <v>1</v>
      </c>
      <c r="BN491" s="102" t="s">
        <v>1</v>
      </c>
      <c r="BO491" s="103" t="s">
        <v>1</v>
      </c>
      <c r="BP491" s="102" t="s">
        <v>1</v>
      </c>
      <c r="BQ491" s="103" t="s">
        <v>1</v>
      </c>
    </row>
    <row r="492" spans="1:69" ht="7.5" customHeight="1" x14ac:dyDescent="0.25">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2137</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c r="BF492" s="30" t="s">
        <v>1</v>
      </c>
      <c r="BG492" s="37" t="s">
        <v>1</v>
      </c>
      <c r="BH492" s="102" t="s">
        <v>1</v>
      </c>
      <c r="BI492" s="103" t="s">
        <v>1</v>
      </c>
      <c r="BJ492" s="102" t="s">
        <v>1</v>
      </c>
      <c r="BK492" s="103" t="s">
        <v>1</v>
      </c>
      <c r="BL492" s="102" t="s">
        <v>1</v>
      </c>
      <c r="BM492" s="103" t="s">
        <v>1</v>
      </c>
      <c r="BN492" s="102" t="s">
        <v>1</v>
      </c>
      <c r="BO492" s="103" t="s">
        <v>1</v>
      </c>
      <c r="BP492" s="102" t="s">
        <v>1</v>
      </c>
      <c r="BQ492" s="103" t="s">
        <v>1</v>
      </c>
    </row>
    <row r="493" spans="1:69" ht="7.5" customHeight="1" x14ac:dyDescent="0.25">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2137</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c r="BF493" s="30" t="s">
        <v>1</v>
      </c>
      <c r="BG493" s="37" t="s">
        <v>1</v>
      </c>
      <c r="BH493" s="102" t="s">
        <v>1</v>
      </c>
      <c r="BI493" s="103" t="s">
        <v>1</v>
      </c>
      <c r="BJ493" s="102" t="s">
        <v>1</v>
      </c>
      <c r="BK493" s="103" t="s">
        <v>1</v>
      </c>
      <c r="BL493" s="102" t="s">
        <v>1</v>
      </c>
      <c r="BM493" s="103" t="s">
        <v>1</v>
      </c>
      <c r="BN493" s="102" t="s">
        <v>1</v>
      </c>
      <c r="BO493" s="103" t="s">
        <v>1</v>
      </c>
      <c r="BP493" s="102" t="s">
        <v>1</v>
      </c>
      <c r="BQ493" s="103" t="s">
        <v>1</v>
      </c>
    </row>
    <row r="494" spans="1:69" ht="7.5" customHeight="1" x14ac:dyDescent="0.25">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2137</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c r="BF494" s="30" t="s">
        <v>1</v>
      </c>
      <c r="BG494" s="37" t="s">
        <v>1</v>
      </c>
      <c r="BH494" s="102" t="s">
        <v>1</v>
      </c>
      <c r="BI494" s="103" t="s">
        <v>1</v>
      </c>
      <c r="BJ494" s="102" t="s">
        <v>1</v>
      </c>
      <c r="BK494" s="103" t="s">
        <v>1</v>
      </c>
      <c r="BL494" s="102" t="s">
        <v>1</v>
      </c>
      <c r="BM494" s="103" t="s">
        <v>1</v>
      </c>
      <c r="BN494" s="102" t="s">
        <v>1</v>
      </c>
      <c r="BO494" s="103" t="s">
        <v>1</v>
      </c>
      <c r="BP494" s="102" t="s">
        <v>1</v>
      </c>
      <c r="BQ494" s="103" t="s">
        <v>1</v>
      </c>
    </row>
    <row r="495" spans="1:69" ht="7.5" customHeight="1" x14ac:dyDescent="0.25">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2137</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c r="BF495" s="30" t="s">
        <v>1</v>
      </c>
      <c r="BG495" s="37" t="s">
        <v>1</v>
      </c>
      <c r="BH495" s="102" t="s">
        <v>1</v>
      </c>
      <c r="BI495" s="103" t="s">
        <v>1</v>
      </c>
      <c r="BJ495" s="102" t="s">
        <v>1</v>
      </c>
      <c r="BK495" s="103" t="s">
        <v>1</v>
      </c>
      <c r="BL495" s="102" t="s">
        <v>1</v>
      </c>
      <c r="BM495" s="103" t="s">
        <v>1</v>
      </c>
      <c r="BN495" s="102" t="s">
        <v>1</v>
      </c>
      <c r="BO495" s="103" t="s">
        <v>1</v>
      </c>
      <c r="BP495" s="102" t="s">
        <v>1</v>
      </c>
      <c r="BQ495" s="103" t="s">
        <v>1</v>
      </c>
    </row>
    <row r="496" spans="1:69" ht="7.5" customHeight="1" x14ac:dyDescent="0.25">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c r="BF496" s="30" t="s">
        <v>1</v>
      </c>
      <c r="BG496" s="37" t="s">
        <v>1</v>
      </c>
      <c r="BH496" s="102" t="s">
        <v>1</v>
      </c>
      <c r="BI496" s="103" t="s">
        <v>1</v>
      </c>
      <c r="BJ496" s="102" t="s">
        <v>1</v>
      </c>
      <c r="BK496" s="103" t="s">
        <v>1</v>
      </c>
      <c r="BL496" s="102" t="s">
        <v>1</v>
      </c>
      <c r="BM496" s="103" t="s">
        <v>1</v>
      </c>
      <c r="BN496" s="102" t="s">
        <v>1</v>
      </c>
      <c r="BO496" s="103" t="s">
        <v>1</v>
      </c>
      <c r="BP496" s="102" t="s">
        <v>1</v>
      </c>
      <c r="BQ496" s="103" t="s">
        <v>1</v>
      </c>
    </row>
    <row r="497" spans="1:69" ht="7.5" customHeight="1" x14ac:dyDescent="0.25">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c r="BF497" s="30" t="s">
        <v>1</v>
      </c>
      <c r="BG497" s="37" t="s">
        <v>1</v>
      </c>
      <c r="BH497" s="102" t="s">
        <v>1</v>
      </c>
      <c r="BI497" s="103" t="s">
        <v>1</v>
      </c>
      <c r="BJ497" s="102" t="s">
        <v>1</v>
      </c>
      <c r="BK497" s="103" t="s">
        <v>1</v>
      </c>
      <c r="BL497" s="102" t="s">
        <v>1</v>
      </c>
      <c r="BM497" s="103" t="s">
        <v>1</v>
      </c>
      <c r="BN497" s="102" t="s">
        <v>1</v>
      </c>
      <c r="BO497" s="103" t="s">
        <v>1</v>
      </c>
      <c r="BP497" s="102" t="s">
        <v>1</v>
      </c>
      <c r="BQ497" s="103" t="s">
        <v>1</v>
      </c>
    </row>
    <row r="498" spans="1:69" ht="7.5" customHeight="1" x14ac:dyDescent="0.25">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c r="BF498" s="30" t="s">
        <v>1</v>
      </c>
      <c r="BG498" s="37" t="s">
        <v>1</v>
      </c>
      <c r="BH498" s="102" t="s">
        <v>1</v>
      </c>
      <c r="BI498" s="103" t="s">
        <v>1</v>
      </c>
      <c r="BJ498" s="102" t="s">
        <v>1</v>
      </c>
      <c r="BK498" s="103" t="s">
        <v>1</v>
      </c>
      <c r="BL498" s="102" t="s">
        <v>1</v>
      </c>
      <c r="BM498" s="103" t="s">
        <v>1</v>
      </c>
      <c r="BN498" s="102" t="s">
        <v>1</v>
      </c>
      <c r="BO498" s="103" t="s">
        <v>1</v>
      </c>
      <c r="BP498" s="102" t="s">
        <v>1</v>
      </c>
      <c r="BQ498" s="103" t="s">
        <v>1</v>
      </c>
    </row>
    <row r="499" spans="1:69" ht="7.5" customHeight="1" x14ac:dyDescent="0.25">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c r="BF499" s="30" t="s">
        <v>1</v>
      </c>
      <c r="BG499" s="37" t="s">
        <v>1</v>
      </c>
      <c r="BH499" s="102" t="s">
        <v>1</v>
      </c>
      <c r="BI499" s="103" t="s">
        <v>1</v>
      </c>
      <c r="BJ499" s="102" t="s">
        <v>1</v>
      </c>
      <c r="BK499" s="103" t="s">
        <v>1</v>
      </c>
      <c r="BL499" s="102" t="s">
        <v>1</v>
      </c>
      <c r="BM499" s="103" t="s">
        <v>1</v>
      </c>
      <c r="BN499" s="102" t="s">
        <v>1</v>
      </c>
      <c r="BO499" s="103" t="s">
        <v>1</v>
      </c>
      <c r="BP499" s="102" t="s">
        <v>1</v>
      </c>
      <c r="BQ499" s="103" t="s">
        <v>1</v>
      </c>
    </row>
    <row r="500" spans="1:69" ht="7.5" customHeight="1" x14ac:dyDescent="0.25">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c r="BF500" s="30" t="s">
        <v>1</v>
      </c>
      <c r="BG500" s="37" t="s">
        <v>1</v>
      </c>
      <c r="BH500" s="102" t="s">
        <v>1</v>
      </c>
      <c r="BI500" s="103" t="s">
        <v>1</v>
      </c>
      <c r="BJ500" s="102" t="s">
        <v>1</v>
      </c>
      <c r="BK500" s="103" t="s">
        <v>1</v>
      </c>
      <c r="BL500" s="102" t="s">
        <v>1</v>
      </c>
      <c r="BM500" s="103" t="s">
        <v>1</v>
      </c>
      <c r="BN500" s="102" t="s">
        <v>1</v>
      </c>
      <c r="BO500" s="103" t="s">
        <v>1</v>
      </c>
      <c r="BP500" s="102" t="s">
        <v>1</v>
      </c>
      <c r="BQ500" s="103" t="s">
        <v>1</v>
      </c>
    </row>
    <row r="501" spans="1:69" ht="7.5" customHeight="1" x14ac:dyDescent="0.25">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c r="BF501" s="30" t="s">
        <v>1</v>
      </c>
      <c r="BG501" s="37" t="s">
        <v>1</v>
      </c>
      <c r="BH501" s="102" t="s">
        <v>1</v>
      </c>
      <c r="BI501" s="103" t="s">
        <v>1</v>
      </c>
      <c r="BJ501" s="102" t="s">
        <v>1</v>
      </c>
      <c r="BK501" s="103" t="s">
        <v>1</v>
      </c>
      <c r="BL501" s="102" t="s">
        <v>1</v>
      </c>
      <c r="BM501" s="103" t="s">
        <v>1</v>
      </c>
      <c r="BN501" s="102" t="s">
        <v>1</v>
      </c>
      <c r="BO501" s="103" t="s">
        <v>1</v>
      </c>
      <c r="BP501" s="102" t="s">
        <v>1</v>
      </c>
      <c r="BQ501" s="103" t="s">
        <v>1</v>
      </c>
    </row>
    <row r="502" spans="1:69" ht="7.5" customHeight="1" x14ac:dyDescent="0.25">
      <c r="A502" s="67">
        <v>502</v>
      </c>
      <c r="B502" s="58" t="s">
        <v>1411</v>
      </c>
      <c r="C502" s="59" t="s">
        <v>555</v>
      </c>
      <c r="D502" s="18" t="s">
        <v>2138</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c r="BF502" s="30" t="s">
        <v>1</v>
      </c>
      <c r="BG502" s="37" t="s">
        <v>1</v>
      </c>
      <c r="BH502" s="102" t="s">
        <v>1</v>
      </c>
      <c r="BI502" s="103" t="s">
        <v>1</v>
      </c>
      <c r="BJ502" s="102" t="s">
        <v>1</v>
      </c>
      <c r="BK502" s="103" t="s">
        <v>1</v>
      </c>
      <c r="BL502" s="102" t="s">
        <v>1</v>
      </c>
      <c r="BM502" s="103" t="s">
        <v>1</v>
      </c>
      <c r="BN502" s="102" t="s">
        <v>1</v>
      </c>
      <c r="BO502" s="103" t="s">
        <v>1</v>
      </c>
      <c r="BP502" s="102" t="s">
        <v>1</v>
      </c>
      <c r="BQ502" s="103" t="s">
        <v>1</v>
      </c>
    </row>
    <row r="503" spans="1:69" ht="7.5" customHeight="1" x14ac:dyDescent="0.25">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c r="BF503" s="30" t="s">
        <v>1</v>
      </c>
      <c r="BG503" s="37" t="s">
        <v>1</v>
      </c>
      <c r="BH503" s="102" t="s">
        <v>1</v>
      </c>
      <c r="BI503" s="103" t="s">
        <v>1</v>
      </c>
      <c r="BJ503" s="102" t="s">
        <v>1</v>
      </c>
      <c r="BK503" s="103" t="s">
        <v>1</v>
      </c>
      <c r="BL503" s="102" t="s">
        <v>1</v>
      </c>
      <c r="BM503" s="103" t="s">
        <v>1</v>
      </c>
      <c r="BN503" s="102" t="s">
        <v>1</v>
      </c>
      <c r="BO503" s="103" t="s">
        <v>1</v>
      </c>
      <c r="BP503" s="102" t="s">
        <v>1</v>
      </c>
      <c r="BQ503" s="103" t="s">
        <v>1</v>
      </c>
    </row>
    <row r="504" spans="1:69" ht="7.5" customHeight="1" x14ac:dyDescent="0.25">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c r="BF504" s="30" t="s">
        <v>1</v>
      </c>
      <c r="BG504" s="37" t="s">
        <v>1</v>
      </c>
      <c r="BH504" s="102" t="s">
        <v>1</v>
      </c>
      <c r="BI504" s="103" t="s">
        <v>1</v>
      </c>
      <c r="BJ504" s="102" t="s">
        <v>1</v>
      </c>
      <c r="BK504" s="103" t="s">
        <v>1</v>
      </c>
      <c r="BL504" s="102" t="s">
        <v>1</v>
      </c>
      <c r="BM504" s="103" t="s">
        <v>1</v>
      </c>
      <c r="BN504" s="102" t="s">
        <v>1</v>
      </c>
      <c r="BO504" s="103" t="s">
        <v>1</v>
      </c>
      <c r="BP504" s="102" t="s">
        <v>1</v>
      </c>
      <c r="BQ504" s="103" t="s">
        <v>1</v>
      </c>
    </row>
    <row r="505" spans="1:69" ht="7.5" customHeight="1" x14ac:dyDescent="0.25">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c r="BF505" s="30" t="s">
        <v>1</v>
      </c>
      <c r="BG505" s="37" t="s">
        <v>1</v>
      </c>
      <c r="BH505" s="102" t="s">
        <v>1</v>
      </c>
      <c r="BI505" s="103" t="s">
        <v>1</v>
      </c>
      <c r="BJ505" s="102" t="s">
        <v>1</v>
      </c>
      <c r="BK505" s="103" t="s">
        <v>1</v>
      </c>
      <c r="BL505" s="102" t="s">
        <v>1</v>
      </c>
      <c r="BM505" s="103" t="s">
        <v>1</v>
      </c>
      <c r="BN505" s="102" t="s">
        <v>1</v>
      </c>
      <c r="BO505" s="103" t="s">
        <v>1</v>
      </c>
      <c r="BP505" s="102" t="s">
        <v>1</v>
      </c>
      <c r="BQ505" s="103" t="s">
        <v>1</v>
      </c>
    </row>
    <row r="506" spans="1:69" ht="7.5" customHeight="1" x14ac:dyDescent="0.25">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2139</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c r="BF506" s="30" t="s">
        <v>1</v>
      </c>
      <c r="BG506" s="37" t="s">
        <v>1</v>
      </c>
      <c r="BH506" s="102" t="s">
        <v>1</v>
      </c>
      <c r="BI506" s="103" t="s">
        <v>1</v>
      </c>
      <c r="BJ506" s="102" t="s">
        <v>1</v>
      </c>
      <c r="BK506" s="103" t="s">
        <v>1</v>
      </c>
      <c r="BL506" s="102" t="s">
        <v>1</v>
      </c>
      <c r="BM506" s="103" t="s">
        <v>1</v>
      </c>
      <c r="BN506" s="102" t="s">
        <v>1</v>
      </c>
      <c r="BO506" s="103" t="s">
        <v>1</v>
      </c>
      <c r="BP506" s="102" t="s">
        <v>1</v>
      </c>
      <c r="BQ506" s="103" t="s">
        <v>1</v>
      </c>
    </row>
    <row r="507" spans="1:69" ht="7.5" customHeight="1" x14ac:dyDescent="0.25">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2139</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c r="BF507" s="30" t="s">
        <v>1</v>
      </c>
      <c r="BG507" s="37" t="s">
        <v>1</v>
      </c>
      <c r="BH507" s="102" t="s">
        <v>1</v>
      </c>
      <c r="BI507" s="103" t="s">
        <v>1</v>
      </c>
      <c r="BJ507" s="102" t="s">
        <v>1</v>
      </c>
      <c r="BK507" s="103" t="s">
        <v>1</v>
      </c>
      <c r="BL507" s="102" t="s">
        <v>1</v>
      </c>
      <c r="BM507" s="103" t="s">
        <v>1</v>
      </c>
      <c r="BN507" s="102" t="s">
        <v>1</v>
      </c>
      <c r="BO507" s="103" t="s">
        <v>1</v>
      </c>
      <c r="BP507" s="102" t="s">
        <v>1</v>
      </c>
      <c r="BQ507" s="103" t="s">
        <v>1</v>
      </c>
    </row>
    <row r="508" spans="1:69" ht="7.5" customHeight="1" x14ac:dyDescent="0.25">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2139</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c r="BF508" s="30" t="s">
        <v>1</v>
      </c>
      <c r="BG508" s="37" t="s">
        <v>1</v>
      </c>
      <c r="BH508" s="102" t="s">
        <v>1</v>
      </c>
      <c r="BI508" s="103" t="s">
        <v>1</v>
      </c>
      <c r="BJ508" s="102" t="s">
        <v>1</v>
      </c>
      <c r="BK508" s="103" t="s">
        <v>1</v>
      </c>
      <c r="BL508" s="102" t="s">
        <v>1</v>
      </c>
      <c r="BM508" s="103" t="s">
        <v>1</v>
      </c>
      <c r="BN508" s="102" t="s">
        <v>1</v>
      </c>
      <c r="BO508" s="103" t="s">
        <v>1</v>
      </c>
      <c r="BP508" s="102" t="s">
        <v>1</v>
      </c>
      <c r="BQ508" s="103" t="s">
        <v>1</v>
      </c>
    </row>
    <row r="509" spans="1:69" ht="7.5" customHeight="1" x14ac:dyDescent="0.25">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2139</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c r="BF509" s="30" t="s">
        <v>1</v>
      </c>
      <c r="BG509" s="37" t="s">
        <v>1</v>
      </c>
      <c r="BH509" s="102" t="s">
        <v>1</v>
      </c>
      <c r="BI509" s="103" t="s">
        <v>1</v>
      </c>
      <c r="BJ509" s="102" t="s">
        <v>1</v>
      </c>
      <c r="BK509" s="103" t="s">
        <v>1</v>
      </c>
      <c r="BL509" s="102" t="s">
        <v>1</v>
      </c>
      <c r="BM509" s="103" t="s">
        <v>1</v>
      </c>
      <c r="BN509" s="102" t="s">
        <v>1</v>
      </c>
      <c r="BO509" s="103" t="s">
        <v>1</v>
      </c>
      <c r="BP509" s="102" t="s">
        <v>1</v>
      </c>
      <c r="BQ509" s="103" t="s">
        <v>1</v>
      </c>
    </row>
    <row r="510" spans="1:69" ht="7.5" customHeight="1" x14ac:dyDescent="0.25">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2139</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c r="BF510" s="30" t="s">
        <v>1</v>
      </c>
      <c r="BG510" s="37" t="s">
        <v>1</v>
      </c>
      <c r="BH510" s="102" t="s">
        <v>1</v>
      </c>
      <c r="BI510" s="103" t="s">
        <v>1</v>
      </c>
      <c r="BJ510" s="102" t="s">
        <v>1</v>
      </c>
      <c r="BK510" s="103" t="s">
        <v>1</v>
      </c>
      <c r="BL510" s="102" t="s">
        <v>1</v>
      </c>
      <c r="BM510" s="103" t="s">
        <v>1</v>
      </c>
      <c r="BN510" s="102" t="s">
        <v>1</v>
      </c>
      <c r="BO510" s="103" t="s">
        <v>1</v>
      </c>
      <c r="BP510" s="102" t="s">
        <v>1</v>
      </c>
      <c r="BQ510" s="103" t="s">
        <v>1</v>
      </c>
    </row>
    <row r="511" spans="1:69" ht="7.5" customHeight="1" x14ac:dyDescent="0.25">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2139</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c r="BF511" s="30" t="s">
        <v>1</v>
      </c>
      <c r="BG511" s="37" t="s">
        <v>1</v>
      </c>
      <c r="BH511" s="102" t="s">
        <v>1</v>
      </c>
      <c r="BI511" s="103" t="s">
        <v>1</v>
      </c>
      <c r="BJ511" s="102" t="s">
        <v>1</v>
      </c>
      <c r="BK511" s="103" t="s">
        <v>1</v>
      </c>
      <c r="BL511" s="102" t="s">
        <v>1</v>
      </c>
      <c r="BM511" s="103" t="s">
        <v>1</v>
      </c>
      <c r="BN511" s="102" t="s">
        <v>1</v>
      </c>
      <c r="BO511" s="103" t="s">
        <v>1</v>
      </c>
      <c r="BP511" s="102" t="s">
        <v>1</v>
      </c>
      <c r="BQ511" s="103" t="s">
        <v>1</v>
      </c>
    </row>
    <row r="512" spans="1:69" ht="7.5" customHeight="1" x14ac:dyDescent="0.25">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2139</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c r="BF512" s="30" t="s">
        <v>1</v>
      </c>
      <c r="BG512" s="37" t="s">
        <v>1</v>
      </c>
      <c r="BH512" s="102" t="s">
        <v>1</v>
      </c>
      <c r="BI512" s="103" t="s">
        <v>1</v>
      </c>
      <c r="BJ512" s="102" t="s">
        <v>1</v>
      </c>
      <c r="BK512" s="103" t="s">
        <v>1</v>
      </c>
      <c r="BL512" s="102" t="s">
        <v>1</v>
      </c>
      <c r="BM512" s="103" t="s">
        <v>1</v>
      </c>
      <c r="BN512" s="102" t="s">
        <v>1</v>
      </c>
      <c r="BO512" s="103" t="s">
        <v>1</v>
      </c>
      <c r="BP512" s="102" t="s">
        <v>1</v>
      </c>
      <c r="BQ512" s="103" t="s">
        <v>1</v>
      </c>
    </row>
    <row r="513" spans="1:69" ht="7.5" customHeight="1" x14ac:dyDescent="0.25">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2139</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c r="BF513" s="30" t="s">
        <v>1</v>
      </c>
      <c r="BG513" s="37" t="s">
        <v>1</v>
      </c>
      <c r="BH513" s="102" t="s">
        <v>1</v>
      </c>
      <c r="BI513" s="103" t="s">
        <v>1</v>
      </c>
      <c r="BJ513" s="102" t="s">
        <v>1</v>
      </c>
      <c r="BK513" s="103" t="s">
        <v>1</v>
      </c>
      <c r="BL513" s="102" t="s">
        <v>1</v>
      </c>
      <c r="BM513" s="103" t="s">
        <v>1</v>
      </c>
      <c r="BN513" s="102" t="s">
        <v>1</v>
      </c>
      <c r="BO513" s="103" t="s">
        <v>1</v>
      </c>
      <c r="BP513" s="102" t="s">
        <v>1</v>
      </c>
      <c r="BQ513" s="103" t="s">
        <v>1</v>
      </c>
    </row>
    <row r="514" spans="1:69" ht="7.5" customHeight="1" x14ac:dyDescent="0.25">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2139</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c r="BF514" s="30" t="s">
        <v>1</v>
      </c>
      <c r="BG514" s="37" t="s">
        <v>1</v>
      </c>
      <c r="BH514" s="102" t="s">
        <v>1</v>
      </c>
      <c r="BI514" s="103" t="s">
        <v>1</v>
      </c>
      <c r="BJ514" s="102" t="s">
        <v>1</v>
      </c>
      <c r="BK514" s="103" t="s">
        <v>1</v>
      </c>
      <c r="BL514" s="102" t="s">
        <v>1</v>
      </c>
      <c r="BM514" s="103" t="s">
        <v>1</v>
      </c>
      <c r="BN514" s="102" t="s">
        <v>1</v>
      </c>
      <c r="BO514" s="103" t="s">
        <v>1</v>
      </c>
      <c r="BP514" s="102" t="s">
        <v>1</v>
      </c>
      <c r="BQ514" s="103" t="s">
        <v>1</v>
      </c>
    </row>
    <row r="515" spans="1:69" ht="7.5" customHeight="1" x14ac:dyDescent="0.25">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c r="BF515" s="30" t="s">
        <v>1</v>
      </c>
      <c r="BG515" s="37" t="s">
        <v>1</v>
      </c>
      <c r="BH515" s="102" t="s">
        <v>1</v>
      </c>
      <c r="BI515" s="103" t="s">
        <v>1</v>
      </c>
      <c r="BJ515" s="102" t="s">
        <v>1</v>
      </c>
      <c r="BK515" s="103" t="s">
        <v>1</v>
      </c>
      <c r="BL515" s="102" t="s">
        <v>1</v>
      </c>
      <c r="BM515" s="103" t="s">
        <v>1</v>
      </c>
      <c r="BN515" s="102" t="s">
        <v>1</v>
      </c>
      <c r="BO515" s="103" t="s">
        <v>1</v>
      </c>
      <c r="BP515" s="102" t="s">
        <v>1</v>
      </c>
      <c r="BQ515" s="103" t="s">
        <v>1</v>
      </c>
    </row>
    <row r="516" spans="1:69" ht="7.5" customHeight="1" x14ac:dyDescent="0.25">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c r="BF516" s="30" t="s">
        <v>1</v>
      </c>
      <c r="BG516" s="37" t="s">
        <v>1</v>
      </c>
      <c r="BH516" s="102" t="s">
        <v>1</v>
      </c>
      <c r="BI516" s="103" t="s">
        <v>1</v>
      </c>
      <c r="BJ516" s="102" t="s">
        <v>1</v>
      </c>
      <c r="BK516" s="103" t="s">
        <v>1</v>
      </c>
      <c r="BL516" s="102" t="s">
        <v>1</v>
      </c>
      <c r="BM516" s="103" t="s">
        <v>1</v>
      </c>
      <c r="BN516" s="102" t="s">
        <v>1</v>
      </c>
      <c r="BO516" s="103" t="s">
        <v>1</v>
      </c>
      <c r="BP516" s="102" t="s">
        <v>1</v>
      </c>
      <c r="BQ516" s="103" t="s">
        <v>1</v>
      </c>
    </row>
    <row r="517" spans="1:69" ht="7.5" customHeight="1" x14ac:dyDescent="0.25">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c r="BF517" s="30" t="s">
        <v>1</v>
      </c>
      <c r="BG517" s="37" t="s">
        <v>1</v>
      </c>
      <c r="BH517" s="102" t="s">
        <v>1</v>
      </c>
      <c r="BI517" s="103" t="s">
        <v>1</v>
      </c>
      <c r="BJ517" s="102" t="s">
        <v>1</v>
      </c>
      <c r="BK517" s="103" t="s">
        <v>1</v>
      </c>
      <c r="BL517" s="102" t="s">
        <v>1</v>
      </c>
      <c r="BM517" s="103" t="s">
        <v>1</v>
      </c>
      <c r="BN517" s="102" t="s">
        <v>1</v>
      </c>
      <c r="BO517" s="103" t="s">
        <v>1</v>
      </c>
      <c r="BP517" s="102" t="s">
        <v>1</v>
      </c>
      <c r="BQ517" s="103" t="s">
        <v>1</v>
      </c>
    </row>
    <row r="518" spans="1:69" ht="7.5"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c r="BF518" s="30" t="s">
        <v>1</v>
      </c>
      <c r="BG518" s="37" t="s">
        <v>1</v>
      </c>
      <c r="BH518" s="102" t="s">
        <v>1</v>
      </c>
      <c r="BI518" s="103" t="s">
        <v>1</v>
      </c>
      <c r="BJ518" s="102" t="s">
        <v>1</v>
      </c>
      <c r="BK518" s="103" t="s">
        <v>1</v>
      </c>
      <c r="BL518" s="102" t="s">
        <v>1</v>
      </c>
      <c r="BM518" s="103" t="s">
        <v>1</v>
      </c>
      <c r="BN518" s="102" t="s">
        <v>1</v>
      </c>
      <c r="BO518" s="103" t="s">
        <v>1</v>
      </c>
      <c r="BP518" s="102" t="s">
        <v>1</v>
      </c>
      <c r="BQ518" s="103" t="s">
        <v>1</v>
      </c>
    </row>
    <row r="519" spans="1:69" s="108" customFormat="1" ht="7.5" customHeight="1" x14ac:dyDescent="0.2">
      <c r="A519" s="67">
        <v>519</v>
      </c>
      <c r="B519" s="101" t="s">
        <v>2597</v>
      </c>
      <c r="C519" s="95" t="s">
        <v>2593</v>
      </c>
      <c r="D519" s="102" t="s">
        <v>1</v>
      </c>
      <c r="E519" s="103" t="s">
        <v>1</v>
      </c>
      <c r="F519" s="102" t="s">
        <v>1</v>
      </c>
      <c r="G519" s="20" t="s">
        <v>1</v>
      </c>
      <c r="H519" s="18" t="s">
        <v>1</v>
      </c>
      <c r="I519" s="20" t="s">
        <v>1</v>
      </c>
      <c r="J519" s="18" t="s">
        <v>1</v>
      </c>
      <c r="K519" s="20" t="s">
        <v>1</v>
      </c>
      <c r="L519" s="18" t="s">
        <v>1</v>
      </c>
      <c r="M519" s="20" t="s">
        <v>1</v>
      </c>
      <c r="N519" s="104" t="s">
        <v>79</v>
      </c>
      <c r="O519" s="28" t="s">
        <v>2598</v>
      </c>
      <c r="P519" s="30" t="s">
        <v>1</v>
      </c>
      <c r="Q519" s="25" t="s">
        <v>1</v>
      </c>
      <c r="R519" s="30" t="s">
        <v>1</v>
      </c>
      <c r="S519" s="25" t="s">
        <v>1</v>
      </c>
      <c r="T519" s="30" t="s">
        <v>1</v>
      </c>
      <c r="U519" s="28" t="s">
        <v>1</v>
      </c>
      <c r="V519" s="107"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2108</v>
      </c>
      <c r="BC519" s="28" t="s">
        <v>2599</v>
      </c>
      <c r="BD519" s="36" t="s">
        <v>2109</v>
      </c>
      <c r="BE519" s="28" t="s">
        <v>2600</v>
      </c>
      <c r="BF519" s="105" t="str">
        <f t="shared" ref="BF519:BF523" si="21">IF(BG519="null", "null", "método.revit")</f>
        <v>método.revit</v>
      </c>
      <c r="BG519" s="106" t="s">
        <v>2601</v>
      </c>
      <c r="BH519" s="102" t="s">
        <v>1</v>
      </c>
      <c r="BI519" s="103" t="s">
        <v>1</v>
      </c>
      <c r="BJ519" s="102" t="s">
        <v>1</v>
      </c>
      <c r="BK519" s="103" t="s">
        <v>1</v>
      </c>
      <c r="BL519" s="102" t="s">
        <v>1</v>
      </c>
      <c r="BM519" s="103" t="s">
        <v>1</v>
      </c>
      <c r="BN519" s="102" t="s">
        <v>1</v>
      </c>
      <c r="BO519" s="103" t="s">
        <v>1</v>
      </c>
      <c r="BP519" s="102" t="s">
        <v>1</v>
      </c>
      <c r="BQ519" s="103" t="s">
        <v>1</v>
      </c>
    </row>
    <row r="520" spans="1:69" s="108" customFormat="1" ht="7.5" customHeight="1" x14ac:dyDescent="0.2">
      <c r="A520" s="67">
        <v>520</v>
      </c>
      <c r="B520" s="101" t="s">
        <v>2602</v>
      </c>
      <c r="C520" s="95" t="s">
        <v>2593</v>
      </c>
      <c r="D520" s="102" t="s">
        <v>1</v>
      </c>
      <c r="E520" s="103" t="s">
        <v>1</v>
      </c>
      <c r="F520" s="102" t="s">
        <v>1</v>
      </c>
      <c r="G520" s="20" t="s">
        <v>1</v>
      </c>
      <c r="H520" s="18" t="s">
        <v>1</v>
      </c>
      <c r="I520" s="20" t="s">
        <v>1</v>
      </c>
      <c r="J520" s="18" t="s">
        <v>1</v>
      </c>
      <c r="K520" s="20" t="s">
        <v>1</v>
      </c>
      <c r="L520" s="18" t="s">
        <v>1</v>
      </c>
      <c r="M520" s="20" t="s">
        <v>1</v>
      </c>
      <c r="N520" s="104" t="s">
        <v>79</v>
      </c>
      <c r="O520" s="28" t="s">
        <v>2603</v>
      </c>
      <c r="P520" s="30" t="s">
        <v>1</v>
      </c>
      <c r="Q520" s="25" t="s">
        <v>1</v>
      </c>
      <c r="R520" s="30" t="s">
        <v>1</v>
      </c>
      <c r="S520" s="25" t="s">
        <v>1</v>
      </c>
      <c r="T520" s="30" t="s">
        <v>1</v>
      </c>
      <c r="U520" s="28" t="s">
        <v>1</v>
      </c>
      <c r="V520" s="107"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2108</v>
      </c>
      <c r="BC520" s="28" t="s">
        <v>2599</v>
      </c>
      <c r="BD520" s="36" t="s">
        <v>2109</v>
      </c>
      <c r="BE520" s="28" t="s">
        <v>2604</v>
      </c>
      <c r="BF520" s="105" t="str">
        <f t="shared" si="21"/>
        <v>método.revit</v>
      </c>
      <c r="BG520" s="106" t="s">
        <v>2605</v>
      </c>
      <c r="BH520" s="102" t="s">
        <v>1</v>
      </c>
      <c r="BI520" s="103" t="s">
        <v>1</v>
      </c>
      <c r="BJ520" s="102" t="s">
        <v>1</v>
      </c>
      <c r="BK520" s="103" t="s">
        <v>1</v>
      </c>
      <c r="BL520" s="102" t="s">
        <v>1</v>
      </c>
      <c r="BM520" s="103" t="s">
        <v>1</v>
      </c>
      <c r="BN520" s="102" t="s">
        <v>1</v>
      </c>
      <c r="BO520" s="103" t="s">
        <v>1</v>
      </c>
      <c r="BP520" s="102" t="s">
        <v>1</v>
      </c>
      <c r="BQ520" s="103" t="s">
        <v>1</v>
      </c>
    </row>
    <row r="521" spans="1:69" s="108" customFormat="1" ht="7.5" customHeight="1" x14ac:dyDescent="0.2">
      <c r="A521" s="67">
        <v>521</v>
      </c>
      <c r="B521" s="101" t="s">
        <v>2606</v>
      </c>
      <c r="C521" s="95" t="s">
        <v>2593</v>
      </c>
      <c r="D521" s="102" t="s">
        <v>1</v>
      </c>
      <c r="E521" s="103" t="s">
        <v>1</v>
      </c>
      <c r="F521" s="102" t="s">
        <v>1</v>
      </c>
      <c r="G521" s="20" t="s">
        <v>1</v>
      </c>
      <c r="H521" s="18" t="s">
        <v>1</v>
      </c>
      <c r="I521" s="20" t="s">
        <v>1</v>
      </c>
      <c r="J521" s="18" t="s">
        <v>1</v>
      </c>
      <c r="K521" s="20" t="s">
        <v>1</v>
      </c>
      <c r="L521" s="18" t="s">
        <v>1</v>
      </c>
      <c r="M521" s="20" t="s">
        <v>1</v>
      </c>
      <c r="N521" s="104" t="s">
        <v>79</v>
      </c>
      <c r="O521" s="28" t="s">
        <v>2607</v>
      </c>
      <c r="P521" s="30" t="s">
        <v>1</v>
      </c>
      <c r="Q521" s="25" t="s">
        <v>1</v>
      </c>
      <c r="R521" s="30" t="s">
        <v>1</v>
      </c>
      <c r="S521" s="25" t="s">
        <v>1</v>
      </c>
      <c r="T521" s="30" t="s">
        <v>1</v>
      </c>
      <c r="U521" s="28" t="s">
        <v>1</v>
      </c>
      <c r="V521" s="107"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2108</v>
      </c>
      <c r="BC521" s="28" t="s">
        <v>2599</v>
      </c>
      <c r="BD521" s="36" t="s">
        <v>2109</v>
      </c>
      <c r="BE521" s="28" t="s">
        <v>2608</v>
      </c>
      <c r="BF521" s="105" t="str">
        <f t="shared" si="21"/>
        <v>método.revit</v>
      </c>
      <c r="BG521" s="106" t="s">
        <v>2609</v>
      </c>
      <c r="BH521" s="102" t="s">
        <v>1</v>
      </c>
      <c r="BI521" s="103" t="s">
        <v>1</v>
      </c>
      <c r="BJ521" s="102" t="s">
        <v>1</v>
      </c>
      <c r="BK521" s="103" t="s">
        <v>1</v>
      </c>
      <c r="BL521" s="102" t="s">
        <v>1</v>
      </c>
      <c r="BM521" s="103" t="s">
        <v>1</v>
      </c>
      <c r="BN521" s="102" t="s">
        <v>1</v>
      </c>
      <c r="BO521" s="103" t="s">
        <v>1</v>
      </c>
      <c r="BP521" s="102" t="s">
        <v>1</v>
      </c>
      <c r="BQ521" s="103" t="s">
        <v>1</v>
      </c>
    </row>
    <row r="522" spans="1:69" s="108" customFormat="1" ht="7.5" customHeight="1" x14ac:dyDescent="0.2">
      <c r="A522" s="67">
        <v>522</v>
      </c>
      <c r="B522" s="101" t="s">
        <v>2610</v>
      </c>
      <c r="C522" s="95" t="s">
        <v>2593</v>
      </c>
      <c r="D522" s="102" t="s">
        <v>1</v>
      </c>
      <c r="E522" s="103" t="s">
        <v>1</v>
      </c>
      <c r="F522" s="102" t="s">
        <v>1</v>
      </c>
      <c r="G522" s="20" t="s">
        <v>1</v>
      </c>
      <c r="H522" s="18" t="s">
        <v>1</v>
      </c>
      <c r="I522" s="20" t="s">
        <v>1</v>
      </c>
      <c r="J522" s="18" t="s">
        <v>1</v>
      </c>
      <c r="K522" s="20" t="s">
        <v>1</v>
      </c>
      <c r="L522" s="18" t="s">
        <v>1</v>
      </c>
      <c r="M522" s="20" t="s">
        <v>1</v>
      </c>
      <c r="N522" s="104" t="s">
        <v>79</v>
      </c>
      <c r="O522" s="28" t="s">
        <v>2611</v>
      </c>
      <c r="P522" s="30" t="s">
        <v>1</v>
      </c>
      <c r="Q522" s="25" t="s">
        <v>1</v>
      </c>
      <c r="R522" s="30" t="s">
        <v>1</v>
      </c>
      <c r="S522" s="25" t="s">
        <v>1</v>
      </c>
      <c r="T522" s="30" t="s">
        <v>1</v>
      </c>
      <c r="U522" s="28" t="s">
        <v>1</v>
      </c>
      <c r="V522" s="107"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2108</v>
      </c>
      <c r="BC522" s="28" t="s">
        <v>2599</v>
      </c>
      <c r="BD522" s="36" t="s">
        <v>2109</v>
      </c>
      <c r="BE522" s="28" t="s">
        <v>2612</v>
      </c>
      <c r="BF522" s="105" t="str">
        <f t="shared" si="21"/>
        <v>método.revit</v>
      </c>
      <c r="BG522" s="106" t="s">
        <v>2613</v>
      </c>
      <c r="BH522" s="102" t="s">
        <v>1</v>
      </c>
      <c r="BI522" s="103" t="s">
        <v>1</v>
      </c>
      <c r="BJ522" s="102" t="s">
        <v>1</v>
      </c>
      <c r="BK522" s="103" t="s">
        <v>1</v>
      </c>
      <c r="BL522" s="102" t="s">
        <v>1</v>
      </c>
      <c r="BM522" s="103" t="s">
        <v>1</v>
      </c>
      <c r="BN522" s="102" t="s">
        <v>1</v>
      </c>
      <c r="BO522" s="103" t="s">
        <v>1</v>
      </c>
      <c r="BP522" s="102" t="s">
        <v>1</v>
      </c>
      <c r="BQ522" s="103" t="s">
        <v>1</v>
      </c>
    </row>
    <row r="523" spans="1:69" s="108" customFormat="1" ht="7.5" customHeight="1" x14ac:dyDescent="0.2">
      <c r="A523" s="67">
        <v>523</v>
      </c>
      <c r="B523" s="101" t="s">
        <v>2614</v>
      </c>
      <c r="C523" s="95" t="s">
        <v>2593</v>
      </c>
      <c r="D523" s="102" t="s">
        <v>1</v>
      </c>
      <c r="E523" s="103" t="s">
        <v>1</v>
      </c>
      <c r="F523" s="102" t="s">
        <v>1</v>
      </c>
      <c r="G523" s="20" t="s">
        <v>1</v>
      </c>
      <c r="H523" s="18" t="s">
        <v>1</v>
      </c>
      <c r="I523" s="20" t="s">
        <v>1</v>
      </c>
      <c r="J523" s="18" t="s">
        <v>1</v>
      </c>
      <c r="K523" s="20" t="s">
        <v>1</v>
      </c>
      <c r="L523" s="18" t="s">
        <v>1</v>
      </c>
      <c r="M523" s="20" t="s">
        <v>1</v>
      </c>
      <c r="N523" s="104" t="s">
        <v>79</v>
      </c>
      <c r="O523" s="28" t="s">
        <v>2615</v>
      </c>
      <c r="P523" s="30" t="s">
        <v>1</v>
      </c>
      <c r="Q523" s="25" t="s">
        <v>1</v>
      </c>
      <c r="R523" s="30" t="s">
        <v>1</v>
      </c>
      <c r="S523" s="25" t="s">
        <v>1</v>
      </c>
      <c r="T523" s="30" t="s">
        <v>1</v>
      </c>
      <c r="U523" s="28" t="s">
        <v>1</v>
      </c>
      <c r="V523" s="107"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2108</v>
      </c>
      <c r="BC523" s="28" t="s">
        <v>2599</v>
      </c>
      <c r="BD523" s="36" t="s">
        <v>2109</v>
      </c>
      <c r="BE523" s="28" t="s">
        <v>2616</v>
      </c>
      <c r="BF523" s="105" t="str">
        <f t="shared" si="21"/>
        <v>método.revit</v>
      </c>
      <c r="BG523" s="106" t="s">
        <v>2617</v>
      </c>
      <c r="BH523" s="102" t="s">
        <v>1</v>
      </c>
      <c r="BI523" s="103" t="s">
        <v>1</v>
      </c>
      <c r="BJ523" s="102" t="s">
        <v>1</v>
      </c>
      <c r="BK523" s="103" t="s">
        <v>1</v>
      </c>
      <c r="BL523" s="102" t="s">
        <v>1</v>
      </c>
      <c r="BM523" s="103" t="s">
        <v>1</v>
      </c>
      <c r="BN523" s="102" t="s">
        <v>1</v>
      </c>
      <c r="BO523" s="103" t="s">
        <v>1</v>
      </c>
      <c r="BP523" s="102" t="s">
        <v>1</v>
      </c>
      <c r="BQ523" s="103" t="s">
        <v>1</v>
      </c>
    </row>
  </sheetData>
  <conditionalFormatting sqref="B1:B518">
    <cfRule type="duplicateValues" dxfId="29" priority="1692"/>
  </conditionalFormatting>
  <conditionalFormatting sqref="C2:C3">
    <cfRule type="duplicateValues" dxfId="28" priority="25"/>
    <cfRule type="duplicateValues" dxfId="27" priority="26"/>
    <cfRule type="duplicateValues" dxfId="26" priority="27"/>
    <cfRule type="duplicateValues" dxfId="25" priority="28"/>
  </conditionalFormatting>
  <conditionalFormatting sqref="D1:F4 H1:BE7 A1:B2 G2:G4 D5:G5 G6 D6:F7 D8:BE8 D9:F518 H9:BE518 G10 F44:H76 H519:M523 X519:AG523 P519:U523 B3:B518 A3:A523">
    <cfRule type="cellIs" dxfId="0" priority="30" operator="equal">
      <formula>"null"</formula>
    </cfRule>
  </conditionalFormatting>
  <conditionalFormatting sqref="B519:B523">
    <cfRule type="duplicateValues" dxfId="24" priority="22"/>
    <cfRule type="duplicateValues" dxfId="23" priority="23"/>
  </conditionalFormatting>
  <conditionalFormatting sqref="D519:E523">
    <cfRule type="cellIs" dxfId="22" priority="20" operator="equal">
      <formula>"null"</formula>
    </cfRule>
  </conditionalFormatting>
  <conditionalFormatting sqref="F519:F523">
    <cfRule type="cellIs" dxfId="20" priority="17" operator="equal">
      <formula>"null"</formula>
    </cfRule>
  </conditionalFormatting>
  <conditionalFormatting sqref="V519:W523">
    <cfRule type="cellIs" dxfId="19" priority="21" operator="equal">
      <formula>"null"</formula>
    </cfRule>
  </conditionalFormatting>
  <conditionalFormatting sqref="BD519:BE523">
    <cfRule type="cellIs" dxfId="16" priority="16" operator="equal">
      <formula>"null"</formula>
    </cfRule>
  </conditionalFormatting>
  <conditionalFormatting sqref="AX519:BA523">
    <cfRule type="cellIs" dxfId="15" priority="15" operator="equal">
      <formula>"null"</formula>
    </cfRule>
  </conditionalFormatting>
  <conditionalFormatting sqref="AT519:AW523">
    <cfRule type="cellIs" dxfId="14" priority="14" operator="equal">
      <formula>"null"</formula>
    </cfRule>
  </conditionalFormatting>
  <conditionalFormatting sqref="AP519:AS523">
    <cfRule type="cellIs" dxfId="13" priority="13" operator="equal">
      <formula>"null"</formula>
    </cfRule>
  </conditionalFormatting>
  <conditionalFormatting sqref="AH519:AK523">
    <cfRule type="cellIs" dxfId="12" priority="12" operator="equal">
      <formula>"null"</formula>
    </cfRule>
  </conditionalFormatting>
  <conditionalFormatting sqref="AL519:AO523">
    <cfRule type="cellIs" dxfId="11" priority="11" operator="equal">
      <formula>"null"</formula>
    </cfRule>
  </conditionalFormatting>
  <conditionalFormatting sqref="BJ2:BQ523">
    <cfRule type="cellIs" dxfId="9" priority="10" operator="equal">
      <formula>"null"</formula>
    </cfRule>
  </conditionalFormatting>
  <conditionalFormatting sqref="BF1:BG1">
    <cfRule type="cellIs" dxfId="8" priority="8" operator="equal">
      <formula>"null"</formula>
    </cfRule>
  </conditionalFormatting>
  <conditionalFormatting sqref="BH1:BK1">
    <cfRule type="cellIs" dxfId="7" priority="7" operator="equal">
      <formula>"null"</formula>
    </cfRule>
  </conditionalFormatting>
  <conditionalFormatting sqref="BL1:BM1">
    <cfRule type="cellIs" dxfId="6" priority="6" operator="equal">
      <formula>"null"</formula>
    </cfRule>
  </conditionalFormatting>
  <conditionalFormatting sqref="BN1:BO1">
    <cfRule type="cellIs" dxfId="5" priority="5" operator="equal">
      <formula>"null"</formula>
    </cfRule>
  </conditionalFormatting>
  <conditionalFormatting sqref="BP1:BQ1">
    <cfRule type="cellIs" dxfId="4" priority="4" operator="equal">
      <formula>"null"</formula>
    </cfRule>
  </conditionalFormatting>
  <conditionalFormatting sqref="BF519:BG523">
    <cfRule type="cellIs" dxfId="3" priority="3" operator="equal">
      <formula>"null"</formula>
    </cfRule>
  </conditionalFormatting>
  <conditionalFormatting sqref="BH2:BI523">
    <cfRule type="cellIs" dxfId="2" priority="2" operator="equal">
      <formula>"null"</formula>
    </cfRule>
  </conditionalFormatting>
  <conditionalFormatting sqref="BF2:BG518">
    <cfRule type="cellIs" dxfId="1"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2026-08-26T09:29:45Z</dcterms:modified>
</cp:coreProperties>
</file>