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VAC\"/>
    </mc:Choice>
  </mc:AlternateContent>
  <xr:revisionPtr revIDLastSave="0" documentId="13_ncr:1_{BC33D2D9-DB82-4A18-BEDF-3A66791FC0CF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1" i="17" l="1"/>
  <c r="U51" i="17"/>
  <c r="T51" i="17"/>
  <c r="S51" i="17"/>
  <c r="O51" i="17"/>
  <c r="N51" i="17"/>
  <c r="M51" i="17"/>
  <c r="L51" i="17"/>
  <c r="W50" i="17"/>
  <c r="U50" i="17"/>
  <c r="T50" i="17"/>
  <c r="S50" i="17"/>
  <c r="O50" i="17"/>
  <c r="N50" i="17"/>
  <c r="M50" i="17"/>
  <c r="L50" i="17"/>
  <c r="W49" i="17"/>
  <c r="U49" i="17"/>
  <c r="T49" i="17"/>
  <c r="S49" i="17"/>
  <c r="O49" i="17"/>
  <c r="N49" i="17"/>
  <c r="M49" i="17"/>
  <c r="L49" i="17"/>
  <c r="W89" i="17"/>
  <c r="U89" i="17"/>
  <c r="T89" i="17"/>
  <c r="S89" i="17"/>
  <c r="O89" i="17"/>
  <c r="N89" i="17"/>
  <c r="M89" i="17"/>
  <c r="L89" i="17"/>
  <c r="W88" i="17"/>
  <c r="U88" i="17"/>
  <c r="T88" i="17"/>
  <c r="S88" i="17"/>
  <c r="O88" i="17"/>
  <c r="N88" i="17"/>
  <c r="M88" i="17"/>
  <c r="L88" i="17"/>
  <c r="W87" i="17"/>
  <c r="U87" i="17"/>
  <c r="T87" i="17"/>
  <c r="S87" i="17"/>
  <c r="O87" i="17"/>
  <c r="N87" i="17"/>
  <c r="M87" i="17"/>
  <c r="L87" i="17"/>
  <c r="W86" i="17"/>
  <c r="U86" i="17"/>
  <c r="T86" i="17"/>
  <c r="S86" i="17"/>
  <c r="O86" i="17"/>
  <c r="N86" i="17"/>
  <c r="M86" i="17"/>
  <c r="L86" i="17"/>
  <c r="W85" i="17"/>
  <c r="U85" i="17"/>
  <c r="T85" i="17"/>
  <c r="S85" i="17"/>
  <c r="O85" i="17"/>
  <c r="N85" i="17"/>
  <c r="M85" i="17"/>
  <c r="L85" i="17"/>
  <c r="W84" i="17"/>
  <c r="U84" i="17"/>
  <c r="T84" i="17"/>
  <c r="S84" i="17"/>
  <c r="O84" i="17"/>
  <c r="N84" i="17"/>
  <c r="M84" i="17"/>
  <c r="L84" i="17"/>
  <c r="W83" i="17"/>
  <c r="U83" i="17"/>
  <c r="T83" i="17"/>
  <c r="S83" i="17"/>
  <c r="O83" i="17"/>
  <c r="N83" i="17"/>
  <c r="M83" i="17"/>
  <c r="L83" i="17"/>
  <c r="W82" i="17"/>
  <c r="U82" i="17"/>
  <c r="T82" i="17"/>
  <c r="S82" i="17"/>
  <c r="O82" i="17"/>
  <c r="N82" i="17"/>
  <c r="M82" i="17"/>
  <c r="L82" i="17"/>
  <c r="W81" i="17"/>
  <c r="U81" i="17"/>
  <c r="T81" i="17"/>
  <c r="S81" i="17"/>
  <c r="O81" i="17"/>
  <c r="N81" i="17"/>
  <c r="M81" i="17"/>
  <c r="L81" i="17"/>
  <c r="W80" i="17"/>
  <c r="U80" i="17"/>
  <c r="T80" i="17"/>
  <c r="S80" i="17"/>
  <c r="O80" i="17"/>
  <c r="N80" i="17"/>
  <c r="M80" i="17"/>
  <c r="L80" i="17"/>
  <c r="W79" i="17"/>
  <c r="U79" i="17"/>
  <c r="T79" i="17"/>
  <c r="S79" i="17"/>
  <c r="O79" i="17"/>
  <c r="N79" i="17"/>
  <c r="M79" i="17"/>
  <c r="L79" i="17"/>
  <c r="W78" i="17"/>
  <c r="U78" i="17"/>
  <c r="T78" i="17"/>
  <c r="S78" i="17"/>
  <c r="O78" i="17"/>
  <c r="N78" i="17"/>
  <c r="M78" i="17"/>
  <c r="L78" i="17"/>
  <c r="W77" i="17"/>
  <c r="U77" i="17"/>
  <c r="T77" i="17"/>
  <c r="S77" i="17"/>
  <c r="O77" i="17"/>
  <c r="N77" i="17"/>
  <c r="M77" i="17"/>
  <c r="L77" i="17"/>
  <c r="W76" i="17"/>
  <c r="U76" i="17"/>
  <c r="T76" i="17"/>
  <c r="S76" i="17"/>
  <c r="O76" i="17"/>
  <c r="N76" i="17"/>
  <c r="M76" i="17"/>
  <c r="L76" i="17"/>
  <c r="W75" i="17"/>
  <c r="U75" i="17"/>
  <c r="T75" i="17"/>
  <c r="S75" i="17"/>
  <c r="O75" i="17"/>
  <c r="N75" i="17"/>
  <c r="M75" i="17"/>
  <c r="L75" i="17"/>
  <c r="W74" i="17"/>
  <c r="U74" i="17"/>
  <c r="T74" i="17"/>
  <c r="S74" i="17"/>
  <c r="O74" i="17"/>
  <c r="N74" i="17"/>
  <c r="M74" i="17"/>
  <c r="L74" i="17"/>
  <c r="W73" i="17"/>
  <c r="U73" i="17"/>
  <c r="T73" i="17"/>
  <c r="S73" i="17"/>
  <c r="O73" i="17"/>
  <c r="N73" i="17"/>
  <c r="M73" i="17"/>
  <c r="L73" i="17"/>
  <c r="W72" i="17"/>
  <c r="U72" i="17"/>
  <c r="T72" i="17"/>
  <c r="S72" i="17"/>
  <c r="O72" i="17"/>
  <c r="N72" i="17"/>
  <c r="M72" i="17"/>
  <c r="L72" i="17"/>
  <c r="W71" i="17"/>
  <c r="U71" i="17"/>
  <c r="T71" i="17"/>
  <c r="S71" i="17"/>
  <c r="O71" i="17"/>
  <c r="N71" i="17"/>
  <c r="M71" i="17"/>
  <c r="L71" i="17"/>
  <c r="W70" i="17"/>
  <c r="U70" i="17"/>
  <c r="T70" i="17"/>
  <c r="S70" i="17"/>
  <c r="O70" i="17"/>
  <c r="N70" i="17"/>
  <c r="M70" i="17"/>
  <c r="L70" i="17"/>
  <c r="W69" i="17"/>
  <c r="U69" i="17"/>
  <c r="T69" i="17"/>
  <c r="S69" i="17"/>
  <c r="O69" i="17"/>
  <c r="N69" i="17"/>
  <c r="M69" i="17"/>
  <c r="L69" i="17"/>
  <c r="W68" i="17"/>
  <c r="U68" i="17"/>
  <c r="T68" i="17"/>
  <c r="S68" i="17"/>
  <c r="O68" i="17"/>
  <c r="N68" i="17"/>
  <c r="M68" i="17"/>
  <c r="L68" i="17"/>
  <c r="W67" i="17"/>
  <c r="U67" i="17"/>
  <c r="T67" i="17"/>
  <c r="S67" i="17"/>
  <c r="O67" i="17"/>
  <c r="N67" i="17"/>
  <c r="M67" i="17"/>
  <c r="L67" i="17"/>
  <c r="W66" i="17"/>
  <c r="U66" i="17"/>
  <c r="T66" i="17"/>
  <c r="S66" i="17"/>
  <c r="O66" i="17"/>
  <c r="N66" i="17"/>
  <c r="M66" i="17"/>
  <c r="L66" i="17"/>
  <c r="W65" i="17"/>
  <c r="U65" i="17"/>
  <c r="T65" i="17"/>
  <c r="S65" i="17"/>
  <c r="O65" i="17"/>
  <c r="N65" i="17"/>
  <c r="M65" i="17"/>
  <c r="L65" i="17"/>
  <c r="W64" i="17"/>
  <c r="U64" i="17"/>
  <c r="T64" i="17"/>
  <c r="S64" i="17"/>
  <c r="O64" i="17"/>
  <c r="N64" i="17"/>
  <c r="M64" i="17"/>
  <c r="L64" i="17"/>
  <c r="W63" i="17"/>
  <c r="U63" i="17"/>
  <c r="T63" i="17"/>
  <c r="S63" i="17"/>
  <c r="O63" i="17"/>
  <c r="N63" i="17"/>
  <c r="M63" i="17"/>
  <c r="L63" i="17"/>
  <c r="W62" i="17"/>
  <c r="U62" i="17"/>
  <c r="T62" i="17"/>
  <c r="S62" i="17"/>
  <c r="O62" i="17"/>
  <c r="N62" i="17"/>
  <c r="M62" i="17"/>
  <c r="L62" i="17"/>
  <c r="W61" i="17"/>
  <c r="U61" i="17"/>
  <c r="T61" i="17"/>
  <c r="S61" i="17"/>
  <c r="O61" i="17"/>
  <c r="N61" i="17"/>
  <c r="M61" i="17"/>
  <c r="L61" i="17"/>
  <c r="W60" i="17"/>
  <c r="U60" i="17"/>
  <c r="T60" i="17"/>
  <c r="S60" i="17"/>
  <c r="O60" i="17"/>
  <c r="N60" i="17"/>
  <c r="M60" i="17"/>
  <c r="L60" i="17"/>
  <c r="W59" i="17"/>
  <c r="U59" i="17"/>
  <c r="T59" i="17"/>
  <c r="S59" i="17"/>
  <c r="O59" i="17"/>
  <c r="N59" i="17"/>
  <c r="M59" i="17"/>
  <c r="L59" i="17"/>
  <c r="W58" i="17"/>
  <c r="U58" i="17"/>
  <c r="T58" i="17"/>
  <c r="S58" i="17"/>
  <c r="O58" i="17"/>
  <c r="N58" i="17"/>
  <c r="M58" i="17"/>
  <c r="L58" i="17"/>
  <c r="W57" i="17"/>
  <c r="U57" i="17"/>
  <c r="T57" i="17"/>
  <c r="S57" i="17"/>
  <c r="O57" i="17"/>
  <c r="N57" i="17"/>
  <c r="M57" i="17"/>
  <c r="L57" i="17"/>
  <c r="W56" i="17"/>
  <c r="U56" i="17"/>
  <c r="T56" i="17"/>
  <c r="S56" i="17"/>
  <c r="O56" i="17"/>
  <c r="N56" i="17"/>
  <c r="M56" i="17"/>
  <c r="L56" i="17"/>
  <c r="W55" i="17"/>
  <c r="U55" i="17"/>
  <c r="T55" i="17"/>
  <c r="S55" i="17"/>
  <c r="O55" i="17"/>
  <c r="N55" i="17"/>
  <c r="M55" i="17"/>
  <c r="L55" i="17"/>
  <c r="W54" i="17"/>
  <c r="U54" i="17"/>
  <c r="T54" i="17"/>
  <c r="S54" i="17"/>
  <c r="O54" i="17"/>
  <c r="N54" i="17"/>
  <c r="M54" i="17"/>
  <c r="L54" i="17"/>
  <c r="W53" i="17"/>
  <c r="U53" i="17"/>
  <c r="T53" i="17"/>
  <c r="S53" i="17"/>
  <c r="O53" i="17"/>
  <c r="N53" i="17"/>
  <c r="M53" i="17"/>
  <c r="L53" i="17"/>
  <c r="W52" i="17"/>
  <c r="U52" i="17"/>
  <c r="T52" i="17"/>
  <c r="S52" i="17"/>
  <c r="O52" i="17"/>
  <c r="N52" i="17"/>
  <c r="M52" i="17"/>
  <c r="L52" i="17"/>
  <c r="W48" i="17"/>
  <c r="U48" i="17"/>
  <c r="T48" i="17"/>
  <c r="S48" i="17"/>
  <c r="O48" i="17"/>
  <c r="N48" i="17"/>
  <c r="M48" i="17"/>
  <c r="L48" i="17"/>
  <c r="W47" i="17"/>
  <c r="U47" i="17"/>
  <c r="T47" i="17"/>
  <c r="S47" i="17"/>
  <c r="O47" i="17"/>
  <c r="N47" i="17"/>
  <c r="M47" i="17"/>
  <c r="L47" i="17"/>
  <c r="W46" i="17"/>
  <c r="U46" i="17"/>
  <c r="T46" i="17"/>
  <c r="S46" i="17"/>
  <c r="O46" i="17"/>
  <c r="N46" i="17"/>
  <c r="M46" i="17"/>
  <c r="L46" i="17"/>
  <c r="W45" i="17"/>
  <c r="U45" i="17"/>
  <c r="T45" i="17"/>
  <c r="S45" i="17"/>
  <c r="O45" i="17"/>
  <c r="N45" i="17"/>
  <c r="M45" i="17"/>
  <c r="L45" i="17"/>
  <c r="W44" i="17"/>
  <c r="U44" i="17"/>
  <c r="T44" i="17"/>
  <c r="S44" i="17"/>
  <c r="O44" i="17"/>
  <c r="N44" i="17"/>
  <c r="M44" i="17"/>
  <c r="L44" i="17"/>
  <c r="W43" i="17"/>
  <c r="U43" i="17"/>
  <c r="T43" i="17"/>
  <c r="S43" i="17"/>
  <c r="O43" i="17"/>
  <c r="N43" i="17"/>
  <c r="M43" i="17"/>
  <c r="L43" i="17"/>
  <c r="W42" i="17"/>
  <c r="U42" i="17"/>
  <c r="T42" i="17"/>
  <c r="S42" i="17"/>
  <c r="O42" i="17"/>
  <c r="N42" i="17"/>
  <c r="M42" i="17"/>
  <c r="L42" i="17"/>
  <c r="W41" i="17"/>
  <c r="U41" i="17"/>
  <c r="T41" i="17"/>
  <c r="S41" i="17"/>
  <c r="O41" i="17"/>
  <c r="N41" i="17"/>
  <c r="M41" i="17"/>
  <c r="L41" i="17"/>
  <c r="W40" i="17"/>
  <c r="U40" i="17"/>
  <c r="T40" i="17"/>
  <c r="S40" i="17"/>
  <c r="O40" i="17"/>
  <c r="N40" i="17"/>
  <c r="M40" i="17"/>
  <c r="L40" i="17"/>
  <c r="W39" i="17"/>
  <c r="U39" i="17"/>
  <c r="T39" i="17"/>
  <c r="S39" i="17"/>
  <c r="O39" i="17"/>
  <c r="N39" i="17"/>
  <c r="M39" i="17"/>
  <c r="L39" i="17"/>
  <c r="W38" i="17"/>
  <c r="U38" i="17"/>
  <c r="T38" i="17"/>
  <c r="S38" i="17"/>
  <c r="O38" i="17"/>
  <c r="N38" i="17"/>
  <c r="M38" i="17"/>
  <c r="L38" i="17"/>
  <c r="W37" i="17"/>
  <c r="U37" i="17"/>
  <c r="T37" i="17"/>
  <c r="S37" i="17"/>
  <c r="O37" i="17"/>
  <c r="N37" i="17"/>
  <c r="M37" i="17"/>
  <c r="L37" i="17"/>
  <c r="W36" i="17"/>
  <c r="U36" i="17"/>
  <c r="T36" i="17"/>
  <c r="S36" i="17"/>
  <c r="O36" i="17"/>
  <c r="N36" i="17"/>
  <c r="M36" i="17"/>
  <c r="L36" i="17"/>
  <c r="W35" i="17"/>
  <c r="U35" i="17"/>
  <c r="T35" i="17"/>
  <c r="S35" i="17"/>
  <c r="O35" i="17"/>
  <c r="N35" i="17"/>
  <c r="M35" i="17"/>
  <c r="L35" i="17"/>
  <c r="W34" i="17"/>
  <c r="U34" i="17"/>
  <c r="T34" i="17"/>
  <c r="S34" i="17"/>
  <c r="O34" i="17"/>
  <c r="N34" i="17"/>
  <c r="M34" i="17"/>
  <c r="L34" i="17"/>
  <c r="W33" i="17"/>
  <c r="U33" i="17"/>
  <c r="T33" i="17"/>
  <c r="S33" i="17"/>
  <c r="O33" i="17"/>
  <c r="N33" i="17"/>
  <c r="M33" i="17"/>
  <c r="L33" i="17"/>
  <c r="W32" i="17"/>
  <c r="U32" i="17"/>
  <c r="T32" i="17"/>
  <c r="S32" i="17"/>
  <c r="O32" i="17"/>
  <c r="N32" i="17"/>
  <c r="M32" i="17"/>
  <c r="L32" i="17"/>
  <c r="W31" i="17"/>
  <c r="U31" i="17"/>
  <c r="T31" i="17"/>
  <c r="S31" i="17"/>
  <c r="O31" i="17"/>
  <c r="N31" i="17"/>
  <c r="M31" i="17"/>
  <c r="L31" i="17"/>
  <c r="W30" i="17"/>
  <c r="U30" i="17"/>
  <c r="T30" i="17"/>
  <c r="S30" i="17"/>
  <c r="O30" i="17"/>
  <c r="N30" i="17"/>
  <c r="M30" i="17"/>
  <c r="L30" i="17"/>
  <c r="W29" i="17"/>
  <c r="U29" i="17"/>
  <c r="T29" i="17"/>
  <c r="S29" i="17"/>
  <c r="O29" i="17"/>
  <c r="N29" i="17"/>
  <c r="M29" i="17"/>
  <c r="L29" i="17"/>
  <c r="W28" i="17"/>
  <c r="U28" i="17"/>
  <c r="T28" i="17"/>
  <c r="S28" i="17"/>
  <c r="O28" i="17"/>
  <c r="N28" i="17"/>
  <c r="M28" i="17"/>
  <c r="L28" i="17"/>
  <c r="W27" i="17"/>
  <c r="U27" i="17"/>
  <c r="T27" i="17"/>
  <c r="S27" i="17"/>
  <c r="O27" i="17"/>
  <c r="N27" i="17"/>
  <c r="M27" i="17"/>
  <c r="L27" i="17"/>
  <c r="W26" i="17"/>
  <c r="U26" i="17"/>
  <c r="T26" i="17"/>
  <c r="S26" i="17"/>
  <c r="O26" i="17"/>
  <c r="N26" i="17"/>
  <c r="M26" i="17"/>
  <c r="L26" i="17"/>
  <c r="W25" i="17"/>
  <c r="U25" i="17"/>
  <c r="T25" i="17"/>
  <c r="S25" i="17"/>
  <c r="O25" i="17"/>
  <c r="N25" i="17"/>
  <c r="M25" i="17"/>
  <c r="L25" i="17"/>
  <c r="W24" i="17"/>
  <c r="U24" i="17"/>
  <c r="T24" i="17"/>
  <c r="S24" i="17"/>
  <c r="O24" i="17"/>
  <c r="N24" i="17"/>
  <c r="M24" i="17"/>
  <c r="L24" i="17"/>
  <c r="W23" i="17"/>
  <c r="U23" i="17"/>
  <c r="T23" i="17"/>
  <c r="S23" i="17"/>
  <c r="O23" i="17"/>
  <c r="N23" i="17"/>
  <c r="M23" i="17"/>
  <c r="L23" i="17"/>
  <c r="W22" i="17"/>
  <c r="U22" i="17"/>
  <c r="T22" i="17"/>
  <c r="S22" i="17"/>
  <c r="O22" i="17"/>
  <c r="N22" i="17"/>
  <c r="M22" i="17"/>
  <c r="L22" i="17"/>
  <c r="W21" i="17"/>
  <c r="U21" i="17"/>
  <c r="T21" i="17"/>
  <c r="S21" i="17"/>
  <c r="O21" i="17"/>
  <c r="N21" i="17"/>
  <c r="M21" i="17"/>
  <c r="L21" i="17"/>
  <c r="W20" i="17"/>
  <c r="U20" i="17"/>
  <c r="T20" i="17"/>
  <c r="S20" i="17"/>
  <c r="O20" i="17"/>
  <c r="N20" i="17"/>
  <c r="M20" i="17"/>
  <c r="L20" i="17"/>
  <c r="W19" i="17"/>
  <c r="U19" i="17"/>
  <c r="T19" i="17"/>
  <c r="S19" i="17"/>
  <c r="O19" i="17"/>
  <c r="N19" i="17"/>
  <c r="M19" i="17"/>
  <c r="L19" i="17"/>
  <c r="W18" i="17"/>
  <c r="U18" i="17"/>
  <c r="T18" i="17"/>
  <c r="S18" i="17"/>
  <c r="O18" i="17"/>
  <c r="N18" i="17"/>
  <c r="M18" i="17"/>
  <c r="L18" i="17"/>
  <c r="W17" i="17"/>
  <c r="U17" i="17"/>
  <c r="T17" i="17"/>
  <c r="S17" i="17"/>
  <c r="O17" i="17"/>
  <c r="N17" i="17"/>
  <c r="M17" i="17"/>
  <c r="L17" i="17"/>
  <c r="W16" i="17"/>
  <c r="U16" i="17"/>
  <c r="T16" i="17"/>
  <c r="S16" i="17"/>
  <c r="O16" i="17"/>
  <c r="N16" i="17"/>
  <c r="M16" i="17"/>
  <c r="L16" i="17"/>
  <c r="W15" i="17"/>
  <c r="U15" i="17"/>
  <c r="T15" i="17"/>
  <c r="S15" i="17"/>
  <c r="O15" i="17"/>
  <c r="N15" i="17"/>
  <c r="M15" i="17"/>
  <c r="L15" i="17"/>
  <c r="W14" i="17"/>
  <c r="U14" i="17"/>
  <c r="T14" i="17"/>
  <c r="S14" i="17"/>
  <c r="O14" i="17"/>
  <c r="N14" i="17"/>
  <c r="M14" i="17"/>
  <c r="L14" i="17"/>
  <c r="W13" i="17"/>
  <c r="U13" i="17"/>
  <c r="T13" i="17"/>
  <c r="S13" i="17"/>
  <c r="O13" i="17"/>
  <c r="N13" i="17"/>
  <c r="M13" i="17"/>
  <c r="L13" i="17"/>
  <c r="W12" i="17"/>
  <c r="U12" i="17"/>
  <c r="T12" i="17"/>
  <c r="S12" i="17"/>
  <c r="O12" i="17"/>
  <c r="N12" i="17"/>
  <c r="M12" i="17"/>
  <c r="L12" i="17"/>
  <c r="W11" i="17"/>
  <c r="U11" i="17"/>
  <c r="T11" i="17"/>
  <c r="S11" i="17"/>
  <c r="O11" i="17"/>
  <c r="N11" i="17"/>
  <c r="M11" i="17"/>
  <c r="L11" i="17"/>
  <c r="W10" i="17"/>
  <c r="U10" i="17"/>
  <c r="T10" i="17"/>
  <c r="S10" i="17"/>
  <c r="O10" i="17"/>
  <c r="N10" i="17"/>
  <c r="M10" i="17"/>
  <c r="L10" i="17"/>
  <c r="W9" i="17"/>
  <c r="U9" i="17"/>
  <c r="T9" i="17"/>
  <c r="S9" i="17"/>
  <c r="O9" i="17"/>
  <c r="N9" i="17"/>
  <c r="M9" i="17"/>
  <c r="L9" i="17"/>
  <c r="W8" i="17"/>
  <c r="U8" i="17"/>
  <c r="T8" i="17"/>
  <c r="S8" i="17"/>
  <c r="O8" i="17"/>
  <c r="N8" i="17"/>
  <c r="M8" i="17"/>
  <c r="L8" i="17"/>
  <c r="W7" i="17"/>
  <c r="U7" i="17"/>
  <c r="T7" i="17"/>
  <c r="S7" i="17"/>
  <c r="O7" i="17"/>
  <c r="N7" i="17"/>
  <c r="M7" i="17"/>
  <c r="L7" i="17"/>
  <c r="W3" i="17"/>
  <c r="W4" i="17"/>
  <c r="W5" i="17"/>
  <c r="W6" i="17"/>
  <c r="AA51" i="17"/>
  <c r="AA15" i="17"/>
  <c r="AA58" i="17"/>
  <c r="AA29" i="17"/>
  <c r="AA75" i="17"/>
  <c r="AA11" i="17"/>
  <c r="AA71" i="17"/>
  <c r="AA8" i="17"/>
  <c r="AA28" i="17"/>
  <c r="AA45" i="17"/>
  <c r="AA27" i="17"/>
  <c r="AA25" i="17"/>
  <c r="AA69" i="17"/>
  <c r="AA64" i="17"/>
  <c r="AA36" i="17"/>
  <c r="AA73" i="17"/>
  <c r="AA42" i="17"/>
  <c r="AA81" i="17"/>
  <c r="AA78" i="17"/>
  <c r="AA63" i="17"/>
  <c r="AA80" i="17"/>
  <c r="AA79" i="17"/>
  <c r="AA70" i="17"/>
  <c r="AA74" i="17"/>
  <c r="AA55" i="17"/>
  <c r="AA23" i="17"/>
  <c r="AA18" i="17"/>
  <c r="AA82" i="17"/>
  <c r="AA40" i="17"/>
  <c r="AA26" i="17"/>
  <c r="AA49" i="17"/>
  <c r="AA30" i="17"/>
  <c r="AA43" i="17"/>
  <c r="AA38" i="17"/>
  <c r="AA57" i="17"/>
  <c r="AA53" i="17"/>
  <c r="AA24" i="17"/>
  <c r="AA85" i="17"/>
  <c r="AA32" i="17"/>
  <c r="AA66" i="17"/>
  <c r="AA60" i="17"/>
  <c r="AA10" i="17"/>
  <c r="AA41" i="17"/>
  <c r="AA13" i="17"/>
  <c r="AA19" i="17"/>
  <c r="AA83" i="17"/>
  <c r="AA61" i="17"/>
  <c r="AA37" i="17"/>
  <c r="AA50" i="17"/>
  <c r="AA59" i="17"/>
  <c r="AA77" i="17"/>
  <c r="AA14" i="17"/>
  <c r="AA47" i="17"/>
  <c r="AA46" i="17"/>
  <c r="AA21" i="17"/>
  <c r="AA88" i="17"/>
  <c r="AA33" i="17"/>
  <c r="AA56" i="17"/>
  <c r="AA87" i="17"/>
  <c r="AA31" i="17"/>
  <c r="AA65" i="17"/>
  <c r="AA67" i="17"/>
  <c r="AA17" i="17"/>
  <c r="AA68" i="17"/>
  <c r="AA34" i="17"/>
  <c r="AA62" i="17"/>
  <c r="AA76" i="17"/>
  <c r="AA54" i="17"/>
  <c r="AA72" i="17"/>
  <c r="AA9" i="17"/>
  <c r="AA7" i="17"/>
  <c r="AA48" i="17"/>
  <c r="AA52" i="17"/>
  <c r="AA44" i="17"/>
  <c r="AA22" i="17"/>
  <c r="AA89" i="17"/>
  <c r="AA86" i="17"/>
  <c r="AA39" i="17"/>
  <c r="AA35" i="17"/>
  <c r="AA20" i="17"/>
  <c r="AA84" i="17"/>
  <c r="AA12" i="17"/>
  <c r="AA16" i="17"/>
  <c r="W2" i="17" l="1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5" i="17"/>
  <c r="AA6" i="17"/>
  <c r="AA2" i="17"/>
  <c r="AA3" i="17"/>
  <c r="AA4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<sst xmlns="http://schemas.openxmlformats.org/spreadsheetml/2006/main" count="1868" uniqueCount="503">
  <si>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</si>
  <si>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</si>
  <si>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</si>
  <si>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</si>
  <si>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</si>
  <si>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</si>
  <si>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</si>
  <si>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</si>
  <si>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</si>
  <si>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</si>
  <si>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</si>
  <si>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</si>
  <si>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</si>
  <si>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</si>
  <si>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</si>
  <si>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</si>
  <si>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</si>
  <si>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</si>
  <si>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</si>
  <si>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</si>
  <si>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</si>
  <si>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</si>
  <si>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</si>
  <si>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</si>
  <si>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</si>
  <si>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</si>
  <si>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</si>
  <si>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</si>
  <si>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</si>
  <si>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</si>
  <si>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</si>
  <si>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</si>
  <si>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</si>
  <si>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</si>
  <si>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</si>
  <si>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</si>
  <si>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</si>
  <si>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</si>
  <si>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</si>
  <si>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</si>
  <si>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</si>
  <si>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</si>
  <si>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</si>
  <si>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</si>
  <si>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</si>
  <si>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</si>
  <si>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</si>
  <si>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</si>
  <si>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</si>
  <si>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</si>
  <si>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</si>
  <si>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</si>
  <si>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</si>
  <si>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</si>
  <si>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</si>
  <si>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</si>
  <si>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</si>
  <si>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</si>
  <si>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</si>
  <si>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</si>
  <si>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</si>
  <si>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</si>
  <si>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</si>
  <si>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</si>
  <si>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</si>
  <si>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</si>
  <si>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</si>
  <si>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</si>
  <si>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</si>
  <si>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</si>
  <si>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</si>
  <si>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</si>
  <si>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</si>
  <si>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</si>
  <si>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</si>
  <si>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</si>
  <si>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</si>
  <si>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</si>
  <si>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</si>
  <si>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</si>
  <si>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</si>
  <si>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</si>
  <si>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</si>
  <si>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</si>
  <si>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</si>
  <si>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</si>
  <si>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</si>
  <si>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</si>
  <si>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</si>
  <si>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</si>
  <si>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</si>
  <si>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</si>
  <si>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</si>
  <si>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</si>
  <si>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</si>
  <si>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</si>
  <si>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</si>
  <si>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</si>
  <si>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</si>
  <si>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</si>
  <si>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</si>
  <si>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</si>
  <si>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</si>
  <si>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</si>
  <si>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</si>
  <si>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</si>
  <si>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</si>
  <si>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</si>
  <si>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</si>
  <si>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</si>
  <si>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</si>
  <si>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</si>
  <si>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</si>
  <si>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</si>
  <si>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</si>
  <si>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</si>
  <si>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</si>
  <si>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</si>
  <si>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</si>
  <si>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</si>
  <si>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</si>
  <si>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</si>
  <si>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</si>
  <si>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</si>
  <si>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</si>
  <si>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</si>
  <si>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</si>
  <si>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</si>
  <si>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</si>
  <si>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</si>
  <si>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</si>
  <si>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</si>
  <si>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</si>
  <si>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</si>
  <si>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</si>
  <si>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</si>
  <si>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</si>
  <si>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</si>
  <si>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</si>
  <si>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</si>
  <si>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</si>
  <si>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</si>
  <si>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</si>
  <si>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</si>
  <si>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</si>
  <si>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</si>
  <si>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</si>
  <si>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</si>
  <si>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</si>
  <si>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</si>
  <si>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</si>
  <si>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</si>
  <si>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</si>
  <si>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</si>
  <si>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</si>
  <si>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</si>
  <si>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</si>
  <si>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</si>
  <si>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</si>
  <si>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</si>
  <si>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</si>
  <si>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</si>
  <si>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</si>
  <si>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</si>
  <si>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</si>
  <si>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</si>
  <si>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</si>
  <si>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</si>
  <si>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</si>
  <si>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Contêiner</t>
  </si>
  <si>
    <t>Gestão</t>
  </si>
  <si>
    <t>Informação</t>
  </si>
  <si>
    <t>é.pertencente.a</t>
  </si>
  <si>
    <t>CategoriaRvt</t>
  </si>
  <si>
    <t>ClasseIFC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</si>
  <si>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</si>
  <si>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</si>
  <si>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</si>
  <si>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</si>
  <si>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</si>
  <si>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</si>
  <si>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</si>
  <si>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</si>
  <si>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</si>
  <si>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</si>
  <si>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</si>
  <si>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</si>
  <si>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</si>
  <si>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</si>
  <si>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</si>
  <si>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</si>
  <si>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</si>
  <si>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</si>
  <si>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</si>
  <si>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</si>
  <si>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</si>
  <si>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</si>
  <si>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</si>
  <si>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</si>
  <si>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</si>
  <si>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</si>
  <si>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</si>
  <si>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</si>
  <si>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</si>
  <si>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</si>
  <si>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</si>
  <si>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</si>
  <si>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</si>
  <si>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</si>
  <si>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</si>
  <si>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</si>
  <si>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</si>
  <si>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</si>
  <si>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</si>
  <si>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</si>
  <si>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</si>
  <si>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"-"</t>
  </si>
  <si>
    <t>"[ OST_DuctSystem , OST_DuctCurves , OST_DuctFitting , OST_DuctAccessory , OST_DuctTerminal ]"</t>
  </si>
  <si>
    <t>"[ IfcDistributionSystem , IfcDuctSegment , IfcDuctFitting , IfcDiscreteAccessory , IfcDuctSilencer , IfcJunctionBox , IfcAirTerminalBox , IfcAirTerminal ]"</t>
  </si>
  <si>
    <t>Definida</t>
  </si>
  <si>
    <t>No.Projeto</t>
  </si>
  <si>
    <t>Define um contêiner de informação de acordo à norma NBR 19650-1. Definição do Projeto.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</si>
  <si>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</si>
  <si>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</si>
  <si>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</si>
  <si>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</si>
  <si>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</si>
  <si>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</si>
  <si>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</si>
  <si>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</si>
  <si>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</si>
  <si>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</si>
  <si>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</si>
  <si>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</si>
  <si>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</si>
  <si>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</si>
  <si>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</si>
  <si>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</si>
  <si>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</si>
  <si>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</si>
  <si>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</si>
  <si>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</si>
  <si>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</si>
  <si>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</si>
  <si>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</si>
  <si>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</si>
  <si>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</si>
  <si>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</si>
  <si>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</si>
  <si>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</si>
  <si>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</si>
  <si>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</si>
  <si>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</si>
  <si>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</si>
  <si>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</si>
  <si>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</si>
  <si>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</si>
  <si>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</si>
  <si>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</si>
  <si>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</si>
  <si>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</si>
  <si>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</si>
  <si>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</si>
  <si>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</si>
  <si>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</si>
  <si>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</si>
  <si>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</si>
  <si>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</si>
  <si>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</si>
  <si>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</si>
  <si>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</si>
  <si>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</si>
  <si>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</si>
  <si>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</si>
  <si>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</si>
  <si>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</si>
  <si>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</si>
  <si>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</si>
  <si>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</si>
  <si>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</si>
  <si>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</si>
  <si>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</si>
  <si>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</si>
  <si>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</si>
  <si>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</si>
  <si>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</si>
  <si>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</si>
  <si>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</si>
  <si>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</si>
  <si>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</si>
  <si>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</si>
  <si>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</si>
  <si>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</si>
  <si>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</si>
  <si>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</si>
  <si>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</si>
  <si>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</si>
  <si>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</si>
  <si>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</si>
  <si>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</si>
  <si>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</si>
  <si>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</si>
  <si>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</si>
  <si>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</si>
  <si>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</si>
  <si>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</si>
  <si>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</si>
  <si>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</si>
  <si>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</si>
  <si>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</si>
  <si>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</si>
  <si>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</si>
  <si>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</si>
  <si>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</si>
  <si>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</si>
  <si>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</si>
  <si>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</si>
  <si>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</si>
  <si>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</si>
  <si>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</si>
  <si>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</si>
  <si>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</si>
  <si>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</si>
  <si>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</si>
  <si>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</si>
  <si>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</si>
  <si>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</si>
  <si>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</si>
  <si>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</si>
  <si>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</si>
  <si>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</si>
  <si>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</si>
  <si>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</si>
  <si>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</si>
  <si>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</si>
  <si>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</si>
  <si>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</si>
  <si>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</si>
  <si>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</si>
  <si>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</si>
  <si>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</si>
  <si>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</si>
  <si>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</si>
  <si>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</si>
  <si>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</si>
  <si>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</si>
  <si>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</si>
  <si>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</si>
  <si>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</si>
  <si>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</si>
  <si>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</si>
  <si>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</si>
  <si>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</si>
  <si>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</si>
  <si>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</si>
  <si>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</si>
  <si>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</si>
  <si>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</si>
  <si>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</si>
  <si>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</si>
  <si>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</si>
  <si>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</si>
  <si>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</si>
  <si>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</si>
  <si>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</si>
  <si>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</si>
  <si>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</si>
  <si>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</si>
  <si>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</si>
  <si>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</si>
  <si>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</si>
  <si>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</si>
  <si>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</si>
  <si>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</si>
  <si>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</si>
  <si>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</si>
  <si>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</si>
  <si>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</si>
  <si>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</si>
  <si>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</si>
  <si>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</si>
  <si>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</si>
  <si>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</si>
  <si>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</si>
  <si>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</si>
  <si>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</si>
  <si>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</si>
  <si>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</si>
  <si>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</si>
  <si>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</si>
  <si>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</si>
  <si>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</si>
  <si>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</si>
  <si>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</si>
  <si>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</si>
  <si>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</si>
  <si>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</si>
  <si>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</si>
  <si>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</si>
  <si>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</si>
  <si>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</si>
  <si>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</si>
  <si>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</si>
  <si>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</si>
  <si>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</si>
  <si>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</si>
  <si>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</si>
  <si>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</si>
  <si>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</si>
  <si>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</si>
  <si>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</si>
  <si>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</si>
  <si>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</si>
  <si>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</si>
  <si>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</si>
  <si>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</si>
  <si>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</si>
  <si>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</si>
  <si>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</si>
  <si>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</si>
  <si>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</si>
  <si>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</si>
  <si>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</si>
  <si>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</si>
  <si>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</si>
  <si>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</si>
  <si>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</si>
  <si>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</si>
  <si>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</si>
  <si>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</si>
  <si>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</si>
  <si>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</si>
  <si>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</si>
  <si>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</si>
  <si>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</si>
  <si>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</si>
  <si>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</si>
  <si>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</si>
  <si>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</si>
  <si>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</si>
  <si>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</si>
  <si>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</si>
  <si>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</si>
  <si>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</si>
  <si>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</si>
  <si>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</si>
  <si>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</si>
  <si>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</si>
  <si>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</si>
  <si>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</si>
  <si>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</si>
  <si>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</si>
  <si>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</si>
  <si>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</si>
  <si>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</si>
  <si>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</si>
  <si>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</si>
  <si>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</si>
  <si>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</si>
  <si>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</si>
  <si>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</si>
  <si>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</si>
  <si>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Elementos.de.Climatização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</si>
  <si>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</si>
  <si>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</si>
  <si>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</si>
  <si>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</si>
  <si>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</si>
  <si>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</si>
  <si>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</si>
  <si>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Dutos.Ar</t>
  </si>
  <si>
    <t>Dutos.Ex</t>
  </si>
  <si>
    <t>"Conteiner de Dutos de Ar condicionado do projeto 1"</t>
  </si>
  <si>
    <t>"Conteiner de Dutos de Exaustão do projeto 1"</t>
  </si>
  <si>
    <t>Projeto01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</si>
  <si>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</si>
  <si>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</si>
  <si>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</si>
  <si>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</si>
  <si>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</si>
  <si>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</si>
  <si>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Climatização</t>
  </si>
  <si>
    <t>Elétrica.de.Climatização</t>
  </si>
  <si>
    <t>Sistemas.Elétricos.de.Climatização</t>
  </si>
  <si>
    <t>Sistemas.de.Climatização</t>
  </si>
  <si>
    <t>Sistema.Climatizador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</si>
  <si>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</si>
  <si>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</si>
  <si>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</si>
  <si>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Arquitetura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</si>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</sst>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5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11" fillId="0" borderId="0" xfId="0" applyFont="1"/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4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22" borderId="4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/>
    </xf>
    <xf numFmtId="0" fontId="2" fillId="23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3" fillId="3" borderId="7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4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74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61328125" bestFit="1" customWidth="1"/>
    <col min="3" max="3" width="3.4609375" style="57" bestFit="1" customWidth="1"/>
  </cols>
  <sheetData>
    <row r="1" spans="1:3" ht="19.399999999999999" customHeight="1" x14ac:dyDescent="0.4">
      <c r="A1" s="12" t="s">
        <v>44</v>
      </c>
      <c r="B1" s="12" t="s">
        <v>45</v>
      </c>
      <c r="C1" s="55" t="s">
        <v>206</v>
      </c>
    </row>
    <row r="2" spans="1:3" ht="8.6999999999999993" customHeight="1" x14ac:dyDescent="0.4">
      <c r="A2" s="13" t="s">
        <v>46</v>
      </c>
      <c r="B2" s="13" t="s">
        <v>47</v>
      </c>
      <c r="C2" s="56" t="s">
        <v>207</v>
      </c>
    </row>
    <row r="3" spans="1:3" ht="8.6999999999999993" customHeight="1" x14ac:dyDescent="0.4">
      <c r="A3" s="13" t="s">
        <v>48</v>
      </c>
      <c r="B3" s="13" t="s">
        <v>175</v>
      </c>
      <c r="C3" s="56" t="s">
        <v>207</v>
      </c>
    </row>
    <row r="4" spans="1:3" ht="8.6999999999999993" customHeight="1" x14ac:dyDescent="0.4">
      <c r="A4" s="14" t="s">
        <v>49</v>
      </c>
      <c r="B4" s="14" t="s">
        <v>32</v>
      </c>
      <c r="C4" s="56" t="s">
        <v>207</v>
      </c>
    </row>
    <row r="5" spans="1:3" ht="8.6999999999999993" customHeight="1" x14ac:dyDescent="0.4">
      <c r="A5" s="14" t="s">
        <v>50</v>
      </c>
      <c r="B5" s="14" t="str">
        <f>_xlfn.CONCAT(B4,"Prop")</f>
        <v>BIMProp</v>
      </c>
      <c r="C5" s="56" t="s">
        <v>207</v>
      </c>
    </row>
    <row r="6" spans="1:3" ht="8.6999999999999993" customHeight="1" x14ac:dyDescent="0.4">
      <c r="A6" s="14" t="s">
        <v>51</v>
      </c>
      <c r="B6" s="14" t="str">
        <f>_xlfn.CONCAT(B4,"Data")</f>
        <v>BIMData</v>
      </c>
      <c r="C6" s="56" t="s">
        <v>207</v>
      </c>
    </row>
    <row r="7" spans="1:3" ht="8.6999999999999993" customHeight="1" x14ac:dyDescent="0.4">
      <c r="A7" s="14" t="s">
        <v>52</v>
      </c>
      <c r="B7" s="15" t="s">
        <v>53</v>
      </c>
      <c r="C7" s="56" t="s">
        <v>207</v>
      </c>
    </row>
    <row r="8" spans="1:3" ht="9" customHeight="1" x14ac:dyDescent="0.4">
      <c r="A8" s="14" t="s">
        <v>54</v>
      </c>
      <c r="B8" s="14" t="s">
        <v>205</v>
      </c>
      <c r="C8" s="56" t="s">
        <v>207</v>
      </c>
    </row>
    <row r="9" spans="1:3" ht="8.6999999999999993" customHeight="1" x14ac:dyDescent="0.4">
      <c r="A9" s="14" t="s">
        <v>55</v>
      </c>
      <c r="B9" s="14" t="s">
        <v>56</v>
      </c>
      <c r="C9" s="56" t="s">
        <v>207</v>
      </c>
    </row>
    <row r="10" spans="1:3" ht="8.6999999999999993" customHeight="1" x14ac:dyDescent="0.4">
      <c r="A10" s="14" t="s">
        <v>57</v>
      </c>
      <c r="B10" s="14" t="s">
        <v>58</v>
      </c>
      <c r="C10" s="56" t="s">
        <v>207</v>
      </c>
    </row>
    <row r="11" spans="1:3" ht="8.6999999999999993" customHeight="1" x14ac:dyDescent="0.4">
      <c r="A11" s="14" t="s">
        <v>59</v>
      </c>
      <c r="B11" s="14" t="s">
        <v>58</v>
      </c>
      <c r="C11" s="56" t="s">
        <v>207</v>
      </c>
    </row>
    <row r="12" spans="1:3" ht="8.6999999999999993" customHeight="1" x14ac:dyDescent="0.4">
      <c r="A12" s="14" t="s">
        <v>60</v>
      </c>
      <c r="B12" s="14" t="s">
        <v>58</v>
      </c>
      <c r="C12" s="56" t="s">
        <v>207</v>
      </c>
    </row>
    <row r="13" spans="1:3" ht="8.6999999999999993" customHeight="1" x14ac:dyDescent="0.4">
      <c r="A13" s="14" t="s">
        <v>61</v>
      </c>
      <c r="B13" s="14" t="s">
        <v>58</v>
      </c>
      <c r="C13" s="56" t="s">
        <v>207</v>
      </c>
    </row>
    <row r="14" spans="1:3" ht="8.6999999999999993" customHeight="1" x14ac:dyDescent="0.4">
      <c r="A14" s="14" t="s">
        <v>62</v>
      </c>
      <c r="B14" s="14" t="s">
        <v>58</v>
      </c>
      <c r="C14" s="56" t="s">
        <v>207</v>
      </c>
    </row>
    <row r="15" spans="1:3" ht="8.6999999999999993" customHeight="1" x14ac:dyDescent="0.4">
      <c r="A15" s="14" t="s">
        <v>63</v>
      </c>
      <c r="B15" s="14" t="s">
        <v>58</v>
      </c>
      <c r="C15" s="56" t="s">
        <v>207</v>
      </c>
    </row>
    <row r="16" spans="1:3" ht="8.6999999999999993" customHeight="1" x14ac:dyDescent="0.4">
      <c r="A16" s="14" t="s">
        <v>64</v>
      </c>
      <c r="B16" s="14" t="s">
        <v>58</v>
      </c>
      <c r="C16" s="56" t="s">
        <v>207</v>
      </c>
    </row>
    <row r="17" spans="1:3" ht="8.6999999999999993" customHeight="1" x14ac:dyDescent="0.4">
      <c r="A17" s="14" t="s">
        <v>65</v>
      </c>
      <c r="B17" s="14" t="s">
        <v>166</v>
      </c>
      <c r="C17" s="56" t="s">
        <v>207</v>
      </c>
    </row>
    <row r="18" spans="1:3" ht="8.6999999999999993" customHeight="1" x14ac:dyDescent="0.4">
      <c r="A18" s="14" t="s">
        <v>66</v>
      </c>
      <c r="B18" s="16">
        <f ca="1">NOW()</f>
        <v>46152.490990509257</v>
      </c>
      <c r="C18" s="56" t="s">
        <v>207</v>
      </c>
    </row>
    <row r="19" spans="1:3" ht="9" customHeight="1" x14ac:dyDescent="0.4">
      <c r="A19" s="14" t="s">
        <v>210</v>
      </c>
      <c r="B19" s="16" t="s">
        <v>211</v>
      </c>
      <c r="C19" s="56" t="s">
        <v>207</v>
      </c>
    </row>
    <row r="20" spans="1:3" ht="9" customHeight="1" x14ac:dyDescent="0.4">
      <c r="A20" s="14" t="s">
        <v>212</v>
      </c>
      <c r="B20" s="16" t="str">
        <f>_xlfn.TRANSLATE(B19,"pt","es")</f>
        <v>Traducciones al español e inglés incorporadas. Las traducciones deben revisarse constantemente</v>
      </c>
      <c r="C20" s="56" t="s">
        <v>208</v>
      </c>
    </row>
    <row r="21" spans="1:3" ht="9" customHeight="1" x14ac:dyDescent="0.4">
      <c r="A21" s="14" t="s">
        <v>213</v>
      </c>
      <c r="B21" s="16" t="str">
        <f>_xlfn.TRANSLATE(B19,"pt","en")</f>
        <v>Translations in Spanish and English incorporated. Translations must be constantly reviewed</v>
      </c>
      <c r="C21" s="56" t="s">
        <v>209</v>
      </c>
    </row>
    <row r="22" spans="1:3" ht="8.6999999999999993" customHeight="1" x14ac:dyDescent="0.4">
      <c r="A22" s="14" t="s">
        <v>67</v>
      </c>
      <c r="B22" s="14" t="s">
        <v>58</v>
      </c>
      <c r="C22" s="56" t="s">
        <v>207</v>
      </c>
    </row>
    <row r="23" spans="1:3" ht="8.6999999999999993" customHeight="1" x14ac:dyDescent="0.4">
      <c r="A23" s="14" t="s">
        <v>68</v>
      </c>
      <c r="B23" s="14" t="s">
        <v>58</v>
      </c>
      <c r="C23" s="56" t="s">
        <v>207</v>
      </c>
    </row>
    <row r="24" spans="1:3" ht="8.6999999999999993" customHeight="1" x14ac:dyDescent="0.4">
      <c r="A24" s="14" t="s">
        <v>69</v>
      </c>
      <c r="B24" s="17" t="s">
        <v>177</v>
      </c>
      <c r="C24" s="56" t="s">
        <v>207</v>
      </c>
    </row>
    <row r="25" spans="1:3" ht="8.6999999999999993" customHeight="1" x14ac:dyDescent="0.4">
      <c r="A25" s="14" t="s">
        <v>70</v>
      </c>
      <c r="B25" s="17" t="s">
        <v>176</v>
      </c>
      <c r="C25" s="56" t="s">
        <v>208</v>
      </c>
    </row>
    <row r="26" spans="1:3" ht="9" customHeight="1" x14ac:dyDescent="0.4">
      <c r="A26" s="14" t="s">
        <v>204</v>
      </c>
      <c r="B26" s="17" t="str">
        <f>_xlfn.TRANSLATE(B24,"pt","en")</f>
        <v>Formalize elements of the BIM project. HVAC.</v>
      </c>
      <c r="C26" s="56" t="s">
        <v>209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89"/>
  <sheetViews>
    <sheetView zoomScale="175" zoomScaleNormal="175" workbookViewId="0">
      <pane ySplit="1" topLeftCell="A2" activePane="bottomLeft" state="frozen"/>
      <selection activeCell="A179" sqref="A179:XFD190"/>
      <selection pane="bottomLeft" activeCell="F8" sqref="F8"/>
    </sheetView>
  </sheetViews>
  <sheetFormatPr defaultColWidth="7.84375" defaultRowHeight="6.65" customHeight="1" x14ac:dyDescent="0.4"/>
  <cols>
    <col min="1" max="1" width="2.53515625" customWidth="1"/>
    <col min="2" max="2" width="4.15234375" customWidth="1"/>
    <col min="3" max="3" width="6.61328125" customWidth="1"/>
    <col min="4" max="4" width="14.15234375" customWidth="1"/>
    <col min="5" max="5" width="12.15234375" customWidth="1"/>
    <col min="6" max="6" width="16.15234375" bestFit="1" customWidth="1"/>
    <col min="7" max="7" width="4.69140625" style="41" bestFit="1" customWidth="1"/>
    <col min="8" max="8" width="4.765625" style="41" bestFit="1" customWidth="1"/>
    <col min="9" max="11" width="4.69140625" style="41" bestFit="1" customWidth="1"/>
    <col min="12" max="12" width="6.69140625" customWidth="1"/>
    <col min="13" max="13" width="13.69140625" bestFit="1" customWidth="1"/>
    <col min="14" max="14" width="11.69140625" bestFit="1" customWidth="1"/>
    <col min="15" max="15" width="16.69140625" bestFit="1" customWidth="1"/>
    <col min="16" max="16" width="66" bestFit="1" customWidth="1"/>
    <col min="17" max="17" width="53.69140625" bestFit="1" customWidth="1"/>
    <col min="18" max="18" width="3" bestFit="1" customWidth="1"/>
    <col min="19" max="19" width="7.921875" customWidth="1"/>
    <col min="20" max="20" width="11.61328125" customWidth="1"/>
    <col min="21" max="21" width="11.84375" customWidth="1"/>
    <col min="22" max="22" width="5.3046875" customWidth="1"/>
    <col min="23" max="23" width="6.3046875" style="64" customWidth="1"/>
    <col min="24" max="24" width="13.3828125" customWidth="1"/>
    <col min="25" max="25" width="21.4609375" customWidth="1"/>
    <col min="26" max="26" width="3.84375" style="41" bestFit="1" customWidth="1"/>
    <col min="27" max="27" width="64.84375" bestFit="1" customWidth="1"/>
  </cols>
  <sheetData>
    <row r="1" spans="1:27" s="48" customFormat="1" ht="41.7" customHeight="1" x14ac:dyDescent="0.2">
      <c r="A1" s="43">
        <v>1</v>
      </c>
      <c r="B1" s="44" t="s">
        <v>41</v>
      </c>
      <c r="C1" s="44" t="s">
        <v>39</v>
      </c>
      <c r="D1" s="44" t="s">
        <v>40</v>
      </c>
      <c r="E1" s="44" t="s">
        <v>38</v>
      </c>
      <c r="F1" s="44" t="s">
        <v>179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6" t="s">
        <v>5</v>
      </c>
      <c r="M1" s="46" t="s">
        <v>6</v>
      </c>
      <c r="N1" s="46" t="s">
        <v>159</v>
      </c>
      <c r="O1" s="46" t="s">
        <v>7</v>
      </c>
      <c r="P1" s="46" t="s">
        <v>36</v>
      </c>
      <c r="Q1" s="46" t="s">
        <v>42</v>
      </c>
      <c r="R1" s="47" t="s">
        <v>165</v>
      </c>
      <c r="S1" s="46" t="s">
        <v>33</v>
      </c>
      <c r="T1" s="46" t="s">
        <v>37</v>
      </c>
      <c r="U1" s="46" t="s">
        <v>35</v>
      </c>
      <c r="V1" s="46" t="s">
        <v>34</v>
      </c>
      <c r="W1" s="44" t="s">
        <v>8</v>
      </c>
      <c r="X1" s="53" t="s">
        <v>173</v>
      </c>
      <c r="Y1" s="53" t="s">
        <v>174</v>
      </c>
      <c r="Z1" s="65" t="s">
        <v>202</v>
      </c>
      <c r="AA1" s="54" t="s">
        <v>203</v>
      </c>
    </row>
    <row r="2" spans="1:27" ht="6.65" customHeight="1" x14ac:dyDescent="0.4">
      <c r="A2" s="34">
        <v>2</v>
      </c>
      <c r="B2" s="1" t="s">
        <v>170</v>
      </c>
      <c r="C2" s="36" t="s">
        <v>169</v>
      </c>
      <c r="D2" s="1" t="s">
        <v>171</v>
      </c>
      <c r="E2" s="1" t="s">
        <v>219</v>
      </c>
      <c r="F2" s="36" t="s">
        <v>220</v>
      </c>
      <c r="G2" s="42" t="s">
        <v>9</v>
      </c>
      <c r="H2" s="42" t="s">
        <v>9</v>
      </c>
      <c r="I2" s="42" t="s">
        <v>9</v>
      </c>
      <c r="J2" s="42" t="s">
        <v>9</v>
      </c>
      <c r="K2" s="42" t="s">
        <v>9</v>
      </c>
      <c r="L2" s="37" t="str">
        <f t="shared" ref="L2:M17" si="0">CONCATENATE("", C2)</f>
        <v>Contêiner</v>
      </c>
      <c r="M2" s="37" t="str">
        <f t="shared" si="0"/>
        <v>Informação</v>
      </c>
      <c r="N2" s="37" t="str">
        <f t="shared" ref="N2:O17" si="1">(SUBSTITUTE(SUBSTITUTE(CONCATENATE("",E2),"."," ")," De "," de "))</f>
        <v>Definida</v>
      </c>
      <c r="O2" s="37" t="str">
        <f t="shared" si="1"/>
        <v>No Projeto</v>
      </c>
      <c r="P2" s="32" t="s">
        <v>221</v>
      </c>
      <c r="Q2" s="32" t="s">
        <v>287</v>
      </c>
      <c r="R2" s="38" t="s">
        <v>9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39" t="s">
        <v>231</v>
      </c>
      <c r="W2" s="68" t="str">
        <f>CONCATENATE("Key-AVA-",A2)</f>
        <v>Key-AVA-2</v>
      </c>
      <c r="X2" s="32" t="s">
        <v>9</v>
      </c>
      <c r="Y2" s="32" t="s">
        <v>9</v>
      </c>
      <c r="Z2" s="38" t="s">
        <v>9</v>
      </c>
      <c r="AA2" s="32" t="str">
        <f t="shared" ref="AA2:AA68" si="3">_xlfn.TRANSLATE(P2,"pt","en")</f>
        <v>Defines an information container in accordance with the NBR 19650-1 standard. Project Definition.</v>
      </c>
    </row>
    <row r="3" spans="1:27" ht="6.65" customHeight="1" x14ac:dyDescent="0.4">
      <c r="A3" s="34">
        <v>3</v>
      </c>
      <c r="B3" s="1" t="s">
        <v>170</v>
      </c>
      <c r="C3" s="36" t="s">
        <v>169</v>
      </c>
      <c r="D3" s="1" t="s">
        <v>171</v>
      </c>
      <c r="E3" s="1" t="s">
        <v>222</v>
      </c>
      <c r="F3" s="36" t="s">
        <v>223</v>
      </c>
      <c r="G3" s="42" t="s">
        <v>9</v>
      </c>
      <c r="H3" s="42" t="s">
        <v>9</v>
      </c>
      <c r="I3" s="42" t="s">
        <v>9</v>
      </c>
      <c r="J3" s="42" t="s">
        <v>9</v>
      </c>
      <c r="K3" s="42" t="s">
        <v>9</v>
      </c>
      <c r="L3" s="37" t="str">
        <f t="shared" si="0"/>
        <v>Contêiner</v>
      </c>
      <c r="M3" s="37" t="str">
        <f t="shared" si="0"/>
        <v>Informação</v>
      </c>
      <c r="N3" s="37" t="str">
        <f t="shared" si="1"/>
        <v>Requerida</v>
      </c>
      <c r="O3" s="37" t="str">
        <f t="shared" si="1"/>
        <v>Requisito Espacial</v>
      </c>
      <c r="P3" s="32" t="s">
        <v>224</v>
      </c>
      <c r="Q3" s="32" t="s">
        <v>288</v>
      </c>
      <c r="R3" s="38" t="s">
        <v>9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39" t="s">
        <v>231</v>
      </c>
      <c r="W3" s="68" t="str">
        <f t="shared" ref="W3:W69" si="4">CONCATENATE("Key-AVA-",A3)</f>
        <v>Key-AVA-3</v>
      </c>
      <c r="X3" s="32" t="s">
        <v>9</v>
      </c>
      <c r="Y3" s="32" t="s">
        <v>9</v>
      </c>
      <c r="Z3" s="38" t="s">
        <v>9</v>
      </c>
      <c r="AA3" s="32" t="str">
        <f t="shared" si="3"/>
        <v>Defines an information container in accordance with the NBR 19650-1 standard. Spatial Requirements for the Project.</v>
      </c>
    </row>
    <row r="4" spans="1:27" ht="6.65" customHeight="1" x14ac:dyDescent="0.4">
      <c r="A4" s="34">
        <v>4</v>
      </c>
      <c r="B4" s="1" t="s">
        <v>170</v>
      </c>
      <c r="C4" s="36" t="s">
        <v>169</v>
      </c>
      <c r="D4" s="1" t="s">
        <v>171</v>
      </c>
      <c r="E4" s="1" t="s">
        <v>222</v>
      </c>
      <c r="F4" s="36" t="s">
        <v>225</v>
      </c>
      <c r="G4" s="42" t="s">
        <v>9</v>
      </c>
      <c r="H4" s="42" t="s">
        <v>9</v>
      </c>
      <c r="I4" s="42" t="s">
        <v>9</v>
      </c>
      <c r="J4" s="42" t="s">
        <v>9</v>
      </c>
      <c r="K4" s="42" t="s">
        <v>9</v>
      </c>
      <c r="L4" s="37" t="str">
        <f t="shared" si="0"/>
        <v>Contêiner</v>
      </c>
      <c r="M4" s="37" t="str">
        <f t="shared" si="0"/>
        <v>Informação</v>
      </c>
      <c r="N4" s="37" t="str">
        <f t="shared" si="1"/>
        <v>Requerida</v>
      </c>
      <c r="O4" s="37" t="str">
        <f t="shared" si="1"/>
        <v>Requisito Mobiliário</v>
      </c>
      <c r="P4" s="32" t="s">
        <v>226</v>
      </c>
      <c r="Q4" s="32" t="s">
        <v>289</v>
      </c>
      <c r="R4" s="38" t="s">
        <v>9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39" t="s">
        <v>231</v>
      </c>
      <c r="W4" s="68" t="str">
        <f t="shared" si="4"/>
        <v>Key-AVA-4</v>
      </c>
      <c r="X4" s="32" t="s">
        <v>9</v>
      </c>
      <c r="Y4" s="32" t="s">
        <v>9</v>
      </c>
      <c r="Z4" s="38" t="s">
        <v>9</v>
      </c>
      <c r="AA4" s="32" t="str">
        <f t="shared" si="3"/>
        <v>Defines an information container in accordance with the NBR 19650-1 standard. Furniture Requirements for the Project.</v>
      </c>
    </row>
    <row r="5" spans="1:27" ht="6.65" customHeight="1" x14ac:dyDescent="0.4">
      <c r="A5" s="34">
        <v>5</v>
      </c>
      <c r="B5" s="1" t="s">
        <v>170</v>
      </c>
      <c r="C5" s="36" t="s">
        <v>169</v>
      </c>
      <c r="D5" s="1" t="s">
        <v>171</v>
      </c>
      <c r="E5" s="1" t="s">
        <v>222</v>
      </c>
      <c r="F5" s="36" t="s">
        <v>227</v>
      </c>
      <c r="G5" s="42" t="s">
        <v>9</v>
      </c>
      <c r="H5" s="42" t="s">
        <v>9</v>
      </c>
      <c r="I5" s="42" t="s">
        <v>9</v>
      </c>
      <c r="J5" s="42" t="s">
        <v>9</v>
      </c>
      <c r="K5" s="42" t="s">
        <v>9</v>
      </c>
      <c r="L5" s="37" t="str">
        <f t="shared" si="0"/>
        <v>Contêiner</v>
      </c>
      <c r="M5" s="37" t="str">
        <f t="shared" si="0"/>
        <v>Informação</v>
      </c>
      <c r="N5" s="37" t="str">
        <f t="shared" si="1"/>
        <v>Requerida</v>
      </c>
      <c r="O5" s="37" t="str">
        <f t="shared" si="1"/>
        <v>Requisito Equipamento</v>
      </c>
      <c r="P5" s="32" t="s">
        <v>228</v>
      </c>
      <c r="Q5" s="32" t="s">
        <v>290</v>
      </c>
      <c r="R5" s="38" t="s">
        <v>9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39" t="s">
        <v>231</v>
      </c>
      <c r="W5" s="68" t="str">
        <f t="shared" si="4"/>
        <v>Key-AVA-5</v>
      </c>
      <c r="X5" s="32" t="s">
        <v>9</v>
      </c>
      <c r="Y5" s="32" t="s">
        <v>9</v>
      </c>
      <c r="Z5" s="38" t="s">
        <v>9</v>
      </c>
      <c r="AA5" s="32" t="str">
        <f t="shared" si="3"/>
        <v>Defines an information container in accordance with the NBR 19650-1 standard. Equipment Requirements for the Project.</v>
      </c>
    </row>
    <row r="6" spans="1:27" ht="6.65" customHeight="1" x14ac:dyDescent="0.4">
      <c r="A6" s="34">
        <v>6</v>
      </c>
      <c r="B6" s="1" t="s">
        <v>170</v>
      </c>
      <c r="C6" s="36" t="s">
        <v>169</v>
      </c>
      <c r="D6" s="1" t="s">
        <v>171</v>
      </c>
      <c r="E6" s="1" t="s">
        <v>222</v>
      </c>
      <c r="F6" s="36" t="s">
        <v>229</v>
      </c>
      <c r="G6" s="42" t="s">
        <v>9</v>
      </c>
      <c r="H6" s="42" t="s">
        <v>9</v>
      </c>
      <c r="I6" s="42" t="s">
        <v>9</v>
      </c>
      <c r="J6" s="42" t="s">
        <v>9</v>
      </c>
      <c r="K6" s="42" t="s">
        <v>9</v>
      </c>
      <c r="L6" s="37" t="str">
        <f t="shared" si="0"/>
        <v>Contêiner</v>
      </c>
      <c r="M6" s="37" t="str">
        <f t="shared" si="0"/>
        <v>Informação</v>
      </c>
      <c r="N6" s="37" t="str">
        <f t="shared" si="1"/>
        <v>Requerida</v>
      </c>
      <c r="O6" s="37" t="str">
        <f t="shared" si="1"/>
        <v>Requisito Sistemas</v>
      </c>
      <c r="P6" s="32" t="s">
        <v>230</v>
      </c>
      <c r="Q6" s="32" t="s">
        <v>291</v>
      </c>
      <c r="R6" s="38" t="s">
        <v>9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39" t="s">
        <v>231</v>
      </c>
      <c r="W6" s="68" t="str">
        <f t="shared" si="4"/>
        <v>Key-AVA-6</v>
      </c>
      <c r="X6" s="32" t="s">
        <v>9</v>
      </c>
      <c r="Y6" s="32" t="s">
        <v>9</v>
      </c>
      <c r="Z6" s="38" t="s">
        <v>9</v>
      </c>
      <c r="AA6" s="32" t="str">
        <f t="shared" si="3"/>
        <v>Defines an information container in accordance with the NBR 19650-1 standard. Building Systems Requirements for the Project.</v>
      </c>
    </row>
    <row r="7" spans="1:27" ht="6.65" customHeight="1" x14ac:dyDescent="0.4">
      <c r="A7" s="34">
        <v>7</v>
      </c>
      <c r="B7" s="1" t="s">
        <v>43</v>
      </c>
      <c r="C7" s="1" t="s">
        <v>481</v>
      </c>
      <c r="D7" s="66" t="s">
        <v>483</v>
      </c>
      <c r="E7" s="66" t="s">
        <v>482</v>
      </c>
      <c r="F7" s="66" t="s">
        <v>478</v>
      </c>
      <c r="G7" s="42" t="s">
        <v>9</v>
      </c>
      <c r="H7" s="42" t="s">
        <v>9</v>
      </c>
      <c r="I7" s="42" t="s">
        <v>9</v>
      </c>
      <c r="J7" s="42" t="s">
        <v>9</v>
      </c>
      <c r="K7" s="42" t="s">
        <v>9</v>
      </c>
      <c r="L7" s="37" t="str">
        <f t="shared" si="0"/>
        <v>Climatização</v>
      </c>
      <c r="M7" s="37" t="str">
        <f t="shared" si="0"/>
        <v>Sistemas.Elétricos.de.Climatização</v>
      </c>
      <c r="N7" s="37" t="str">
        <f t="shared" si="1"/>
        <v>Elétrica de Climatização</v>
      </c>
      <c r="O7" s="32" t="str">
        <f t="shared" ref="O7:O9" si="5">IF(ISNUMBER(FIND("Ifc",F7)),CONCATENATE("Classe IFC:   ",F7),CONCATENATE("",F7))</f>
        <v>Circuito.Elétrico.de.Ar.Condicionado</v>
      </c>
      <c r="P7" s="67" t="s">
        <v>295</v>
      </c>
      <c r="Q7" s="67" t="s">
        <v>298</v>
      </c>
      <c r="R7" s="38" t="s">
        <v>9</v>
      </c>
      <c r="S7" s="39" t="str">
        <f t="shared" ref="S7:U22" si="6">SUBSTITUTE(C7, "_", " ")</f>
        <v>Climatização</v>
      </c>
      <c r="T7" s="39" t="str">
        <f t="shared" si="6"/>
        <v>Sistemas.Elétricos.de.Climatização</v>
      </c>
      <c r="U7" s="39" t="str">
        <f t="shared" si="6"/>
        <v>Elétrica.de.Climatização</v>
      </c>
      <c r="V7" s="39" t="s">
        <v>231</v>
      </c>
      <c r="W7" s="68" t="str">
        <f t="shared" si="4"/>
        <v>Key-AVA-7</v>
      </c>
      <c r="X7" s="31" t="s">
        <v>292</v>
      </c>
      <c r="Y7" s="31" t="s">
        <v>276</v>
      </c>
      <c r="Z7" s="38" t="s">
        <v>293</v>
      </c>
      <c r="AA7" s="32" t="str">
        <f t="shared" si="3"/>
        <v>Electrical System for Air Conditioning</v>
      </c>
    </row>
    <row r="8" spans="1:27" ht="6.65" customHeight="1" x14ac:dyDescent="0.4">
      <c r="A8" s="34">
        <v>8</v>
      </c>
      <c r="B8" s="1" t="s">
        <v>43</v>
      </c>
      <c r="C8" s="1" t="s">
        <v>481</v>
      </c>
      <c r="D8" s="66" t="s">
        <v>483</v>
      </c>
      <c r="E8" s="66" t="s">
        <v>482</v>
      </c>
      <c r="F8" s="66" t="s">
        <v>479</v>
      </c>
      <c r="G8" s="42" t="s">
        <v>9</v>
      </c>
      <c r="H8" s="42" t="s">
        <v>9</v>
      </c>
      <c r="I8" s="42" t="s">
        <v>9</v>
      </c>
      <c r="J8" s="42" t="s">
        <v>9</v>
      </c>
      <c r="K8" s="42" t="s">
        <v>9</v>
      </c>
      <c r="L8" s="37" t="str">
        <f t="shared" si="0"/>
        <v>Climatização</v>
      </c>
      <c r="M8" s="37" t="str">
        <f t="shared" si="0"/>
        <v>Sistemas.Elétricos.de.Climatização</v>
      </c>
      <c r="N8" s="37" t="str">
        <f t="shared" si="1"/>
        <v>Elétrica de Climatização</v>
      </c>
      <c r="O8" s="32" t="str">
        <f t="shared" si="5"/>
        <v>Circuito.Elétrico.de.Aquecimento</v>
      </c>
      <c r="P8" s="67" t="s">
        <v>296</v>
      </c>
      <c r="Q8" s="67" t="s">
        <v>299</v>
      </c>
      <c r="R8" s="38" t="s">
        <v>9</v>
      </c>
      <c r="S8" s="39" t="str">
        <f t="shared" si="6"/>
        <v>Climatização</v>
      </c>
      <c r="T8" s="39" t="str">
        <f t="shared" si="6"/>
        <v>Sistemas.Elétricos.de.Climatização</v>
      </c>
      <c r="U8" s="39" t="str">
        <f t="shared" si="6"/>
        <v>Elétrica.de.Climatização</v>
      </c>
      <c r="V8" s="39" t="s">
        <v>231</v>
      </c>
      <c r="W8" s="68" t="str">
        <f t="shared" si="4"/>
        <v>Key-AVA-8</v>
      </c>
      <c r="X8" s="31" t="s">
        <v>292</v>
      </c>
      <c r="Y8" s="31" t="s">
        <v>281</v>
      </c>
      <c r="Z8" s="38" t="s">
        <v>293</v>
      </c>
      <c r="AA8" s="32" t="str">
        <f t="shared" si="3"/>
        <v>Electrical Heating System</v>
      </c>
    </row>
    <row r="9" spans="1:27" ht="6.65" customHeight="1" x14ac:dyDescent="0.4">
      <c r="A9" s="34">
        <v>9</v>
      </c>
      <c r="B9" s="1" t="s">
        <v>43</v>
      </c>
      <c r="C9" s="1" t="s">
        <v>481</v>
      </c>
      <c r="D9" s="66" t="s">
        <v>483</v>
      </c>
      <c r="E9" s="66" t="s">
        <v>482</v>
      </c>
      <c r="F9" s="66" t="s">
        <v>480</v>
      </c>
      <c r="G9" s="42" t="s">
        <v>9</v>
      </c>
      <c r="H9" s="42" t="s">
        <v>9</v>
      </c>
      <c r="I9" s="42" t="s">
        <v>9</v>
      </c>
      <c r="J9" s="42" t="s">
        <v>9</v>
      </c>
      <c r="K9" s="42" t="s">
        <v>9</v>
      </c>
      <c r="L9" s="37" t="str">
        <f t="shared" si="0"/>
        <v>Climatização</v>
      </c>
      <c r="M9" s="37" t="str">
        <f t="shared" si="0"/>
        <v>Sistemas.Elétricos.de.Climatização</v>
      </c>
      <c r="N9" s="37" t="str">
        <f t="shared" si="1"/>
        <v>Elétrica de Climatização</v>
      </c>
      <c r="O9" s="32" t="str">
        <f t="shared" si="5"/>
        <v>Circuito.Elétrico.de.Exaustão</v>
      </c>
      <c r="P9" s="67" t="s">
        <v>297</v>
      </c>
      <c r="Q9" s="67" t="s">
        <v>300</v>
      </c>
      <c r="R9" s="38" t="s">
        <v>9</v>
      </c>
      <c r="S9" s="39" t="str">
        <f t="shared" si="6"/>
        <v>Climatização</v>
      </c>
      <c r="T9" s="39" t="str">
        <f t="shared" si="6"/>
        <v>Sistemas.Elétricos.de.Climatização</v>
      </c>
      <c r="U9" s="39" t="str">
        <f t="shared" si="6"/>
        <v>Elétrica.de.Climatização</v>
      </c>
      <c r="V9" s="39" t="s">
        <v>231</v>
      </c>
      <c r="W9" s="68" t="str">
        <f t="shared" si="4"/>
        <v>Key-AVA-9</v>
      </c>
      <c r="X9" s="31" t="s">
        <v>292</v>
      </c>
      <c r="Y9" s="31" t="s">
        <v>280</v>
      </c>
      <c r="Z9" s="38" t="s">
        <v>293</v>
      </c>
      <c r="AA9" s="32" t="str">
        <f t="shared" si="3"/>
        <v>Electrical System for Air Exhaust</v>
      </c>
    </row>
    <row r="10" spans="1:27" ht="6.65" customHeight="1" x14ac:dyDescent="0.4">
      <c r="A10" s="34">
        <v>10</v>
      </c>
      <c r="B10" s="1" t="s">
        <v>43</v>
      </c>
      <c r="C10" s="1" t="s">
        <v>481</v>
      </c>
      <c r="D10" s="66" t="s">
        <v>484</v>
      </c>
      <c r="E10" s="1" t="s">
        <v>485</v>
      </c>
      <c r="F10" s="36" t="s">
        <v>182</v>
      </c>
      <c r="G10" s="42" t="s">
        <v>9</v>
      </c>
      <c r="H10" s="42" t="s">
        <v>9</v>
      </c>
      <c r="I10" s="42" t="s">
        <v>9</v>
      </c>
      <c r="J10" s="42" t="s">
        <v>9</v>
      </c>
      <c r="K10" s="42" t="s">
        <v>9</v>
      </c>
      <c r="L10" s="37" t="str">
        <f t="shared" si="0"/>
        <v>Climatização</v>
      </c>
      <c r="M10" s="37" t="str">
        <f t="shared" si="0"/>
        <v>Sistemas.de.Climatização</v>
      </c>
      <c r="N10" s="37" t="str">
        <f t="shared" si="1"/>
        <v>Sistema Climatizador</v>
      </c>
      <c r="O10" s="32" t="str">
        <f t="shared" ref="O10:O54" si="7">IF(ISNUMBER(FIND("Ifc",F10)),CONCATENATE("",F10),CONCATENATE("",F10))</f>
        <v>Ar.Condicionado</v>
      </c>
      <c r="P10" s="32" t="s">
        <v>103</v>
      </c>
      <c r="Q10" s="32" t="s">
        <v>150</v>
      </c>
      <c r="R10" s="38" t="s">
        <v>9</v>
      </c>
      <c r="S10" s="39" t="str">
        <f t="shared" si="6"/>
        <v>Climatização</v>
      </c>
      <c r="T10" s="39" t="str">
        <f t="shared" si="6"/>
        <v>Sistemas.de.Climatização</v>
      </c>
      <c r="U10" s="39" t="str">
        <f t="shared" si="6"/>
        <v>Sistema.Climatizador</v>
      </c>
      <c r="V10" s="39" t="s">
        <v>231</v>
      </c>
      <c r="W10" s="68" t="str">
        <f t="shared" si="4"/>
        <v>Key-AVA-10</v>
      </c>
      <c r="X10" s="32" t="s">
        <v>275</v>
      </c>
      <c r="Y10" s="31" t="s">
        <v>276</v>
      </c>
      <c r="Z10" s="38" t="s">
        <v>286</v>
      </c>
      <c r="AA10" s="32" t="str">
        <f t="shared" si="3"/>
        <v>Air conditioning distribution system to maintain a range of temperatures in one or more spaces.</v>
      </c>
    </row>
    <row r="11" spans="1:27" ht="6.65" customHeight="1" x14ac:dyDescent="0.4">
      <c r="A11" s="34">
        <v>11</v>
      </c>
      <c r="B11" s="1" t="s">
        <v>43</v>
      </c>
      <c r="C11" s="1" t="s">
        <v>481</v>
      </c>
      <c r="D11" s="66" t="s">
        <v>484</v>
      </c>
      <c r="E11" s="1" t="s">
        <v>485</v>
      </c>
      <c r="F11" s="36" t="s">
        <v>120</v>
      </c>
      <c r="G11" s="42" t="s">
        <v>9</v>
      </c>
      <c r="H11" s="42" t="s">
        <v>9</v>
      </c>
      <c r="I11" s="42" t="s">
        <v>9</v>
      </c>
      <c r="J11" s="42" t="s">
        <v>9</v>
      </c>
      <c r="K11" s="42" t="s">
        <v>9</v>
      </c>
      <c r="L11" s="37" t="str">
        <f t="shared" si="0"/>
        <v>Climatização</v>
      </c>
      <c r="M11" s="37" t="str">
        <f t="shared" si="0"/>
        <v>Sistemas.de.Climatização</v>
      </c>
      <c r="N11" s="37" t="str">
        <f t="shared" si="1"/>
        <v>Sistema Climatizador</v>
      </c>
      <c r="O11" s="32" t="str">
        <f t="shared" si="7"/>
        <v>Água.Gelada</v>
      </c>
      <c r="P11" s="32" t="s">
        <v>104</v>
      </c>
      <c r="Q11" s="32" t="s">
        <v>151</v>
      </c>
      <c r="R11" s="38" t="s">
        <v>9</v>
      </c>
      <c r="S11" s="39" t="str">
        <f t="shared" si="6"/>
        <v>Climatização</v>
      </c>
      <c r="T11" s="39" t="str">
        <f t="shared" si="6"/>
        <v>Sistemas.de.Climatização</v>
      </c>
      <c r="U11" s="39" t="str">
        <f t="shared" si="6"/>
        <v>Sistema.Climatizador</v>
      </c>
      <c r="V11" s="39" t="s">
        <v>231</v>
      </c>
      <c r="W11" s="68" t="str">
        <f t="shared" si="4"/>
        <v>Key-AVA-11</v>
      </c>
      <c r="X11" s="32" t="s">
        <v>275</v>
      </c>
      <c r="Y11" s="31" t="s">
        <v>277</v>
      </c>
      <c r="Z11" s="38" t="s">
        <v>286</v>
      </c>
      <c r="AA11" s="32" t="str">
        <f t="shared" si="3"/>
        <v>Non-potable chilled water, such as that circulated through an evaporator.</v>
      </c>
    </row>
    <row r="12" spans="1:27" ht="6.65" customHeight="1" x14ac:dyDescent="0.4">
      <c r="A12" s="34">
        <v>12</v>
      </c>
      <c r="B12" s="1" t="s">
        <v>43</v>
      </c>
      <c r="C12" s="1" t="s">
        <v>481</v>
      </c>
      <c r="D12" s="66" t="s">
        <v>484</v>
      </c>
      <c r="E12" s="1" t="s">
        <v>485</v>
      </c>
      <c r="F12" s="36" t="s">
        <v>465</v>
      </c>
      <c r="G12" s="42" t="s">
        <v>9</v>
      </c>
      <c r="H12" s="42" t="s">
        <v>9</v>
      </c>
      <c r="I12" s="42" t="s">
        <v>9</v>
      </c>
      <c r="J12" s="42" t="s">
        <v>9</v>
      </c>
      <c r="K12" s="42" t="s">
        <v>9</v>
      </c>
      <c r="L12" s="37" t="str">
        <f t="shared" si="0"/>
        <v>Climatização</v>
      </c>
      <c r="M12" s="37" t="str">
        <f t="shared" si="0"/>
        <v>Sistemas.de.Climatização</v>
      </c>
      <c r="N12" s="37" t="str">
        <f t="shared" si="1"/>
        <v>Sistema Climatizador</v>
      </c>
      <c r="O12" s="32" t="str">
        <f t="shared" si="7"/>
        <v>Água.Condensador</v>
      </c>
      <c r="P12" s="32" t="s">
        <v>106</v>
      </c>
      <c r="Q12" s="32" t="s">
        <v>153</v>
      </c>
      <c r="R12" s="38" t="s">
        <v>9</v>
      </c>
      <c r="S12" s="39" t="str">
        <f t="shared" si="6"/>
        <v>Climatização</v>
      </c>
      <c r="T12" s="39" t="str">
        <f t="shared" si="6"/>
        <v>Sistemas.de.Climatização</v>
      </c>
      <c r="U12" s="39" t="str">
        <f t="shared" si="6"/>
        <v>Sistema.Climatizador</v>
      </c>
      <c r="V12" s="39" t="s">
        <v>231</v>
      </c>
      <c r="W12" s="68" t="str">
        <f t="shared" si="4"/>
        <v>Key-AVA-12</v>
      </c>
      <c r="X12" s="32" t="s">
        <v>275</v>
      </c>
      <c r="Y12" s="31" t="s">
        <v>279</v>
      </c>
      <c r="Z12" s="38" t="s">
        <v>286</v>
      </c>
      <c r="AA12" s="32" t="str">
        <f t="shared" si="3"/>
        <v>Non-potable water, such as that circulated through a condemner.</v>
      </c>
    </row>
    <row r="13" spans="1:27" ht="6.65" customHeight="1" x14ac:dyDescent="0.4">
      <c r="A13" s="34">
        <v>13</v>
      </c>
      <c r="B13" s="1" t="s">
        <v>43</v>
      </c>
      <c r="C13" s="1" t="s">
        <v>481</v>
      </c>
      <c r="D13" s="66" t="s">
        <v>484</v>
      </c>
      <c r="E13" s="1" t="s">
        <v>485</v>
      </c>
      <c r="F13" s="36" t="s">
        <v>186</v>
      </c>
      <c r="G13" s="42" t="s">
        <v>9</v>
      </c>
      <c r="H13" s="42" t="s">
        <v>9</v>
      </c>
      <c r="I13" s="42" t="s">
        <v>9</v>
      </c>
      <c r="J13" s="42" t="s">
        <v>9</v>
      </c>
      <c r="K13" s="42" t="s">
        <v>9</v>
      </c>
      <c r="L13" s="37" t="str">
        <f t="shared" si="0"/>
        <v>Climatização</v>
      </c>
      <c r="M13" s="37" t="str">
        <f t="shared" si="0"/>
        <v>Sistemas.de.Climatização</v>
      </c>
      <c r="N13" s="37" t="str">
        <f t="shared" si="1"/>
        <v>Sistema Climatizador</v>
      </c>
      <c r="O13" s="32" t="str">
        <f t="shared" si="7"/>
        <v>Ar.Comprimido</v>
      </c>
      <c r="P13" s="32" t="s">
        <v>105</v>
      </c>
      <c r="Q13" s="32" t="s">
        <v>152</v>
      </c>
      <c r="R13" s="38" t="s">
        <v>9</v>
      </c>
      <c r="S13" s="39" t="str">
        <f t="shared" si="6"/>
        <v>Climatização</v>
      </c>
      <c r="T13" s="39" t="str">
        <f t="shared" si="6"/>
        <v>Sistemas.de.Climatização</v>
      </c>
      <c r="U13" s="39" t="str">
        <f t="shared" si="6"/>
        <v>Sistema.Climatizador</v>
      </c>
      <c r="V13" s="39" t="s">
        <v>231</v>
      </c>
      <c r="W13" s="68" t="str">
        <f t="shared" si="4"/>
        <v>Key-AVA-13</v>
      </c>
      <c r="X13" s="32" t="s">
        <v>275</v>
      </c>
      <c r="Y13" s="31" t="s">
        <v>278</v>
      </c>
      <c r="Z13" s="38" t="s">
        <v>286</v>
      </c>
      <c r="AA13" s="32" t="str">
        <f t="shared" si="3"/>
        <v>Compressed air system.</v>
      </c>
    </row>
    <row r="14" spans="1:27" ht="6.65" customHeight="1" x14ac:dyDescent="0.4">
      <c r="A14" s="34">
        <v>14</v>
      </c>
      <c r="B14" s="1" t="s">
        <v>43</v>
      </c>
      <c r="C14" s="1" t="s">
        <v>481</v>
      </c>
      <c r="D14" s="66" t="s">
        <v>484</v>
      </c>
      <c r="E14" s="1" t="s">
        <v>485</v>
      </c>
      <c r="F14" s="36" t="s">
        <v>187</v>
      </c>
      <c r="G14" s="42" t="s">
        <v>9</v>
      </c>
      <c r="H14" s="42" t="s">
        <v>9</v>
      </c>
      <c r="I14" s="42" t="s">
        <v>9</v>
      </c>
      <c r="J14" s="42" t="s">
        <v>9</v>
      </c>
      <c r="K14" s="42" t="s">
        <v>9</v>
      </c>
      <c r="L14" s="37" t="str">
        <f t="shared" si="0"/>
        <v>Climatização</v>
      </c>
      <c r="M14" s="37" t="str">
        <f t="shared" si="0"/>
        <v>Sistemas.de.Climatização</v>
      </c>
      <c r="N14" s="37" t="str">
        <f t="shared" si="1"/>
        <v>Sistema Climatizador</v>
      </c>
      <c r="O14" s="32" t="str">
        <f t="shared" si="7"/>
        <v>Exaustão</v>
      </c>
      <c r="P14" s="32" t="s">
        <v>107</v>
      </c>
      <c r="Q14" s="32" t="s">
        <v>154</v>
      </c>
      <c r="R14" s="38" t="s">
        <v>9</v>
      </c>
      <c r="S14" s="39" t="str">
        <f t="shared" si="6"/>
        <v>Climatização</v>
      </c>
      <c r="T14" s="39" t="str">
        <f t="shared" si="6"/>
        <v>Sistemas.de.Climatização</v>
      </c>
      <c r="U14" s="39" t="str">
        <f t="shared" si="6"/>
        <v>Sistema.Climatizador</v>
      </c>
      <c r="V14" s="39" t="s">
        <v>231</v>
      </c>
      <c r="W14" s="68" t="str">
        <f t="shared" si="4"/>
        <v>Key-AVA-14</v>
      </c>
      <c r="X14" s="32" t="s">
        <v>275</v>
      </c>
      <c r="Y14" s="31" t="s">
        <v>280</v>
      </c>
      <c r="Z14" s="38" t="s">
        <v>286</v>
      </c>
      <c r="AA14" s="32" t="str">
        <f t="shared" si="3"/>
        <v>Exhaust air collection system to remove stale or harmful air from one or more spaces.</v>
      </c>
    </row>
    <row r="15" spans="1:27" ht="6.65" customHeight="1" x14ac:dyDescent="0.4">
      <c r="A15" s="34">
        <v>15</v>
      </c>
      <c r="B15" s="1" t="s">
        <v>43</v>
      </c>
      <c r="C15" s="1" t="s">
        <v>481</v>
      </c>
      <c r="D15" s="66" t="s">
        <v>484</v>
      </c>
      <c r="E15" s="1" t="s">
        <v>485</v>
      </c>
      <c r="F15" s="36" t="s">
        <v>183</v>
      </c>
      <c r="G15" s="42" t="s">
        <v>9</v>
      </c>
      <c r="H15" s="42" t="s">
        <v>9</v>
      </c>
      <c r="I15" s="42" t="s">
        <v>9</v>
      </c>
      <c r="J15" s="42" t="s">
        <v>9</v>
      </c>
      <c r="K15" s="42" t="s">
        <v>9</v>
      </c>
      <c r="L15" s="37" t="str">
        <f t="shared" si="0"/>
        <v>Climatização</v>
      </c>
      <c r="M15" s="37" t="str">
        <f t="shared" si="0"/>
        <v>Sistemas.de.Climatização</v>
      </c>
      <c r="N15" s="37" t="str">
        <f t="shared" si="1"/>
        <v>Sistema Climatizador</v>
      </c>
      <c r="O15" s="32" t="str">
        <f t="shared" si="7"/>
        <v>Aquecimento</v>
      </c>
      <c r="P15" s="32" t="s">
        <v>108</v>
      </c>
      <c r="Q15" s="32" t="s">
        <v>155</v>
      </c>
      <c r="R15" s="38" t="s">
        <v>9</v>
      </c>
      <c r="S15" s="39" t="str">
        <f t="shared" si="6"/>
        <v>Climatização</v>
      </c>
      <c r="T15" s="39" t="str">
        <f t="shared" si="6"/>
        <v>Sistemas.de.Climatização</v>
      </c>
      <c r="U15" s="39" t="str">
        <f t="shared" si="6"/>
        <v>Sistema.Climatizador</v>
      </c>
      <c r="V15" s="39" t="s">
        <v>231</v>
      </c>
      <c r="W15" s="68" t="str">
        <f t="shared" si="4"/>
        <v>Key-AVA-15</v>
      </c>
      <c r="X15" s="32" t="s">
        <v>275</v>
      </c>
      <c r="Y15" s="31" t="s">
        <v>281</v>
      </c>
      <c r="Z15" s="38" t="s">
        <v>286</v>
      </c>
      <c r="AA15" s="32" t="str">
        <f t="shared" si="3"/>
        <v>Water or steam heated from a boiler and circulated through radiators.</v>
      </c>
    </row>
    <row r="16" spans="1:27" ht="6.65" customHeight="1" x14ac:dyDescent="0.4">
      <c r="A16" s="34">
        <v>16</v>
      </c>
      <c r="B16" s="1" t="s">
        <v>43</v>
      </c>
      <c r="C16" s="1" t="s">
        <v>481</v>
      </c>
      <c r="D16" s="66" t="s">
        <v>484</v>
      </c>
      <c r="E16" s="1" t="s">
        <v>485</v>
      </c>
      <c r="F16" s="36" t="s">
        <v>178</v>
      </c>
      <c r="G16" s="42" t="s">
        <v>9</v>
      </c>
      <c r="H16" s="42" t="s">
        <v>9</v>
      </c>
      <c r="I16" s="42" t="s">
        <v>9</v>
      </c>
      <c r="J16" s="42" t="s">
        <v>9</v>
      </c>
      <c r="K16" s="42" t="s">
        <v>9</v>
      </c>
      <c r="L16" s="37" t="str">
        <f t="shared" si="0"/>
        <v>Climatização</v>
      </c>
      <c r="M16" s="37" t="str">
        <f t="shared" si="0"/>
        <v>Sistemas.de.Climatização</v>
      </c>
      <c r="N16" s="37" t="str">
        <f t="shared" si="1"/>
        <v>Sistema Climatizador</v>
      </c>
      <c r="O16" s="32" t="str">
        <f t="shared" si="7"/>
        <v>Ventilação</v>
      </c>
      <c r="P16" s="32" t="s">
        <v>111</v>
      </c>
      <c r="Q16" s="32" t="s">
        <v>158</v>
      </c>
      <c r="R16" s="38" t="s">
        <v>9</v>
      </c>
      <c r="S16" s="39" t="str">
        <f t="shared" si="6"/>
        <v>Climatização</v>
      </c>
      <c r="T16" s="39" t="str">
        <f t="shared" si="6"/>
        <v>Sistemas.de.Climatização</v>
      </c>
      <c r="U16" s="39" t="str">
        <f t="shared" si="6"/>
        <v>Sistema.Climatizador</v>
      </c>
      <c r="V16" s="39" t="s">
        <v>231</v>
      </c>
      <c r="W16" s="68" t="str">
        <f t="shared" si="4"/>
        <v>Key-AVA-16</v>
      </c>
      <c r="X16" s="32" t="s">
        <v>275</v>
      </c>
      <c r="Y16" s="31" t="s">
        <v>285</v>
      </c>
      <c r="Z16" s="38" t="s">
        <v>286</v>
      </c>
      <c r="AA16" s="32" t="str">
        <f t="shared" si="3"/>
        <v>Ventilation air distribution system involved in the exchange of air to the outside.</v>
      </c>
    </row>
    <row r="17" spans="1:27" ht="6.65" customHeight="1" x14ac:dyDescent="0.4">
      <c r="A17" s="34">
        <v>17</v>
      </c>
      <c r="B17" s="1" t="s">
        <v>43</v>
      </c>
      <c r="C17" s="1" t="s">
        <v>481</v>
      </c>
      <c r="D17" s="66" t="s">
        <v>484</v>
      </c>
      <c r="E17" s="1" t="s">
        <v>485</v>
      </c>
      <c r="F17" s="36" t="s">
        <v>184</v>
      </c>
      <c r="G17" s="42" t="s">
        <v>9</v>
      </c>
      <c r="H17" s="42" t="s">
        <v>9</v>
      </c>
      <c r="I17" s="42" t="s">
        <v>9</v>
      </c>
      <c r="J17" s="42" t="s">
        <v>9</v>
      </c>
      <c r="K17" s="42" t="s">
        <v>9</v>
      </c>
      <c r="L17" s="37" t="str">
        <f t="shared" si="0"/>
        <v>Climatização</v>
      </c>
      <c r="M17" s="37" t="str">
        <f t="shared" si="0"/>
        <v>Sistemas.de.Climatização</v>
      </c>
      <c r="N17" s="37" t="str">
        <f t="shared" si="1"/>
        <v>Sistema Climatizador</v>
      </c>
      <c r="O17" s="32" t="str">
        <f t="shared" si="7"/>
        <v>Refrigeração</v>
      </c>
      <c r="P17" s="32" t="s">
        <v>109</v>
      </c>
      <c r="Q17" s="32" t="s">
        <v>156</v>
      </c>
      <c r="R17" s="38" t="s">
        <v>9</v>
      </c>
      <c r="S17" s="39" t="str">
        <f t="shared" si="6"/>
        <v>Climatização</v>
      </c>
      <c r="T17" s="39" t="str">
        <f t="shared" si="6"/>
        <v>Sistemas.de.Climatização</v>
      </c>
      <c r="U17" s="39" t="str">
        <f t="shared" si="6"/>
        <v>Sistema.Climatizador</v>
      </c>
      <c r="V17" s="39" t="s">
        <v>231</v>
      </c>
      <c r="W17" s="68" t="str">
        <f t="shared" si="4"/>
        <v>Key-AVA-17</v>
      </c>
      <c r="X17" s="32" t="s">
        <v>275</v>
      </c>
      <c r="Y17" s="31" t="s">
        <v>282</v>
      </c>
      <c r="Z17" s="38" t="s">
        <v>286</v>
      </c>
      <c r="AA17" s="32" t="str">
        <f t="shared" si="3"/>
        <v>A refrigerant distribution system for the purpose of fulfilling all or part of a refrigeration cycle.</v>
      </c>
    </row>
    <row r="18" spans="1:27" ht="6.65" customHeight="1" x14ac:dyDescent="0.4">
      <c r="A18" s="34">
        <v>18</v>
      </c>
      <c r="B18" s="1" t="s">
        <v>43</v>
      </c>
      <c r="C18" s="1" t="s">
        <v>481</v>
      </c>
      <c r="D18" s="66" t="s">
        <v>484</v>
      </c>
      <c r="E18" s="1" t="s">
        <v>485</v>
      </c>
      <c r="F18" s="36" t="s">
        <v>476</v>
      </c>
      <c r="G18" s="42" t="s">
        <v>9</v>
      </c>
      <c r="H18" s="42" t="s">
        <v>9</v>
      </c>
      <c r="I18" s="42" t="s">
        <v>9</v>
      </c>
      <c r="J18" s="42" t="s">
        <v>9</v>
      </c>
      <c r="K18" s="42" t="s">
        <v>9</v>
      </c>
      <c r="L18" s="37" t="str">
        <f t="shared" ref="L18:M36" si="8">CONCATENATE("", C18)</f>
        <v>Climatização</v>
      </c>
      <c r="M18" s="37" t="str">
        <f t="shared" si="8"/>
        <v>Sistemas.de.Climatização</v>
      </c>
      <c r="N18" s="37" t="str">
        <f t="shared" ref="N18:O63" si="9">(SUBSTITUTE(SUBSTITUTE(CONCATENATE("",E18),"."," ")," De "," de "))</f>
        <v>Sistema Climatizador</v>
      </c>
      <c r="O18" s="32" t="str">
        <f t="shared" si="7"/>
        <v>Insuflamento</v>
      </c>
      <c r="P18" s="32" t="s">
        <v>466</v>
      </c>
      <c r="Q18" s="32" t="s">
        <v>468</v>
      </c>
      <c r="R18" s="38" t="s">
        <v>9</v>
      </c>
      <c r="S18" s="39" t="str">
        <f t="shared" si="6"/>
        <v>Climatização</v>
      </c>
      <c r="T18" s="39" t="str">
        <f t="shared" si="6"/>
        <v>Sistemas.de.Climatização</v>
      </c>
      <c r="U18" s="39" t="str">
        <f t="shared" si="6"/>
        <v>Sistema.Climatizador</v>
      </c>
      <c r="V18" s="39" t="s">
        <v>231</v>
      </c>
      <c r="W18" s="68" t="str">
        <f t="shared" si="4"/>
        <v>Key-AVA-18</v>
      </c>
      <c r="X18" s="32" t="s">
        <v>275</v>
      </c>
      <c r="Y18" s="31" t="s">
        <v>283</v>
      </c>
      <c r="Z18" s="38" t="s">
        <v>286</v>
      </c>
      <c r="AA18" s="32" t="str">
        <f t="shared" si="3"/>
        <v>Distribution system that forms the intended path for the supply current.</v>
      </c>
    </row>
    <row r="19" spans="1:27" ht="6.65" customHeight="1" x14ac:dyDescent="0.4">
      <c r="A19" s="34">
        <v>19</v>
      </c>
      <c r="B19" s="1" t="s">
        <v>43</v>
      </c>
      <c r="C19" s="1" t="s">
        <v>481</v>
      </c>
      <c r="D19" s="66" t="s">
        <v>484</v>
      </c>
      <c r="E19" s="1" t="s">
        <v>485</v>
      </c>
      <c r="F19" s="36" t="s">
        <v>477</v>
      </c>
      <c r="G19" s="42" t="s">
        <v>9</v>
      </c>
      <c r="H19" s="42" t="s">
        <v>9</v>
      </c>
      <c r="I19" s="42" t="s">
        <v>9</v>
      </c>
      <c r="J19" s="42" t="s">
        <v>9</v>
      </c>
      <c r="K19" s="42" t="s">
        <v>9</v>
      </c>
      <c r="L19" s="37" t="str">
        <f t="shared" si="8"/>
        <v>Climatização</v>
      </c>
      <c r="M19" s="37" t="str">
        <f t="shared" si="8"/>
        <v>Sistemas.de.Climatização</v>
      </c>
      <c r="N19" s="37" t="str">
        <f t="shared" si="9"/>
        <v>Sistema Climatizador</v>
      </c>
      <c r="O19" s="32" t="str">
        <f t="shared" si="7"/>
        <v>Retorno</v>
      </c>
      <c r="P19" s="32" t="s">
        <v>467</v>
      </c>
      <c r="Q19" s="32" t="s">
        <v>469</v>
      </c>
      <c r="R19" s="38" t="s">
        <v>9</v>
      </c>
      <c r="S19" s="39" t="str">
        <f t="shared" si="6"/>
        <v>Climatização</v>
      </c>
      <c r="T19" s="39" t="str">
        <f t="shared" si="6"/>
        <v>Sistemas.de.Climatização</v>
      </c>
      <c r="U19" s="39" t="str">
        <f t="shared" si="6"/>
        <v>Sistema.Climatizador</v>
      </c>
      <c r="V19" s="39" t="s">
        <v>231</v>
      </c>
      <c r="W19" s="68" t="str">
        <f t="shared" si="4"/>
        <v>Key-AVA-19</v>
      </c>
      <c r="X19" s="32" t="s">
        <v>275</v>
      </c>
      <c r="Y19" s="31" t="s">
        <v>283</v>
      </c>
      <c r="Z19" s="38" t="s">
        <v>286</v>
      </c>
      <c r="AA19" s="32" t="str">
        <f t="shared" si="3"/>
        <v>Distribution system that forms the intended path for the return current.</v>
      </c>
    </row>
    <row r="20" spans="1:27" ht="6.65" customHeight="1" x14ac:dyDescent="0.4">
      <c r="A20" s="34">
        <v>20</v>
      </c>
      <c r="B20" s="1" t="s">
        <v>43</v>
      </c>
      <c r="C20" s="1" t="s">
        <v>481</v>
      </c>
      <c r="D20" s="66" t="s">
        <v>484</v>
      </c>
      <c r="E20" s="1" t="s">
        <v>485</v>
      </c>
      <c r="F20" s="36" t="s">
        <v>185</v>
      </c>
      <c r="G20" s="42" t="s">
        <v>9</v>
      </c>
      <c r="H20" s="42" t="s">
        <v>9</v>
      </c>
      <c r="I20" s="42" t="s">
        <v>9</v>
      </c>
      <c r="J20" s="42" t="s">
        <v>9</v>
      </c>
      <c r="K20" s="42" t="s">
        <v>9</v>
      </c>
      <c r="L20" s="37" t="str">
        <f t="shared" si="8"/>
        <v>Climatização</v>
      </c>
      <c r="M20" s="37" t="str">
        <f t="shared" si="8"/>
        <v>Sistemas.de.Climatização</v>
      </c>
      <c r="N20" s="37" t="str">
        <f t="shared" si="9"/>
        <v>Sistema Climatizador</v>
      </c>
      <c r="O20" s="32" t="str">
        <f t="shared" si="7"/>
        <v>Vácuo</v>
      </c>
      <c r="P20" s="32" t="s">
        <v>110</v>
      </c>
      <c r="Q20" s="32" t="s">
        <v>157</v>
      </c>
      <c r="R20" s="38" t="s">
        <v>9</v>
      </c>
      <c r="S20" s="39" t="str">
        <f t="shared" si="6"/>
        <v>Climatização</v>
      </c>
      <c r="T20" s="39" t="str">
        <f t="shared" si="6"/>
        <v>Sistemas.de.Climatização</v>
      </c>
      <c r="U20" s="39" t="str">
        <f t="shared" si="6"/>
        <v>Sistema.Climatizador</v>
      </c>
      <c r="V20" s="39" t="s">
        <v>231</v>
      </c>
      <c r="W20" s="68" t="str">
        <f t="shared" si="4"/>
        <v>Key-AVA-20</v>
      </c>
      <c r="X20" s="32" t="s">
        <v>275</v>
      </c>
      <c r="Y20" s="31" t="s">
        <v>284</v>
      </c>
      <c r="Z20" s="38" t="s">
        <v>286</v>
      </c>
      <c r="AA20" s="32" t="str">
        <f t="shared" si="3"/>
        <v>Vacuum distribution system.</v>
      </c>
    </row>
    <row r="21" spans="1:27" ht="6.65" customHeight="1" x14ac:dyDescent="0.4">
      <c r="A21" s="34">
        <v>21</v>
      </c>
      <c r="B21" s="1" t="s">
        <v>43</v>
      </c>
      <c r="C21" s="1" t="s">
        <v>481</v>
      </c>
      <c r="D21" s="1" t="s">
        <v>461</v>
      </c>
      <c r="E21" s="1" t="s">
        <v>294</v>
      </c>
      <c r="F21" s="36" t="s">
        <v>118</v>
      </c>
      <c r="G21" s="42" t="s">
        <v>9</v>
      </c>
      <c r="H21" s="42" t="s">
        <v>9</v>
      </c>
      <c r="I21" s="42" t="s">
        <v>9</v>
      </c>
      <c r="J21" s="42" t="s">
        <v>9</v>
      </c>
      <c r="K21" s="42" t="s">
        <v>9</v>
      </c>
      <c r="L21" s="37" t="str">
        <f t="shared" si="8"/>
        <v>Climatização</v>
      </c>
      <c r="M21" s="37" t="str">
        <f t="shared" si="8"/>
        <v>Elementos.de.Dutagem</v>
      </c>
      <c r="N21" s="37" t="str">
        <f t="shared" si="9"/>
        <v>Avac Dutos</v>
      </c>
      <c r="O21" s="32" t="str">
        <f t="shared" si="7"/>
        <v>Duto.Conexão</v>
      </c>
      <c r="P21" s="32" t="s">
        <v>160</v>
      </c>
      <c r="Q21" s="32" t="s">
        <v>122</v>
      </c>
      <c r="R21" s="38" t="s">
        <v>9</v>
      </c>
      <c r="S21" s="39" t="str">
        <f t="shared" si="6"/>
        <v>Climatização</v>
      </c>
      <c r="T21" s="39" t="str">
        <f t="shared" si="6"/>
        <v>Elementos.de.Dutagem</v>
      </c>
      <c r="U21" s="39" t="str">
        <f t="shared" si="6"/>
        <v>Avac.Dutos</v>
      </c>
      <c r="V21" s="39" t="s">
        <v>231</v>
      </c>
      <c r="W21" s="68" t="str">
        <f t="shared" si="4"/>
        <v>Key-AVA-21</v>
      </c>
      <c r="X21" s="32" t="s">
        <v>235</v>
      </c>
      <c r="Y21" s="31" t="s">
        <v>236</v>
      </c>
      <c r="Z21" s="38" t="s">
        <v>286</v>
      </c>
      <c r="AA21" s="32" t="str">
        <f t="shared" si="3"/>
        <v>Duct connection is a junction or transition in the flow distribution system in pipelines.</v>
      </c>
    </row>
    <row r="22" spans="1:27" ht="6.65" customHeight="1" x14ac:dyDescent="0.4">
      <c r="A22" s="34">
        <v>22</v>
      </c>
      <c r="B22" s="1" t="s">
        <v>43</v>
      </c>
      <c r="C22" s="1" t="s">
        <v>481</v>
      </c>
      <c r="D22" s="1" t="s">
        <v>461</v>
      </c>
      <c r="E22" s="1" t="s">
        <v>294</v>
      </c>
      <c r="F22" s="1" t="s">
        <v>164</v>
      </c>
      <c r="G22" s="42" t="s">
        <v>9</v>
      </c>
      <c r="H22" s="42" t="s">
        <v>9</v>
      </c>
      <c r="I22" s="42" t="s">
        <v>9</v>
      </c>
      <c r="J22" s="42" t="s">
        <v>9</v>
      </c>
      <c r="K22" s="42" t="s">
        <v>9</v>
      </c>
      <c r="L22" s="37" t="str">
        <f t="shared" si="8"/>
        <v>Climatização</v>
      </c>
      <c r="M22" s="37" t="str">
        <f t="shared" si="8"/>
        <v>Elementos.de.Dutagem</v>
      </c>
      <c r="N22" s="37" t="str">
        <f t="shared" si="9"/>
        <v>Avac Dutos</v>
      </c>
      <c r="O22" s="32" t="str">
        <f t="shared" si="7"/>
        <v>Duto.Flexível</v>
      </c>
      <c r="P22" s="32" t="s">
        <v>99</v>
      </c>
      <c r="Q22" s="32" t="s">
        <v>124</v>
      </c>
      <c r="R22" s="38" t="s">
        <v>9</v>
      </c>
      <c r="S22" s="39" t="str">
        <f t="shared" si="6"/>
        <v>Climatização</v>
      </c>
      <c r="T22" s="39" t="str">
        <f t="shared" si="6"/>
        <v>Elementos.de.Dutagem</v>
      </c>
      <c r="U22" s="39" t="str">
        <f t="shared" si="6"/>
        <v>Avac.Dutos</v>
      </c>
      <c r="V22" s="39" t="s">
        <v>231</v>
      </c>
      <c r="W22" s="68" t="str">
        <f t="shared" si="4"/>
        <v>Key-AVA-22</v>
      </c>
      <c r="X22" s="32" t="s">
        <v>237</v>
      </c>
      <c r="Y22" s="31" t="s">
        <v>238</v>
      </c>
      <c r="Z22" s="38" t="s">
        <v>286</v>
      </c>
      <c r="AA22" s="32" t="str">
        <f t="shared" si="3"/>
        <v>Flexible segments are a continuous nonlinear segment of the duct that can be deformed.</v>
      </c>
    </row>
    <row r="23" spans="1:27" ht="6.65" customHeight="1" x14ac:dyDescent="0.4">
      <c r="A23" s="34">
        <v>23</v>
      </c>
      <c r="B23" s="1" t="s">
        <v>43</v>
      </c>
      <c r="C23" s="1" t="s">
        <v>481</v>
      </c>
      <c r="D23" s="1" t="s">
        <v>461</v>
      </c>
      <c r="E23" s="1" t="s">
        <v>294</v>
      </c>
      <c r="F23" s="36" t="s">
        <v>119</v>
      </c>
      <c r="G23" s="42" t="s">
        <v>9</v>
      </c>
      <c r="H23" s="42" t="s">
        <v>9</v>
      </c>
      <c r="I23" s="42" t="s">
        <v>9</v>
      </c>
      <c r="J23" s="42" t="s">
        <v>9</v>
      </c>
      <c r="K23" s="42" t="s">
        <v>9</v>
      </c>
      <c r="L23" s="37" t="str">
        <f t="shared" si="8"/>
        <v>Climatização</v>
      </c>
      <c r="M23" s="37" t="str">
        <f t="shared" si="8"/>
        <v>Elementos.de.Dutagem</v>
      </c>
      <c r="N23" s="37" t="str">
        <f t="shared" si="9"/>
        <v>Avac Dutos</v>
      </c>
      <c r="O23" s="32" t="str">
        <f t="shared" si="7"/>
        <v>Duto.Segmento</v>
      </c>
      <c r="P23" s="32" t="s">
        <v>98</v>
      </c>
      <c r="Q23" s="32" t="s">
        <v>123</v>
      </c>
      <c r="R23" s="38" t="s">
        <v>9</v>
      </c>
      <c r="S23" s="39" t="str">
        <f t="shared" ref="S23:U38" si="10">SUBSTITUTE(C23, "_", " ")</f>
        <v>Climatização</v>
      </c>
      <c r="T23" s="39" t="str">
        <f t="shared" si="10"/>
        <v>Elementos.de.Dutagem</v>
      </c>
      <c r="U23" s="39" t="str">
        <f t="shared" si="10"/>
        <v>Avac.Dutos</v>
      </c>
      <c r="V23" s="39" t="s">
        <v>231</v>
      </c>
      <c r="W23" s="68" t="str">
        <f t="shared" si="4"/>
        <v>Key-AVA-23</v>
      </c>
      <c r="X23" s="32" t="s">
        <v>239</v>
      </c>
      <c r="Y23" s="31" t="s">
        <v>238</v>
      </c>
      <c r="Z23" s="38" t="s">
        <v>286</v>
      </c>
      <c r="AA23" s="32" t="str">
        <f t="shared" si="3"/>
        <v>Duct segments are typically used to join two sections of the duct network.</v>
      </c>
    </row>
    <row r="24" spans="1:27" ht="6.65" customHeight="1" x14ac:dyDescent="0.4">
      <c r="A24" s="34">
        <v>24</v>
      </c>
      <c r="B24" s="1" t="s">
        <v>43</v>
      </c>
      <c r="C24" s="1" t="s">
        <v>481</v>
      </c>
      <c r="D24" s="1" t="s">
        <v>461</v>
      </c>
      <c r="E24" s="1" t="s">
        <v>294</v>
      </c>
      <c r="F24" s="36" t="s">
        <v>180</v>
      </c>
      <c r="G24" s="42" t="s">
        <v>9</v>
      </c>
      <c r="H24" s="42" t="s">
        <v>9</v>
      </c>
      <c r="I24" s="42" t="s">
        <v>9</v>
      </c>
      <c r="J24" s="42" t="s">
        <v>9</v>
      </c>
      <c r="K24" s="42" t="s">
        <v>9</v>
      </c>
      <c r="L24" s="37" t="str">
        <f t="shared" si="8"/>
        <v>Climatização</v>
      </c>
      <c r="M24" s="37" t="str">
        <f t="shared" si="8"/>
        <v>Elementos.de.Dutagem</v>
      </c>
      <c r="N24" s="37" t="str">
        <f t="shared" si="9"/>
        <v>Avac Dutos</v>
      </c>
      <c r="O24" s="32" t="str">
        <f t="shared" si="7"/>
        <v>Duto.Silenciador</v>
      </c>
      <c r="P24" s="32" t="s">
        <v>100</v>
      </c>
      <c r="Q24" s="32" t="s">
        <v>125</v>
      </c>
      <c r="R24" s="38" t="s">
        <v>9</v>
      </c>
      <c r="S24" s="39" t="str">
        <f t="shared" si="10"/>
        <v>Climatização</v>
      </c>
      <c r="T24" s="39" t="str">
        <f t="shared" si="10"/>
        <v>Elementos.de.Dutagem</v>
      </c>
      <c r="U24" s="39" t="str">
        <f t="shared" si="10"/>
        <v>Avac.Dutos</v>
      </c>
      <c r="V24" s="39" t="s">
        <v>231</v>
      </c>
      <c r="W24" s="68" t="str">
        <f t="shared" si="4"/>
        <v>Key-AVA-24</v>
      </c>
      <c r="X24" s="39" t="s">
        <v>240</v>
      </c>
      <c r="Y24" s="31" t="s">
        <v>241</v>
      </c>
      <c r="Z24" s="38" t="s">
        <v>286</v>
      </c>
      <c r="AA24" s="32" t="str">
        <f t="shared" si="3"/>
        <v>Duct muffler is a device that is usually installed inside distribution system.</v>
      </c>
    </row>
    <row r="25" spans="1:27" ht="6.65" customHeight="1" x14ac:dyDescent="0.4">
      <c r="A25" s="34">
        <v>25</v>
      </c>
      <c r="B25" s="1" t="s">
        <v>43</v>
      </c>
      <c r="C25" s="1" t="s">
        <v>481</v>
      </c>
      <c r="D25" s="1" t="s">
        <v>461</v>
      </c>
      <c r="E25" s="1" t="s">
        <v>294</v>
      </c>
      <c r="F25" s="40" t="s">
        <v>181</v>
      </c>
      <c r="G25" s="42" t="s">
        <v>9</v>
      </c>
      <c r="H25" s="42" t="s">
        <v>9</v>
      </c>
      <c r="I25" s="42" t="s">
        <v>9</v>
      </c>
      <c r="J25" s="42" t="s">
        <v>9</v>
      </c>
      <c r="K25" s="42" t="s">
        <v>9</v>
      </c>
      <c r="L25" s="37" t="str">
        <f t="shared" si="8"/>
        <v>Climatização</v>
      </c>
      <c r="M25" s="37" t="str">
        <f t="shared" si="8"/>
        <v>Elementos.de.Dutagem</v>
      </c>
      <c r="N25" s="37" t="str">
        <f t="shared" si="9"/>
        <v>Avac Dutos</v>
      </c>
      <c r="O25" s="32" t="str">
        <f t="shared" si="7"/>
        <v>Duto.Silenciador.Conexão</v>
      </c>
      <c r="P25" s="32" t="s">
        <v>162</v>
      </c>
      <c r="Q25" s="32" t="s">
        <v>163</v>
      </c>
      <c r="R25" s="38" t="s">
        <v>9</v>
      </c>
      <c r="S25" s="39" t="str">
        <f t="shared" si="10"/>
        <v>Climatização</v>
      </c>
      <c r="T25" s="39" t="str">
        <f t="shared" si="10"/>
        <v>Elementos.de.Dutagem</v>
      </c>
      <c r="U25" s="39" t="str">
        <f t="shared" si="10"/>
        <v>Avac.Dutos</v>
      </c>
      <c r="V25" s="39" t="s">
        <v>231</v>
      </c>
      <c r="W25" s="68" t="str">
        <f t="shared" si="4"/>
        <v>Key-AVA-25</v>
      </c>
      <c r="X25" s="39" t="s">
        <v>242</v>
      </c>
      <c r="Y25" s="31" t="s">
        <v>241</v>
      </c>
      <c r="Z25" s="38" t="s">
        <v>286</v>
      </c>
      <c r="AA25" s="32" t="str">
        <f t="shared" si="3"/>
        <v>Duct insulator type.</v>
      </c>
    </row>
    <row r="26" spans="1:27" ht="6.65" customHeight="1" x14ac:dyDescent="0.4">
      <c r="A26" s="34">
        <v>26</v>
      </c>
      <c r="B26" s="1" t="s">
        <v>43</v>
      </c>
      <c r="C26" s="1" t="s">
        <v>481</v>
      </c>
      <c r="D26" s="1" t="s">
        <v>461</v>
      </c>
      <c r="E26" s="1" t="s">
        <v>424</v>
      </c>
      <c r="F26" s="36" t="s">
        <v>199</v>
      </c>
      <c r="G26" s="42" t="s">
        <v>9</v>
      </c>
      <c r="H26" s="42" t="s">
        <v>9</v>
      </c>
      <c r="I26" s="42" t="s">
        <v>9</v>
      </c>
      <c r="J26" s="42" t="s">
        <v>9</v>
      </c>
      <c r="K26" s="42" t="s">
        <v>9</v>
      </c>
      <c r="L26" s="37" t="str">
        <f t="shared" si="8"/>
        <v>Climatização</v>
      </c>
      <c r="M26" s="37" t="str">
        <f t="shared" si="8"/>
        <v>Elementos.de.Dutagem</v>
      </c>
      <c r="N26" s="37" t="str">
        <f t="shared" si="9"/>
        <v>Avac Tubos</v>
      </c>
      <c r="O26" s="32" t="str">
        <f t="shared" si="7"/>
        <v>Avac.Tubo.Conexão</v>
      </c>
      <c r="P26" s="32" t="s">
        <v>161</v>
      </c>
      <c r="Q26" s="32" t="s">
        <v>126</v>
      </c>
      <c r="R26" s="38" t="s">
        <v>9</v>
      </c>
      <c r="S26" s="39" t="str">
        <f t="shared" si="10"/>
        <v>Climatização</v>
      </c>
      <c r="T26" s="39" t="str">
        <f t="shared" si="10"/>
        <v>Elementos.de.Dutagem</v>
      </c>
      <c r="U26" s="39" t="str">
        <f t="shared" si="10"/>
        <v>Avac.Tubos</v>
      </c>
      <c r="V26" s="39" t="s">
        <v>231</v>
      </c>
      <c r="W26" s="68" t="str">
        <f t="shared" si="4"/>
        <v>Key-AVA-26</v>
      </c>
      <c r="X26" s="32" t="s">
        <v>247</v>
      </c>
      <c r="Y26" s="31" t="s">
        <v>248</v>
      </c>
      <c r="Z26" s="38" t="s">
        <v>286</v>
      </c>
      <c r="AA26" s="32" t="str">
        <f t="shared" si="3"/>
        <v>Pipe connection is a junction or transition in the pipe flow distribution system.</v>
      </c>
    </row>
    <row r="27" spans="1:27" ht="6.65" customHeight="1" x14ac:dyDescent="0.4">
      <c r="A27" s="34">
        <v>27</v>
      </c>
      <c r="B27" s="1" t="s">
        <v>43</v>
      </c>
      <c r="C27" s="1" t="s">
        <v>481</v>
      </c>
      <c r="D27" s="1" t="s">
        <v>461</v>
      </c>
      <c r="E27" s="1" t="s">
        <v>424</v>
      </c>
      <c r="F27" s="36" t="s">
        <v>200</v>
      </c>
      <c r="G27" s="42" t="s">
        <v>9</v>
      </c>
      <c r="H27" s="42" t="s">
        <v>9</v>
      </c>
      <c r="I27" s="42" t="s">
        <v>9</v>
      </c>
      <c r="J27" s="42" t="s">
        <v>9</v>
      </c>
      <c r="K27" s="42" t="s">
        <v>9</v>
      </c>
      <c r="L27" s="37" t="str">
        <f t="shared" si="8"/>
        <v>Climatização</v>
      </c>
      <c r="M27" s="37" t="str">
        <f t="shared" si="8"/>
        <v>Elementos.de.Dutagem</v>
      </c>
      <c r="N27" s="37" t="str">
        <f t="shared" si="9"/>
        <v>Avac Tubos</v>
      </c>
      <c r="O27" s="32" t="str">
        <f t="shared" si="7"/>
        <v>Avac.Tubo.Segmento</v>
      </c>
      <c r="P27" s="32" t="s">
        <v>112</v>
      </c>
      <c r="Q27" s="32" t="s">
        <v>127</v>
      </c>
      <c r="R27" s="38" t="s">
        <v>9</v>
      </c>
      <c r="S27" s="39" t="str">
        <f t="shared" si="10"/>
        <v>Climatização</v>
      </c>
      <c r="T27" s="39" t="str">
        <f t="shared" si="10"/>
        <v>Elementos.de.Dutagem</v>
      </c>
      <c r="U27" s="39" t="str">
        <f t="shared" si="10"/>
        <v>Avac.Tubos</v>
      </c>
      <c r="V27" s="39" t="s">
        <v>231</v>
      </c>
      <c r="W27" s="68" t="str">
        <f t="shared" si="4"/>
        <v>Key-AVA-27</v>
      </c>
      <c r="X27" s="32" t="s">
        <v>249</v>
      </c>
      <c r="Y27" s="31" t="s">
        <v>250</v>
      </c>
      <c r="Z27" s="38" t="s">
        <v>286</v>
      </c>
      <c r="AA27" s="32" t="str">
        <f t="shared" si="3"/>
        <v>Pipe segments is used to typically join two sections of a plumbing network.</v>
      </c>
    </row>
    <row r="28" spans="1:27" ht="6.65" customHeight="1" x14ac:dyDescent="0.4">
      <c r="A28" s="34">
        <v>28</v>
      </c>
      <c r="B28" s="1" t="s">
        <v>43</v>
      </c>
      <c r="C28" s="1" t="s">
        <v>481</v>
      </c>
      <c r="D28" s="1" t="s">
        <v>461</v>
      </c>
      <c r="E28" s="1" t="s">
        <v>424</v>
      </c>
      <c r="F28" s="36" t="s">
        <v>201</v>
      </c>
      <c r="G28" s="42" t="s">
        <v>9</v>
      </c>
      <c r="H28" s="42" t="s">
        <v>9</v>
      </c>
      <c r="I28" s="42" t="s">
        <v>9</v>
      </c>
      <c r="J28" s="42" t="s">
        <v>9</v>
      </c>
      <c r="K28" s="42" t="s">
        <v>9</v>
      </c>
      <c r="L28" s="37" t="str">
        <f t="shared" si="8"/>
        <v>Climatização</v>
      </c>
      <c r="M28" s="37" t="str">
        <f t="shared" si="8"/>
        <v>Elementos.de.Dutagem</v>
      </c>
      <c r="N28" s="37" t="str">
        <f t="shared" si="9"/>
        <v>Avac Tubos</v>
      </c>
      <c r="O28" s="32" t="str">
        <f t="shared" si="7"/>
        <v>Avac.Tubo.Válvula</v>
      </c>
      <c r="P28" s="32" t="s">
        <v>113</v>
      </c>
      <c r="Q28" s="32" t="s">
        <v>148</v>
      </c>
      <c r="R28" s="38" t="s">
        <v>9</v>
      </c>
      <c r="S28" s="39" t="str">
        <f t="shared" si="10"/>
        <v>Climatização</v>
      </c>
      <c r="T28" s="39" t="str">
        <f t="shared" si="10"/>
        <v>Elementos.de.Dutagem</v>
      </c>
      <c r="U28" s="39" t="str">
        <f t="shared" si="10"/>
        <v>Avac.Tubos</v>
      </c>
      <c r="V28" s="39" t="s">
        <v>231</v>
      </c>
      <c r="W28" s="68" t="str">
        <f t="shared" si="4"/>
        <v>Key-AVA-28</v>
      </c>
      <c r="X28" s="32" t="s">
        <v>247</v>
      </c>
      <c r="Y28" s="31" t="s">
        <v>251</v>
      </c>
      <c r="Z28" s="38" t="s">
        <v>286</v>
      </c>
      <c r="AA28" s="32" t="str">
        <f t="shared" si="3"/>
        <v>Valve is used in plumbing distribution system for construction services.</v>
      </c>
    </row>
    <row r="29" spans="1:27" ht="6.65" customHeight="1" x14ac:dyDescent="0.4">
      <c r="A29" s="34">
        <v>29</v>
      </c>
      <c r="B29" s="1" t="s">
        <v>43</v>
      </c>
      <c r="C29" s="1" t="s">
        <v>481</v>
      </c>
      <c r="D29" s="1" t="s">
        <v>461</v>
      </c>
      <c r="E29" s="1" t="s">
        <v>425</v>
      </c>
      <c r="F29" s="1" t="s">
        <v>121</v>
      </c>
      <c r="G29" s="42" t="s">
        <v>9</v>
      </c>
      <c r="H29" s="42" t="s">
        <v>9</v>
      </c>
      <c r="I29" s="42" t="s">
        <v>9</v>
      </c>
      <c r="J29" s="42" t="s">
        <v>9</v>
      </c>
      <c r="K29" s="42" t="s">
        <v>9</v>
      </c>
      <c r="L29" s="37" t="str">
        <f t="shared" si="8"/>
        <v>Climatização</v>
      </c>
      <c r="M29" s="37" t="str">
        <f t="shared" si="8"/>
        <v>Elementos.de.Dutagem</v>
      </c>
      <c r="N29" s="37" t="str">
        <f t="shared" si="9"/>
        <v>Avac Terminais</v>
      </c>
      <c r="O29" s="32" t="str">
        <f t="shared" si="7"/>
        <v>Duto.Terminal</v>
      </c>
      <c r="P29" s="32" t="s">
        <v>188</v>
      </c>
      <c r="Q29" s="32" t="s">
        <v>189</v>
      </c>
      <c r="R29" s="38" t="s">
        <v>9</v>
      </c>
      <c r="S29" s="39" t="str">
        <f t="shared" si="10"/>
        <v>Climatização</v>
      </c>
      <c r="T29" s="39" t="str">
        <f t="shared" si="10"/>
        <v>Elementos.de.Dutagem</v>
      </c>
      <c r="U29" s="39" t="str">
        <f t="shared" si="10"/>
        <v>Avac.Terminais</v>
      </c>
      <c r="V29" s="39" t="s">
        <v>231</v>
      </c>
      <c r="W29" s="68" t="str">
        <f t="shared" si="4"/>
        <v>Key-AVA-29</v>
      </c>
      <c r="X29" s="32" t="s">
        <v>243</v>
      </c>
      <c r="Y29" s="31" t="s">
        <v>244</v>
      </c>
      <c r="Z29" s="38" t="s">
        <v>286</v>
      </c>
      <c r="AA29" s="32" t="str">
        <f t="shared" si="3"/>
        <v>Duct terminal, it can be a diffuser or a return mouth.</v>
      </c>
    </row>
    <row r="30" spans="1:27" ht="6.65" customHeight="1" x14ac:dyDescent="0.4">
      <c r="A30" s="34">
        <v>30</v>
      </c>
      <c r="B30" s="1" t="s">
        <v>43</v>
      </c>
      <c r="C30" s="1" t="s">
        <v>481</v>
      </c>
      <c r="D30" s="1" t="s">
        <v>461</v>
      </c>
      <c r="E30" s="1" t="s">
        <v>425</v>
      </c>
      <c r="F30" s="36" t="s">
        <v>426</v>
      </c>
      <c r="G30" s="42" t="s">
        <v>9</v>
      </c>
      <c r="H30" s="42" t="s">
        <v>9</v>
      </c>
      <c r="I30" s="42" t="s">
        <v>9</v>
      </c>
      <c r="J30" s="42" t="s">
        <v>9</v>
      </c>
      <c r="K30" s="42" t="s">
        <v>9</v>
      </c>
      <c r="L30" s="37" t="str">
        <f t="shared" si="8"/>
        <v>Climatização</v>
      </c>
      <c r="M30" s="37" t="str">
        <f t="shared" si="8"/>
        <v>Elementos.de.Dutagem</v>
      </c>
      <c r="N30" s="37" t="str">
        <f t="shared" si="9"/>
        <v>Avac Terminais</v>
      </c>
      <c r="O30" s="32" t="str">
        <f t="shared" si="7"/>
        <v>Avac.Caixa.Junção</v>
      </c>
      <c r="P30" s="32" t="s">
        <v>83</v>
      </c>
      <c r="Q30" s="32" t="s">
        <v>131</v>
      </c>
      <c r="R30" s="38" t="s">
        <v>9</v>
      </c>
      <c r="S30" s="39" t="str">
        <f t="shared" si="10"/>
        <v>Climatização</v>
      </c>
      <c r="T30" s="39" t="str">
        <f t="shared" si="10"/>
        <v>Elementos.de.Dutagem</v>
      </c>
      <c r="U30" s="39" t="str">
        <f t="shared" si="10"/>
        <v>Avac.Terminais</v>
      </c>
      <c r="V30" s="39" t="s">
        <v>231</v>
      </c>
      <c r="W30" s="68" t="str">
        <f t="shared" si="4"/>
        <v>Key-AVA-30</v>
      </c>
      <c r="X30" s="32" t="s">
        <v>235</v>
      </c>
      <c r="Y30" s="31" t="s">
        <v>245</v>
      </c>
      <c r="Z30" s="38" t="s">
        <v>286</v>
      </c>
      <c r="AA30" s="32" t="str">
        <f t="shared" si="3"/>
        <v>Junction box is a compartment where ducts are connected.</v>
      </c>
    </row>
    <row r="31" spans="1:27" ht="6.65" customHeight="1" x14ac:dyDescent="0.4">
      <c r="A31" s="34">
        <v>31</v>
      </c>
      <c r="B31" s="1" t="s">
        <v>43</v>
      </c>
      <c r="C31" s="1" t="s">
        <v>481</v>
      </c>
      <c r="D31" s="1" t="s">
        <v>461</v>
      </c>
      <c r="E31" s="1" t="s">
        <v>425</v>
      </c>
      <c r="F31" s="36" t="s">
        <v>427</v>
      </c>
      <c r="G31" s="42" t="s">
        <v>9</v>
      </c>
      <c r="H31" s="42" t="s">
        <v>9</v>
      </c>
      <c r="I31" s="42" t="s">
        <v>9</v>
      </c>
      <c r="J31" s="42" t="s">
        <v>9</v>
      </c>
      <c r="K31" s="42" t="s">
        <v>9</v>
      </c>
      <c r="L31" s="37" t="str">
        <f t="shared" si="8"/>
        <v>Climatização</v>
      </c>
      <c r="M31" s="37" t="str">
        <f t="shared" si="8"/>
        <v>Elementos.de.Dutagem</v>
      </c>
      <c r="N31" s="37" t="str">
        <f t="shared" si="9"/>
        <v>Avac Terminais</v>
      </c>
      <c r="O31" s="32" t="str">
        <f t="shared" si="7"/>
        <v>Avac.Caixa.Terminal</v>
      </c>
      <c r="P31" s="32" t="s">
        <v>198</v>
      </c>
      <c r="Q31" s="32" t="s">
        <v>197</v>
      </c>
      <c r="R31" s="38" t="s">
        <v>9</v>
      </c>
      <c r="S31" s="39" t="str">
        <f t="shared" si="10"/>
        <v>Climatização</v>
      </c>
      <c r="T31" s="39" t="str">
        <f t="shared" si="10"/>
        <v>Elementos.de.Dutagem</v>
      </c>
      <c r="U31" s="39" t="str">
        <f t="shared" si="10"/>
        <v>Avac.Terminais</v>
      </c>
      <c r="V31" s="39" t="s">
        <v>231</v>
      </c>
      <c r="W31" s="68" t="str">
        <f t="shared" si="4"/>
        <v>Key-AVA-31</v>
      </c>
      <c r="X31" s="32" t="s">
        <v>235</v>
      </c>
      <c r="Y31" s="31" t="s">
        <v>246</v>
      </c>
      <c r="Z31" s="38" t="s">
        <v>286</v>
      </c>
      <c r="AA31" s="32" t="str">
        <f t="shared" si="3"/>
        <v>Air terminal box is usually part of HVAC duct distribution system.</v>
      </c>
    </row>
    <row r="32" spans="1:27" ht="6.65" customHeight="1" x14ac:dyDescent="0.4">
      <c r="A32" s="34">
        <v>32</v>
      </c>
      <c r="B32" s="1" t="s">
        <v>43</v>
      </c>
      <c r="C32" s="1" t="s">
        <v>481</v>
      </c>
      <c r="D32" s="1" t="s">
        <v>462</v>
      </c>
      <c r="E32" s="1" t="s">
        <v>423</v>
      </c>
      <c r="F32" s="36" t="s">
        <v>191</v>
      </c>
      <c r="G32" s="42" t="s">
        <v>9</v>
      </c>
      <c r="H32" s="42" t="s">
        <v>9</v>
      </c>
      <c r="I32" s="42" t="s">
        <v>9</v>
      </c>
      <c r="J32" s="42" t="s">
        <v>9</v>
      </c>
      <c r="K32" s="42" t="s">
        <v>9</v>
      </c>
      <c r="L32" s="37" t="str">
        <f t="shared" si="8"/>
        <v>Climatização</v>
      </c>
      <c r="M32" s="37" t="str">
        <f t="shared" si="8"/>
        <v>Elementos.de.Climatização</v>
      </c>
      <c r="N32" s="37" t="str">
        <f t="shared" si="9"/>
        <v>Avac Equipamentos</v>
      </c>
      <c r="O32" s="32" t="str">
        <f t="shared" si="7"/>
        <v>Avac.Compressor</v>
      </c>
      <c r="P32" s="32" t="s">
        <v>97</v>
      </c>
      <c r="Q32" s="32" t="s">
        <v>145</v>
      </c>
      <c r="R32" s="38" t="s">
        <v>9</v>
      </c>
      <c r="S32" s="39" t="str">
        <f t="shared" si="10"/>
        <v>Climatização</v>
      </c>
      <c r="T32" s="39" t="str">
        <f t="shared" si="10"/>
        <v>Elementos.de.Climatização</v>
      </c>
      <c r="U32" s="39" t="str">
        <f t="shared" si="10"/>
        <v>Avac.Equipamentos</v>
      </c>
      <c r="V32" s="39" t="s">
        <v>231</v>
      </c>
      <c r="W32" s="68" t="str">
        <f t="shared" si="4"/>
        <v>Key-AVA-32</v>
      </c>
      <c r="X32" s="31" t="s">
        <v>252</v>
      </c>
      <c r="Y32" s="31" t="s">
        <v>253</v>
      </c>
      <c r="Z32" s="38" t="s">
        <v>286</v>
      </c>
      <c r="AA32" s="32" t="str">
        <f t="shared" si="3"/>
        <v>A compressor is a device that compresses a fluid normally used in a refrigeration circuit.</v>
      </c>
    </row>
    <row r="33" spans="1:27" ht="6.65" customHeight="1" x14ac:dyDescent="0.4">
      <c r="A33" s="34">
        <v>33</v>
      </c>
      <c r="B33" s="1" t="s">
        <v>43</v>
      </c>
      <c r="C33" s="1" t="s">
        <v>481</v>
      </c>
      <c r="D33" s="1" t="s">
        <v>462</v>
      </c>
      <c r="E33" s="1" t="s">
        <v>423</v>
      </c>
      <c r="F33" s="36" t="s">
        <v>190</v>
      </c>
      <c r="G33" s="42" t="s">
        <v>9</v>
      </c>
      <c r="H33" s="42" t="s">
        <v>9</v>
      </c>
      <c r="I33" s="42" t="s">
        <v>9</v>
      </c>
      <c r="J33" s="42" t="s">
        <v>9</v>
      </c>
      <c r="K33" s="42" t="s">
        <v>9</v>
      </c>
      <c r="L33" s="37" t="str">
        <f t="shared" si="8"/>
        <v>Climatização</v>
      </c>
      <c r="M33" s="37" t="str">
        <f t="shared" si="8"/>
        <v>Elementos.de.Climatização</v>
      </c>
      <c r="N33" s="37" t="str">
        <f t="shared" si="9"/>
        <v>Avac Equipamentos</v>
      </c>
      <c r="O33" s="32" t="str">
        <f t="shared" si="7"/>
        <v>Avac.Filtro</v>
      </c>
      <c r="P33" s="32" t="s">
        <v>102</v>
      </c>
      <c r="Q33" s="32" t="s">
        <v>147</v>
      </c>
      <c r="R33" s="38" t="s">
        <v>9</v>
      </c>
      <c r="S33" s="39" t="str">
        <f t="shared" si="10"/>
        <v>Climatização</v>
      </c>
      <c r="T33" s="39" t="str">
        <f t="shared" si="10"/>
        <v>Elementos.de.Climatização</v>
      </c>
      <c r="U33" s="39" t="str">
        <f t="shared" si="10"/>
        <v>Avac.Equipamentos</v>
      </c>
      <c r="V33" s="39" t="s">
        <v>231</v>
      </c>
      <c r="W33" s="68" t="str">
        <f t="shared" si="4"/>
        <v>Key-AVA-33</v>
      </c>
      <c r="X33" s="31" t="s">
        <v>252</v>
      </c>
      <c r="Y33" s="31" t="s">
        <v>254</v>
      </c>
      <c r="Z33" s="38" t="s">
        <v>286</v>
      </c>
      <c r="AA33" s="32" t="str">
        <f t="shared" si="3"/>
        <v>A filter is a device used to remove particles or gaseous matter from fluids and gases.</v>
      </c>
    </row>
    <row r="34" spans="1:27" ht="6.65" customHeight="1" x14ac:dyDescent="0.4">
      <c r="A34" s="34">
        <v>34</v>
      </c>
      <c r="B34" s="1" t="s">
        <v>43</v>
      </c>
      <c r="C34" s="1" t="s">
        <v>481</v>
      </c>
      <c r="D34" s="1" t="s">
        <v>462</v>
      </c>
      <c r="E34" s="1" t="s">
        <v>423</v>
      </c>
      <c r="F34" s="36" t="s">
        <v>192</v>
      </c>
      <c r="G34" s="42" t="s">
        <v>9</v>
      </c>
      <c r="H34" s="42" t="s">
        <v>9</v>
      </c>
      <c r="I34" s="42" t="s">
        <v>9</v>
      </c>
      <c r="J34" s="42" t="s">
        <v>9</v>
      </c>
      <c r="K34" s="42" t="s">
        <v>9</v>
      </c>
      <c r="L34" s="37" t="str">
        <f t="shared" si="8"/>
        <v>Climatização</v>
      </c>
      <c r="M34" s="37" t="str">
        <f t="shared" si="8"/>
        <v>Elementos.de.Climatização</v>
      </c>
      <c r="N34" s="37" t="str">
        <f t="shared" si="9"/>
        <v>Avac Equipamentos</v>
      </c>
      <c r="O34" s="32" t="str">
        <f t="shared" si="7"/>
        <v>Avac.Unitário</v>
      </c>
      <c r="P34" s="32" t="s">
        <v>101</v>
      </c>
      <c r="Q34" s="32" t="s">
        <v>146</v>
      </c>
      <c r="R34" s="38" t="s">
        <v>9</v>
      </c>
      <c r="S34" s="39" t="str">
        <f t="shared" si="10"/>
        <v>Climatização</v>
      </c>
      <c r="T34" s="39" t="str">
        <f t="shared" si="10"/>
        <v>Elementos.de.Climatização</v>
      </c>
      <c r="U34" s="39" t="str">
        <f t="shared" si="10"/>
        <v>Avac.Equipamentos</v>
      </c>
      <c r="V34" s="39" t="s">
        <v>231</v>
      </c>
      <c r="W34" s="68" t="str">
        <f t="shared" si="4"/>
        <v>Key-AVA-34</v>
      </c>
      <c r="X34" s="31" t="s">
        <v>252</v>
      </c>
      <c r="Y34" s="31" t="s">
        <v>255</v>
      </c>
      <c r="Z34" s="38" t="s">
        <v>286</v>
      </c>
      <c r="AA34" s="32" t="str">
        <f t="shared" si="3"/>
        <v>Unitary equipment usually combines several components into a single product, such as an air handle.</v>
      </c>
    </row>
    <row r="35" spans="1:27" ht="6.65" customHeight="1" x14ac:dyDescent="0.4">
      <c r="A35" s="34">
        <v>35</v>
      </c>
      <c r="B35" s="1" t="s">
        <v>43</v>
      </c>
      <c r="C35" s="1" t="s">
        <v>481</v>
      </c>
      <c r="D35" s="1" t="s">
        <v>462</v>
      </c>
      <c r="E35" s="1" t="s">
        <v>423</v>
      </c>
      <c r="F35" s="36" t="s">
        <v>368</v>
      </c>
      <c r="G35" s="42" t="s">
        <v>9</v>
      </c>
      <c r="H35" s="42" t="s">
        <v>9</v>
      </c>
      <c r="I35" s="42" t="s">
        <v>9</v>
      </c>
      <c r="J35" s="42" t="s">
        <v>9</v>
      </c>
      <c r="K35" s="42" t="s">
        <v>9</v>
      </c>
      <c r="L35" s="37" t="str">
        <f t="shared" si="8"/>
        <v>Climatização</v>
      </c>
      <c r="M35" s="37" t="str">
        <f t="shared" si="8"/>
        <v>Elementos.de.Climatização</v>
      </c>
      <c r="N35" s="37" t="str">
        <f t="shared" si="9"/>
        <v>Avac Equipamentos</v>
      </c>
      <c r="O35" s="32" t="str">
        <f t="shared" si="7"/>
        <v>Avac.Bobina.de.Tubos</v>
      </c>
      <c r="P35" s="32" t="s">
        <v>90</v>
      </c>
      <c r="Q35" s="32" t="s">
        <v>138</v>
      </c>
      <c r="R35" s="38" t="s">
        <v>9</v>
      </c>
      <c r="S35" s="39" t="str">
        <f t="shared" si="10"/>
        <v>Climatização</v>
      </c>
      <c r="T35" s="39" t="str">
        <f t="shared" si="10"/>
        <v>Elementos.de.Climatização</v>
      </c>
      <c r="U35" s="39" t="str">
        <f t="shared" si="10"/>
        <v>Avac.Equipamentos</v>
      </c>
      <c r="V35" s="39" t="s">
        <v>231</v>
      </c>
      <c r="W35" s="68" t="str">
        <f t="shared" si="4"/>
        <v>Key-AVA-35</v>
      </c>
      <c r="X35" s="31" t="s">
        <v>252</v>
      </c>
      <c r="Y35" s="31" t="s">
        <v>256</v>
      </c>
      <c r="Z35" s="38" t="s">
        <v>286</v>
      </c>
      <c r="AA35" s="32" t="str">
        <f t="shared" si="3"/>
        <v>Bundle of tubes is a device consisting of tubes and bundles of tubes used for heat transfer and containment.</v>
      </c>
    </row>
    <row r="36" spans="1:27" ht="6.65" customHeight="1" x14ac:dyDescent="0.4">
      <c r="A36" s="34">
        <v>36</v>
      </c>
      <c r="B36" s="1" t="s">
        <v>43</v>
      </c>
      <c r="C36" s="1" t="s">
        <v>481</v>
      </c>
      <c r="D36" s="1" t="s">
        <v>462</v>
      </c>
      <c r="E36" s="1" t="s">
        <v>423</v>
      </c>
      <c r="F36" s="36" t="s">
        <v>369</v>
      </c>
      <c r="G36" s="42" t="s">
        <v>9</v>
      </c>
      <c r="H36" s="42" t="s">
        <v>9</v>
      </c>
      <c r="I36" s="42" t="s">
        <v>9</v>
      </c>
      <c r="J36" s="42" t="s">
        <v>9</v>
      </c>
      <c r="K36" s="42" t="s">
        <v>9</v>
      </c>
      <c r="L36" s="37" t="str">
        <f t="shared" si="8"/>
        <v>Climatização</v>
      </c>
      <c r="M36" s="37" t="str">
        <f t="shared" si="8"/>
        <v>Elementos.de.Climatização</v>
      </c>
      <c r="N36" s="37" t="str">
        <f t="shared" si="9"/>
        <v>Avac Equipamentos</v>
      </c>
      <c r="O36" s="32" t="str">
        <f t="shared" si="7"/>
        <v>Avac.Caldeira</v>
      </c>
      <c r="P36" s="32" t="s">
        <v>84</v>
      </c>
      <c r="Q36" s="32" t="s">
        <v>132</v>
      </c>
      <c r="R36" s="38" t="s">
        <v>9</v>
      </c>
      <c r="S36" s="39" t="str">
        <f t="shared" si="10"/>
        <v>Climatização</v>
      </c>
      <c r="T36" s="39" t="str">
        <f t="shared" si="10"/>
        <v>Elementos.de.Climatização</v>
      </c>
      <c r="U36" s="39" t="str">
        <f t="shared" si="10"/>
        <v>Avac.Equipamentos</v>
      </c>
      <c r="V36" s="39" t="s">
        <v>231</v>
      </c>
      <c r="W36" s="68" t="str">
        <f t="shared" si="4"/>
        <v>Key-AVA-36</v>
      </c>
      <c r="X36" s="31" t="s">
        <v>252</v>
      </c>
      <c r="Y36" s="31" t="s">
        <v>257</v>
      </c>
      <c r="Z36" s="38" t="s">
        <v>286</v>
      </c>
      <c r="AA36" s="32" t="str">
        <f t="shared" si="3"/>
        <v>A boiler is a closed piece of equipment, rated for pressure, in which water or other fluid.</v>
      </c>
    </row>
    <row r="37" spans="1:27" ht="6.65" customHeight="1" x14ac:dyDescent="0.4">
      <c r="A37" s="34">
        <v>37</v>
      </c>
      <c r="B37" s="1" t="s">
        <v>43</v>
      </c>
      <c r="C37" s="1" t="s">
        <v>481</v>
      </c>
      <c r="D37" s="1" t="s">
        <v>462</v>
      </c>
      <c r="E37" s="1" t="s">
        <v>423</v>
      </c>
      <c r="F37" s="36" t="s">
        <v>370</v>
      </c>
      <c r="G37" s="42" t="s">
        <v>9</v>
      </c>
      <c r="H37" s="42" t="s">
        <v>9</v>
      </c>
      <c r="I37" s="42" t="s">
        <v>9</v>
      </c>
      <c r="J37" s="42" t="s">
        <v>9</v>
      </c>
      <c r="K37" s="42" t="s">
        <v>9</v>
      </c>
      <c r="L37" s="37" t="str">
        <f t="shared" ref="L37:M89" si="11">CONCATENATE("", C37)</f>
        <v>Climatização</v>
      </c>
      <c r="M37" s="37" t="str">
        <f t="shared" si="11"/>
        <v>Elementos.de.Climatização</v>
      </c>
      <c r="N37" s="37" t="str">
        <f t="shared" si="9"/>
        <v>Avac Equipamentos</v>
      </c>
      <c r="O37" s="32" t="str">
        <f t="shared" si="7"/>
        <v>Avac.Chaminé</v>
      </c>
      <c r="P37" s="32" t="s">
        <v>87</v>
      </c>
      <c r="Q37" s="32" t="s">
        <v>135</v>
      </c>
      <c r="R37" s="38" t="s">
        <v>9</v>
      </c>
      <c r="S37" s="39" t="str">
        <f t="shared" si="10"/>
        <v>Climatização</v>
      </c>
      <c r="T37" s="39" t="str">
        <f t="shared" si="10"/>
        <v>Elementos.de.Climatização</v>
      </c>
      <c r="U37" s="39" t="str">
        <f t="shared" si="10"/>
        <v>Avac.Equipamentos</v>
      </c>
      <c r="V37" s="39" t="s">
        <v>231</v>
      </c>
      <c r="W37" s="68" t="str">
        <f t="shared" si="4"/>
        <v>Key-AVA-37</v>
      </c>
      <c r="X37" s="31" t="s">
        <v>252</v>
      </c>
      <c r="Y37" s="31" t="s">
        <v>258</v>
      </c>
      <c r="Z37" s="38" t="s">
        <v>286</v>
      </c>
      <c r="AA37" s="32" t="str">
        <f t="shared" si="3"/>
        <v>Generally vertical ducts, used to exhaust gases from equipment such as boilers.</v>
      </c>
    </row>
    <row r="38" spans="1:27" ht="6.65" customHeight="1" x14ac:dyDescent="0.4">
      <c r="A38" s="34">
        <v>38</v>
      </c>
      <c r="B38" s="1" t="s">
        <v>43</v>
      </c>
      <c r="C38" s="1" t="s">
        <v>481</v>
      </c>
      <c r="D38" s="1" t="s">
        <v>462</v>
      </c>
      <c r="E38" s="1" t="s">
        <v>423</v>
      </c>
      <c r="F38" s="36" t="s">
        <v>371</v>
      </c>
      <c r="G38" s="42" t="s">
        <v>9</v>
      </c>
      <c r="H38" s="42" t="s">
        <v>9</v>
      </c>
      <c r="I38" s="42" t="s">
        <v>9</v>
      </c>
      <c r="J38" s="42" t="s">
        <v>9</v>
      </c>
      <c r="K38" s="42" t="s">
        <v>9</v>
      </c>
      <c r="L38" s="37" t="str">
        <f t="shared" si="11"/>
        <v>Climatização</v>
      </c>
      <c r="M38" s="37" t="str">
        <f t="shared" si="11"/>
        <v>Elementos.de.Climatização</v>
      </c>
      <c r="N38" s="37" t="str">
        <f t="shared" si="9"/>
        <v>Avac Equipamentos</v>
      </c>
      <c r="O38" s="32" t="str">
        <f t="shared" si="7"/>
        <v>Avac.Chiller</v>
      </c>
      <c r="P38" s="32" t="s">
        <v>86</v>
      </c>
      <c r="Q38" s="32" t="s">
        <v>134</v>
      </c>
      <c r="R38" s="38" t="s">
        <v>9</v>
      </c>
      <c r="S38" s="39" t="str">
        <f t="shared" si="10"/>
        <v>Climatização</v>
      </c>
      <c r="T38" s="39" t="str">
        <f t="shared" si="10"/>
        <v>Elementos.de.Climatização</v>
      </c>
      <c r="U38" s="39" t="str">
        <f t="shared" si="10"/>
        <v>Avac.Equipamentos</v>
      </c>
      <c r="V38" s="39" t="s">
        <v>231</v>
      </c>
      <c r="W38" s="68" t="str">
        <f t="shared" si="4"/>
        <v>Key-AVA-38</v>
      </c>
      <c r="X38" s="31" t="s">
        <v>252</v>
      </c>
      <c r="Y38" s="31" t="s">
        <v>259</v>
      </c>
      <c r="Z38" s="38" t="s">
        <v>286</v>
      </c>
      <c r="AA38" s="32" t="str">
        <f t="shared" si="3"/>
        <v>A device used to remove heat from a liquid through a refrigeration cycle.</v>
      </c>
    </row>
    <row r="39" spans="1:27" ht="6.65" customHeight="1" x14ac:dyDescent="0.4">
      <c r="A39" s="34">
        <v>39</v>
      </c>
      <c r="B39" s="1" t="s">
        <v>43</v>
      </c>
      <c r="C39" s="1" t="s">
        <v>481</v>
      </c>
      <c r="D39" s="1" t="s">
        <v>462</v>
      </c>
      <c r="E39" s="1" t="s">
        <v>423</v>
      </c>
      <c r="F39" s="36" t="s">
        <v>372</v>
      </c>
      <c r="G39" s="42" t="s">
        <v>9</v>
      </c>
      <c r="H39" s="42" t="s">
        <v>9</v>
      </c>
      <c r="I39" s="42" t="s">
        <v>9</v>
      </c>
      <c r="J39" s="42" t="s">
        <v>9</v>
      </c>
      <c r="K39" s="42" t="s">
        <v>9</v>
      </c>
      <c r="L39" s="37" t="str">
        <f t="shared" si="11"/>
        <v>Climatização</v>
      </c>
      <c r="M39" s="37" t="str">
        <f t="shared" si="11"/>
        <v>Elementos.de.Climatização</v>
      </c>
      <c r="N39" s="37" t="str">
        <f t="shared" si="9"/>
        <v>Avac Equipamentos</v>
      </c>
      <c r="O39" s="32" t="str">
        <f t="shared" si="7"/>
        <v>Avac.Condensador</v>
      </c>
      <c r="P39" s="32" t="s">
        <v>88</v>
      </c>
      <c r="Q39" s="32" t="s">
        <v>136</v>
      </c>
      <c r="R39" s="38" t="s">
        <v>9</v>
      </c>
      <c r="S39" s="39" t="str">
        <f t="shared" ref="S39:U54" si="12">SUBSTITUTE(C39, "_", " ")</f>
        <v>Climatização</v>
      </c>
      <c r="T39" s="39" t="str">
        <f t="shared" si="12"/>
        <v>Elementos.de.Climatização</v>
      </c>
      <c r="U39" s="39" t="str">
        <f t="shared" si="12"/>
        <v>Avac.Equipamentos</v>
      </c>
      <c r="V39" s="39" t="s">
        <v>231</v>
      </c>
      <c r="W39" s="68" t="str">
        <f t="shared" si="4"/>
        <v>Key-AVA-39</v>
      </c>
      <c r="X39" s="31" t="s">
        <v>252</v>
      </c>
      <c r="Y39" s="31" t="s">
        <v>260</v>
      </c>
      <c r="Z39" s="38" t="s">
        <v>286</v>
      </c>
      <c r="AA39" s="32" t="str">
        <f t="shared" si="3"/>
        <v>A device used to dissipate heat, usually by condensing a substance.</v>
      </c>
    </row>
    <row r="40" spans="1:27" ht="6.65" customHeight="1" x14ac:dyDescent="0.4">
      <c r="A40" s="34">
        <v>40</v>
      </c>
      <c r="B40" s="1" t="s">
        <v>43</v>
      </c>
      <c r="C40" s="1" t="s">
        <v>481</v>
      </c>
      <c r="D40" s="1" t="s">
        <v>462</v>
      </c>
      <c r="E40" s="1" t="s">
        <v>423</v>
      </c>
      <c r="F40" s="36" t="s">
        <v>373</v>
      </c>
      <c r="G40" s="42" t="s">
        <v>9</v>
      </c>
      <c r="H40" s="42" t="s">
        <v>9</v>
      </c>
      <c r="I40" s="42" t="s">
        <v>9</v>
      </c>
      <c r="J40" s="42" t="s">
        <v>9</v>
      </c>
      <c r="K40" s="42" t="s">
        <v>9</v>
      </c>
      <c r="L40" s="37" t="str">
        <f t="shared" si="11"/>
        <v>Climatização</v>
      </c>
      <c r="M40" s="37" t="str">
        <f t="shared" si="11"/>
        <v>Elementos.de.Climatização</v>
      </c>
      <c r="N40" s="37" t="str">
        <f t="shared" si="9"/>
        <v>Avac Equipamentos</v>
      </c>
      <c r="O40" s="32" t="str">
        <f t="shared" si="7"/>
        <v>Avac.Evaporador</v>
      </c>
      <c r="P40" s="32" t="s">
        <v>89</v>
      </c>
      <c r="Q40" s="32" t="s">
        <v>137</v>
      </c>
      <c r="R40" s="38" t="s">
        <v>9</v>
      </c>
      <c r="S40" s="39" t="str">
        <f t="shared" si="12"/>
        <v>Climatização</v>
      </c>
      <c r="T40" s="39" t="str">
        <f t="shared" si="12"/>
        <v>Elementos.de.Climatização</v>
      </c>
      <c r="U40" s="39" t="str">
        <f t="shared" si="12"/>
        <v>Avac.Equipamentos</v>
      </c>
      <c r="V40" s="39" t="s">
        <v>231</v>
      </c>
      <c r="W40" s="68" t="str">
        <f t="shared" si="4"/>
        <v>Key-AVA-40</v>
      </c>
      <c r="X40" s="31" t="s">
        <v>252</v>
      </c>
      <c r="Y40" s="31" t="s">
        <v>261</v>
      </c>
      <c r="Z40" s="38" t="s">
        <v>286</v>
      </c>
      <c r="AA40" s="32" t="str">
        <f t="shared" si="3"/>
        <v>A device in which a refrigerant fluid is vaporized that absorbs heat from the fluid.</v>
      </c>
    </row>
    <row r="41" spans="1:27" ht="6.65" customHeight="1" x14ac:dyDescent="0.4">
      <c r="A41" s="34">
        <v>41</v>
      </c>
      <c r="B41" s="1" t="s">
        <v>43</v>
      </c>
      <c r="C41" s="1" t="s">
        <v>481</v>
      </c>
      <c r="D41" s="1" t="s">
        <v>462</v>
      </c>
      <c r="E41" s="1" t="s">
        <v>423</v>
      </c>
      <c r="F41" s="36" t="s">
        <v>375</v>
      </c>
      <c r="G41" s="42" t="s">
        <v>9</v>
      </c>
      <c r="H41" s="42" t="s">
        <v>9</v>
      </c>
      <c r="I41" s="42" t="s">
        <v>9</v>
      </c>
      <c r="J41" s="42" t="s">
        <v>9</v>
      </c>
      <c r="K41" s="42" t="s">
        <v>9</v>
      </c>
      <c r="L41" s="37" t="str">
        <f t="shared" si="11"/>
        <v>Climatização</v>
      </c>
      <c r="M41" s="37" t="str">
        <f t="shared" si="11"/>
        <v>Elementos.de.Climatização</v>
      </c>
      <c r="N41" s="37" t="str">
        <f t="shared" si="9"/>
        <v>Avac Equipamentos</v>
      </c>
      <c r="O41" s="32" t="str">
        <f t="shared" si="7"/>
        <v>Avac.Queimador</v>
      </c>
      <c r="P41" s="32" t="s">
        <v>85</v>
      </c>
      <c r="Q41" s="32" t="s">
        <v>133</v>
      </c>
      <c r="R41" s="38" t="s">
        <v>9</v>
      </c>
      <c r="S41" s="39" t="str">
        <f t="shared" si="12"/>
        <v>Climatização</v>
      </c>
      <c r="T41" s="39" t="str">
        <f t="shared" si="12"/>
        <v>Elementos.de.Climatização</v>
      </c>
      <c r="U41" s="39" t="str">
        <f t="shared" si="12"/>
        <v>Avac.Equipamentos</v>
      </c>
      <c r="V41" s="39" t="s">
        <v>231</v>
      </c>
      <c r="W41" s="68" t="str">
        <f t="shared" si="4"/>
        <v>Key-AVA-41</v>
      </c>
      <c r="X41" s="31" t="s">
        <v>252</v>
      </c>
      <c r="Y41" s="31" t="s">
        <v>262</v>
      </c>
      <c r="Z41" s="38" t="s">
        <v>286</v>
      </c>
      <c r="AA41" s="32" t="str">
        <f t="shared" si="3"/>
        <v>A device that converts fuel into heat through combustion.</v>
      </c>
    </row>
    <row r="42" spans="1:27" ht="6.65" customHeight="1" x14ac:dyDescent="0.4">
      <c r="A42" s="34">
        <v>42</v>
      </c>
      <c r="B42" s="1" t="s">
        <v>43</v>
      </c>
      <c r="C42" s="1" t="s">
        <v>481</v>
      </c>
      <c r="D42" s="1" t="s">
        <v>462</v>
      </c>
      <c r="E42" s="1" t="s">
        <v>423</v>
      </c>
      <c r="F42" s="36" t="s">
        <v>374</v>
      </c>
      <c r="G42" s="42" t="s">
        <v>9</v>
      </c>
      <c r="H42" s="42" t="s">
        <v>9</v>
      </c>
      <c r="I42" s="42" t="s">
        <v>9</v>
      </c>
      <c r="J42" s="42" t="s">
        <v>9</v>
      </c>
      <c r="K42" s="42" t="s">
        <v>9</v>
      </c>
      <c r="L42" s="37" t="str">
        <f t="shared" si="11"/>
        <v>Climatização</v>
      </c>
      <c r="M42" s="37" t="str">
        <f t="shared" si="11"/>
        <v>Elementos.de.Climatização</v>
      </c>
      <c r="N42" s="37" t="str">
        <f t="shared" si="9"/>
        <v>Avac Equipamentos</v>
      </c>
      <c r="O42" s="32" t="str">
        <f t="shared" si="7"/>
        <v>Avac.Recuperador.Ar-Ar</v>
      </c>
      <c r="P42" s="32" t="s">
        <v>91</v>
      </c>
      <c r="Q42" s="32" t="s">
        <v>139</v>
      </c>
      <c r="R42" s="38" t="s">
        <v>9</v>
      </c>
      <c r="S42" s="39" t="str">
        <f t="shared" si="12"/>
        <v>Climatização</v>
      </c>
      <c r="T42" s="39" t="str">
        <f t="shared" si="12"/>
        <v>Elementos.de.Climatização</v>
      </c>
      <c r="U42" s="39" t="str">
        <f t="shared" si="12"/>
        <v>Avac.Equipamentos</v>
      </c>
      <c r="V42" s="39" t="s">
        <v>231</v>
      </c>
      <c r="W42" s="68" t="str">
        <f t="shared" si="4"/>
        <v>Key-AVA-42</v>
      </c>
      <c r="X42" s="31" t="s">
        <v>252</v>
      </c>
      <c r="Y42" s="31" t="s">
        <v>263</v>
      </c>
      <c r="Z42" s="38" t="s">
        <v>286</v>
      </c>
      <c r="AA42" s="32" t="str">
        <f t="shared" si="3"/>
        <v>Air-to-air heat recovery device uses a countercurrent heat exchanger.</v>
      </c>
    </row>
    <row r="43" spans="1:27" ht="6.65" customHeight="1" x14ac:dyDescent="0.4">
      <c r="A43" s="34">
        <v>43</v>
      </c>
      <c r="B43" s="1" t="s">
        <v>43</v>
      </c>
      <c r="C43" s="1" t="s">
        <v>481</v>
      </c>
      <c r="D43" s="1" t="s">
        <v>462</v>
      </c>
      <c r="E43" s="1" t="s">
        <v>423</v>
      </c>
      <c r="F43" s="36" t="s">
        <v>376</v>
      </c>
      <c r="G43" s="42" t="s">
        <v>9</v>
      </c>
      <c r="H43" s="42" t="s">
        <v>9</v>
      </c>
      <c r="I43" s="42" t="s">
        <v>9</v>
      </c>
      <c r="J43" s="42" t="s">
        <v>9</v>
      </c>
      <c r="K43" s="42" t="s">
        <v>9</v>
      </c>
      <c r="L43" s="37" t="str">
        <f t="shared" si="11"/>
        <v>Climatização</v>
      </c>
      <c r="M43" s="37" t="str">
        <f t="shared" si="11"/>
        <v>Elementos.de.Climatização</v>
      </c>
      <c r="N43" s="37" t="str">
        <f t="shared" si="9"/>
        <v>Avac Equipamentos</v>
      </c>
      <c r="O43" s="32" t="str">
        <f t="shared" si="7"/>
        <v>Avac.Resfriador.Evaporativo</v>
      </c>
      <c r="P43" s="32" t="s">
        <v>92</v>
      </c>
      <c r="Q43" s="32" t="s">
        <v>140</v>
      </c>
      <c r="R43" s="38" t="s">
        <v>9</v>
      </c>
      <c r="S43" s="39" t="str">
        <f t="shared" si="12"/>
        <v>Climatização</v>
      </c>
      <c r="T43" s="39" t="str">
        <f t="shared" si="12"/>
        <v>Elementos.de.Climatização</v>
      </c>
      <c r="U43" s="39" t="str">
        <f t="shared" si="12"/>
        <v>Avac.Equipamentos</v>
      </c>
      <c r="V43" s="39" t="s">
        <v>231</v>
      </c>
      <c r="W43" s="68" t="str">
        <f t="shared" si="4"/>
        <v>Key-AVA-43</v>
      </c>
      <c r="X43" s="31" t="s">
        <v>252</v>
      </c>
      <c r="Y43" s="31" t="s">
        <v>264</v>
      </c>
      <c r="Z43" s="38" t="s">
        <v>286</v>
      </c>
      <c r="AA43" s="32" t="str">
        <f t="shared" si="3"/>
        <v>A device that cools the air by saturating it with water vapor.</v>
      </c>
    </row>
    <row r="44" spans="1:27" ht="6.65" customHeight="1" x14ac:dyDescent="0.4">
      <c r="A44" s="34">
        <v>44</v>
      </c>
      <c r="B44" s="1" t="s">
        <v>43</v>
      </c>
      <c r="C44" s="1" t="s">
        <v>481</v>
      </c>
      <c r="D44" s="1" t="s">
        <v>462</v>
      </c>
      <c r="E44" s="1" t="s">
        <v>423</v>
      </c>
      <c r="F44" s="36" t="s">
        <v>377</v>
      </c>
      <c r="G44" s="42" t="s">
        <v>9</v>
      </c>
      <c r="H44" s="42" t="s">
        <v>9</v>
      </c>
      <c r="I44" s="42" t="s">
        <v>9</v>
      </c>
      <c r="J44" s="42" t="s">
        <v>9</v>
      </c>
      <c r="K44" s="42" t="s">
        <v>9</v>
      </c>
      <c r="L44" s="37" t="str">
        <f t="shared" si="11"/>
        <v>Climatização</v>
      </c>
      <c r="M44" s="37" t="str">
        <f t="shared" si="11"/>
        <v>Elementos.de.Climatização</v>
      </c>
      <c r="N44" s="37" t="str">
        <f t="shared" si="9"/>
        <v>Avac Equipamentos</v>
      </c>
      <c r="O44" s="32" t="str">
        <f t="shared" si="7"/>
        <v>Avac.Serpentina</v>
      </c>
      <c r="P44" s="32" t="s">
        <v>93</v>
      </c>
      <c r="Q44" s="32" t="s">
        <v>141</v>
      </c>
      <c r="R44" s="38" t="s">
        <v>9</v>
      </c>
      <c r="S44" s="39" t="str">
        <f t="shared" si="12"/>
        <v>Climatização</v>
      </c>
      <c r="T44" s="39" t="str">
        <f t="shared" si="12"/>
        <v>Elementos.de.Climatização</v>
      </c>
      <c r="U44" s="39" t="str">
        <f t="shared" si="12"/>
        <v>Avac.Equipamentos</v>
      </c>
      <c r="V44" s="39" t="s">
        <v>231</v>
      </c>
      <c r="W44" s="68" t="str">
        <f t="shared" si="4"/>
        <v>Key-AVA-44</v>
      </c>
      <c r="X44" s="31" t="s">
        <v>252</v>
      </c>
      <c r="Y44" s="31" t="s">
        <v>265</v>
      </c>
      <c r="Z44" s="38" t="s">
        <v>286</v>
      </c>
      <c r="AA44" s="32" t="str">
        <f t="shared" si="3"/>
        <v>Coil is a device used to provide heat transfer between the unmixed media.</v>
      </c>
    </row>
    <row r="45" spans="1:27" ht="6.65" customHeight="1" x14ac:dyDescent="0.4">
      <c r="A45" s="34">
        <v>45</v>
      </c>
      <c r="B45" s="1" t="s">
        <v>43</v>
      </c>
      <c r="C45" s="1" t="s">
        <v>481</v>
      </c>
      <c r="D45" s="1" t="s">
        <v>462</v>
      </c>
      <c r="E45" s="1" t="s">
        <v>423</v>
      </c>
      <c r="F45" s="36" t="s">
        <v>378</v>
      </c>
      <c r="G45" s="42" t="s">
        <v>9</v>
      </c>
      <c r="H45" s="42" t="s">
        <v>9</v>
      </c>
      <c r="I45" s="42" t="s">
        <v>9</v>
      </c>
      <c r="J45" s="42" t="s">
        <v>9</v>
      </c>
      <c r="K45" s="42" t="s">
        <v>9</v>
      </c>
      <c r="L45" s="37" t="str">
        <f t="shared" si="11"/>
        <v>Climatização</v>
      </c>
      <c r="M45" s="37" t="str">
        <f t="shared" si="11"/>
        <v>Elementos.de.Climatização</v>
      </c>
      <c r="N45" s="37" t="str">
        <f t="shared" si="9"/>
        <v>Avac Equipamentos</v>
      </c>
      <c r="O45" s="32" t="str">
        <f t="shared" si="7"/>
        <v>Avac.Torre.Arrefecimento</v>
      </c>
      <c r="P45" s="32" t="s">
        <v>94</v>
      </c>
      <c r="Q45" s="32" t="s">
        <v>142</v>
      </c>
      <c r="R45" s="38" t="s">
        <v>9</v>
      </c>
      <c r="S45" s="39" t="str">
        <f t="shared" si="12"/>
        <v>Climatização</v>
      </c>
      <c r="T45" s="39" t="str">
        <f t="shared" si="12"/>
        <v>Elementos.de.Climatização</v>
      </c>
      <c r="U45" s="39" t="str">
        <f t="shared" si="12"/>
        <v>Avac.Equipamentos</v>
      </c>
      <c r="V45" s="39" t="s">
        <v>231</v>
      </c>
      <c r="W45" s="68" t="str">
        <f t="shared" si="4"/>
        <v>Key-AVA-45</v>
      </c>
      <c r="X45" s="31" t="s">
        <v>252</v>
      </c>
      <c r="Y45" s="31" t="s">
        <v>266</v>
      </c>
      <c r="Z45" s="38" t="s">
        <v>286</v>
      </c>
      <c r="AA45" s="32" t="str">
        <f t="shared" si="3"/>
        <v>Cooling tower is a device that rejects heat into ambient air by circulating a fluid.</v>
      </c>
    </row>
    <row r="46" spans="1:27" ht="6.65" customHeight="1" x14ac:dyDescent="0.4">
      <c r="A46" s="34">
        <v>46</v>
      </c>
      <c r="B46" s="1" t="s">
        <v>43</v>
      </c>
      <c r="C46" s="1" t="s">
        <v>481</v>
      </c>
      <c r="D46" s="1" t="s">
        <v>462</v>
      </c>
      <c r="E46" s="1" t="s">
        <v>423</v>
      </c>
      <c r="F46" s="36" t="s">
        <v>380</v>
      </c>
      <c r="G46" s="42" t="s">
        <v>9</v>
      </c>
      <c r="H46" s="42" t="s">
        <v>9</v>
      </c>
      <c r="I46" s="42" t="s">
        <v>9</v>
      </c>
      <c r="J46" s="42" t="s">
        <v>9</v>
      </c>
      <c r="K46" s="42" t="s">
        <v>9</v>
      </c>
      <c r="L46" s="37" t="str">
        <f t="shared" si="11"/>
        <v>Climatização</v>
      </c>
      <c r="M46" s="37" t="str">
        <f t="shared" si="11"/>
        <v>Elementos.de.Climatização</v>
      </c>
      <c r="N46" s="37" t="str">
        <f t="shared" si="9"/>
        <v>Avac Equipamentos</v>
      </c>
      <c r="O46" s="32" t="str">
        <f t="shared" si="7"/>
        <v>Avac.Trocador.de.Calor</v>
      </c>
      <c r="P46" s="32" t="s">
        <v>95</v>
      </c>
      <c r="Q46" s="32" t="s">
        <v>143</v>
      </c>
      <c r="R46" s="38" t="s">
        <v>9</v>
      </c>
      <c r="S46" s="39" t="str">
        <f t="shared" si="12"/>
        <v>Climatização</v>
      </c>
      <c r="T46" s="39" t="str">
        <f t="shared" si="12"/>
        <v>Elementos.de.Climatização</v>
      </c>
      <c r="U46" s="39" t="str">
        <f t="shared" si="12"/>
        <v>Avac.Equipamentos</v>
      </c>
      <c r="V46" s="39" t="s">
        <v>231</v>
      </c>
      <c r="W46" s="68" t="str">
        <f t="shared" si="4"/>
        <v>Key-AVA-46</v>
      </c>
      <c r="X46" s="31" t="s">
        <v>252</v>
      </c>
      <c r="Y46" s="31" t="s">
        <v>267</v>
      </c>
      <c r="Z46" s="38" t="s">
        <v>286</v>
      </c>
      <c r="AA46" s="32" t="str">
        <f t="shared" si="3"/>
        <v>Heat exchanger is a device used to provide heat transfer between media.</v>
      </c>
    </row>
    <row r="47" spans="1:27" ht="6.65" customHeight="1" x14ac:dyDescent="0.4">
      <c r="A47" s="34">
        <v>47</v>
      </c>
      <c r="B47" s="1" t="s">
        <v>43</v>
      </c>
      <c r="C47" s="1" t="s">
        <v>481</v>
      </c>
      <c r="D47" s="1" t="s">
        <v>462</v>
      </c>
      <c r="E47" s="1" t="s">
        <v>423</v>
      </c>
      <c r="F47" s="36" t="s">
        <v>379</v>
      </c>
      <c r="G47" s="42" t="s">
        <v>9</v>
      </c>
      <c r="H47" s="42" t="s">
        <v>9</v>
      </c>
      <c r="I47" s="42" t="s">
        <v>9</v>
      </c>
      <c r="J47" s="42" t="s">
        <v>9</v>
      </c>
      <c r="K47" s="42" t="s">
        <v>9</v>
      </c>
      <c r="L47" s="37" t="str">
        <f t="shared" si="11"/>
        <v>Climatização</v>
      </c>
      <c r="M47" s="37" t="str">
        <f t="shared" si="11"/>
        <v>Elementos.de.Climatização</v>
      </c>
      <c r="N47" s="37" t="str">
        <f t="shared" si="9"/>
        <v>Avac Equipamentos</v>
      </c>
      <c r="O47" s="32" t="str">
        <f t="shared" si="7"/>
        <v>Avac.Umidificador</v>
      </c>
      <c r="P47" s="32" t="s">
        <v>96</v>
      </c>
      <c r="Q47" s="32" t="s">
        <v>144</v>
      </c>
      <c r="R47" s="38" t="s">
        <v>9</v>
      </c>
      <c r="S47" s="39" t="str">
        <f t="shared" si="12"/>
        <v>Climatização</v>
      </c>
      <c r="T47" s="39" t="str">
        <f t="shared" si="12"/>
        <v>Elementos.de.Climatização</v>
      </c>
      <c r="U47" s="39" t="str">
        <f t="shared" si="12"/>
        <v>Avac.Equipamentos</v>
      </c>
      <c r="V47" s="39" t="s">
        <v>231</v>
      </c>
      <c r="W47" s="68" t="str">
        <f t="shared" si="4"/>
        <v>Key-AVA-47</v>
      </c>
      <c r="X47" s="31" t="s">
        <v>252</v>
      </c>
      <c r="Y47" s="31" t="s">
        <v>268</v>
      </c>
      <c r="Z47" s="38" t="s">
        <v>286</v>
      </c>
      <c r="AA47" s="32" t="str">
        <f t="shared" si="3"/>
        <v>Device that adds moisture to the air.</v>
      </c>
    </row>
    <row r="48" spans="1:27" ht="6.65" customHeight="1" x14ac:dyDescent="0.4">
      <c r="A48" s="34">
        <v>48</v>
      </c>
      <c r="B48" s="1" t="s">
        <v>43</v>
      </c>
      <c r="C48" s="1" t="s">
        <v>481</v>
      </c>
      <c r="D48" s="1" t="s">
        <v>462</v>
      </c>
      <c r="E48" s="1" t="s">
        <v>423</v>
      </c>
      <c r="F48" s="36" t="s">
        <v>381</v>
      </c>
      <c r="G48" s="42" t="s">
        <v>9</v>
      </c>
      <c r="H48" s="42" t="s">
        <v>9</v>
      </c>
      <c r="I48" s="42" t="s">
        <v>9</v>
      </c>
      <c r="J48" s="42" t="s">
        <v>9</v>
      </c>
      <c r="K48" s="42" t="s">
        <v>9</v>
      </c>
      <c r="L48" s="37" t="str">
        <f t="shared" si="11"/>
        <v>Climatização</v>
      </c>
      <c r="M48" s="37" t="str">
        <f t="shared" si="11"/>
        <v>Elementos.de.Climatização</v>
      </c>
      <c r="N48" s="37" t="str">
        <f t="shared" si="9"/>
        <v>Avac Equipamentos</v>
      </c>
      <c r="O48" s="32" t="str">
        <f t="shared" si="7"/>
        <v>Avac.Ventilador</v>
      </c>
      <c r="P48" s="32" t="s">
        <v>114</v>
      </c>
      <c r="Q48" s="32" t="s">
        <v>149</v>
      </c>
      <c r="R48" s="38" t="s">
        <v>9</v>
      </c>
      <c r="S48" s="39" t="str">
        <f t="shared" si="12"/>
        <v>Climatização</v>
      </c>
      <c r="T48" s="39" t="str">
        <f t="shared" si="12"/>
        <v>Elementos.de.Climatização</v>
      </c>
      <c r="U48" s="39" t="str">
        <f t="shared" si="12"/>
        <v>Avac.Equipamentos</v>
      </c>
      <c r="V48" s="39" t="s">
        <v>231</v>
      </c>
      <c r="W48" s="68" t="str">
        <f t="shared" si="4"/>
        <v>Key-AVA-48</v>
      </c>
      <c r="X48" s="31" t="s">
        <v>252</v>
      </c>
      <c r="Y48" s="31" t="s">
        <v>269</v>
      </c>
      <c r="Z48" s="38" t="s">
        <v>286</v>
      </c>
      <c r="AA48" s="32" t="str">
        <f t="shared" si="3"/>
        <v>A fan is a device that transmits mechanical work to a gas.</v>
      </c>
    </row>
    <row r="49" spans="1:27" ht="6.65" customHeight="1" x14ac:dyDescent="0.4">
      <c r="A49" s="34">
        <v>49</v>
      </c>
      <c r="B49" s="1" t="s">
        <v>43</v>
      </c>
      <c r="C49" s="1" t="s">
        <v>481</v>
      </c>
      <c r="D49" s="1" t="s">
        <v>462</v>
      </c>
      <c r="E49" s="1" t="s">
        <v>494</v>
      </c>
      <c r="F49" s="36" t="s">
        <v>495</v>
      </c>
      <c r="G49" s="42" t="s">
        <v>9</v>
      </c>
      <c r="H49" s="69" t="s">
        <v>9</v>
      </c>
      <c r="I49" s="69" t="s">
        <v>9</v>
      </c>
      <c r="J49" s="42" t="s">
        <v>9</v>
      </c>
      <c r="K49" s="42" t="s">
        <v>9</v>
      </c>
      <c r="L49" s="37" t="str">
        <f t="shared" si="11"/>
        <v>Climatização</v>
      </c>
      <c r="M49" s="37" t="str">
        <f t="shared" si="11"/>
        <v>Elementos.de.Climatização</v>
      </c>
      <c r="N49" s="37" t="str">
        <f t="shared" si="9"/>
        <v>Avac Equipamentos Unitarios</v>
      </c>
      <c r="O49" s="37" t="str">
        <f t="shared" ref="O49:O51" si="13">(SUBSTITUTE(SUBSTITUTE(CONCATENATE("",F49),"."," ")," De "," de "))</f>
        <v>Avac Aquecedor de Ambiente</v>
      </c>
      <c r="P49" s="32" t="s">
        <v>487</v>
      </c>
      <c r="Q49" s="32" t="s">
        <v>488</v>
      </c>
      <c r="R49" s="38" t="s">
        <v>9</v>
      </c>
      <c r="S49" s="39" t="str">
        <f t="shared" ref="S49:S51" si="14">SUBSTITUTE(C49, ".", " ")</f>
        <v>Climatização</v>
      </c>
      <c r="T49" s="39" t="str">
        <f t="shared" ref="T49:T51" si="15">SUBSTITUTE(D49, ".", " ")</f>
        <v>Elementos de Climatização</v>
      </c>
      <c r="U49" s="39" t="str">
        <f t="shared" ref="U49:U51" si="16">SUBSTITUTE(E49, ".", " ")</f>
        <v>Avac Equipamentos Unitarios</v>
      </c>
      <c r="V49" s="38" t="s">
        <v>489</v>
      </c>
      <c r="W49" s="68" t="str">
        <f t="shared" si="4"/>
        <v>Key-AVA-49</v>
      </c>
      <c r="X49" s="32" t="s">
        <v>498</v>
      </c>
      <c r="Y49" s="31" t="s">
        <v>499</v>
      </c>
      <c r="Z49" s="38" t="s">
        <v>286</v>
      </c>
      <c r="AA49" s="32" t="str">
        <f t="shared" si="3"/>
        <v>Space heaters use a combination of natural radiation and/or convection.</v>
      </c>
    </row>
    <row r="50" spans="1:27" ht="6.65" customHeight="1" x14ac:dyDescent="0.4">
      <c r="A50" s="34">
        <v>50</v>
      </c>
      <c r="B50" s="1" t="s">
        <v>43</v>
      </c>
      <c r="C50" s="1" t="s">
        <v>481</v>
      </c>
      <c r="D50" s="1" t="s">
        <v>462</v>
      </c>
      <c r="E50" s="1" t="s">
        <v>494</v>
      </c>
      <c r="F50" s="36" t="s">
        <v>496</v>
      </c>
      <c r="G50" s="42" t="s">
        <v>9</v>
      </c>
      <c r="H50" s="69" t="s">
        <v>9</v>
      </c>
      <c r="I50" s="69" t="s">
        <v>9</v>
      </c>
      <c r="J50" s="42" t="s">
        <v>9</v>
      </c>
      <c r="K50" s="42" t="s">
        <v>9</v>
      </c>
      <c r="L50" s="37" t="str">
        <f t="shared" si="11"/>
        <v>Climatização</v>
      </c>
      <c r="M50" s="37" t="str">
        <f t="shared" si="11"/>
        <v>Elementos.de.Climatização</v>
      </c>
      <c r="N50" s="37" t="str">
        <f t="shared" si="9"/>
        <v>Avac Equipamentos Unitarios</v>
      </c>
      <c r="O50" s="37" t="str">
        <f t="shared" si="13"/>
        <v>Avac Aquecedor Convector</v>
      </c>
      <c r="P50" s="32" t="s">
        <v>490</v>
      </c>
      <c r="Q50" s="32" t="s">
        <v>491</v>
      </c>
      <c r="R50" s="38" t="s">
        <v>9</v>
      </c>
      <c r="S50" s="39" t="str">
        <f t="shared" si="14"/>
        <v>Climatização</v>
      </c>
      <c r="T50" s="39" t="str">
        <f t="shared" si="15"/>
        <v>Elementos de Climatização</v>
      </c>
      <c r="U50" s="39" t="str">
        <f t="shared" si="16"/>
        <v>Avac Equipamentos Unitarios</v>
      </c>
      <c r="V50" s="38" t="s">
        <v>489</v>
      </c>
      <c r="W50" s="68" t="str">
        <f t="shared" si="4"/>
        <v>Key-AVA-50</v>
      </c>
      <c r="X50" s="32" t="s">
        <v>498</v>
      </c>
      <c r="Y50" s="31" t="s">
        <v>500</v>
      </c>
      <c r="Z50" s="38" t="s">
        <v>286</v>
      </c>
      <c r="AA50" s="32" t="str">
        <f t="shared" si="3"/>
        <v>Heat distribution unit that operates with air circulated by gravity.</v>
      </c>
    </row>
    <row r="51" spans="1:27" ht="6.65" customHeight="1" x14ac:dyDescent="0.4">
      <c r="A51" s="34">
        <v>51</v>
      </c>
      <c r="B51" s="1" t="s">
        <v>43</v>
      </c>
      <c r="C51" s="1" t="s">
        <v>481</v>
      </c>
      <c r="D51" s="1" t="s">
        <v>462</v>
      </c>
      <c r="E51" s="1" t="s">
        <v>494</v>
      </c>
      <c r="F51" s="36" t="s">
        <v>497</v>
      </c>
      <c r="G51" s="42" t="s">
        <v>9</v>
      </c>
      <c r="H51" s="69" t="s">
        <v>9</v>
      </c>
      <c r="I51" s="69" t="s">
        <v>9</v>
      </c>
      <c r="J51" s="42" t="s">
        <v>9</v>
      </c>
      <c r="K51" s="42" t="s">
        <v>9</v>
      </c>
      <c r="L51" s="37" t="str">
        <f t="shared" si="11"/>
        <v>Climatização</v>
      </c>
      <c r="M51" s="37" t="str">
        <f t="shared" si="11"/>
        <v>Elementos.de.Climatização</v>
      </c>
      <c r="N51" s="37" t="str">
        <f t="shared" si="9"/>
        <v>Avac Equipamentos Unitarios</v>
      </c>
      <c r="O51" s="37" t="str">
        <f t="shared" si="13"/>
        <v>Avac Aquecedor Radiação</v>
      </c>
      <c r="P51" s="32" t="s">
        <v>492</v>
      </c>
      <c r="Q51" s="32" t="s">
        <v>493</v>
      </c>
      <c r="R51" s="38" t="s">
        <v>9</v>
      </c>
      <c r="S51" s="39" t="str">
        <f t="shared" si="14"/>
        <v>Climatização</v>
      </c>
      <c r="T51" s="39" t="str">
        <f t="shared" si="15"/>
        <v>Elementos de Climatização</v>
      </c>
      <c r="U51" s="39" t="str">
        <f t="shared" si="16"/>
        <v>Avac Equipamentos Unitarios</v>
      </c>
      <c r="V51" s="38" t="s">
        <v>489</v>
      </c>
      <c r="W51" s="68" t="str">
        <f t="shared" si="4"/>
        <v>Key-AVA-51</v>
      </c>
      <c r="X51" s="32" t="s">
        <v>498</v>
      </c>
      <c r="Y51" s="31" t="s">
        <v>501</v>
      </c>
      <c r="Z51" s="38" t="s">
        <v>286</v>
      </c>
      <c r="AA51" s="32" t="str">
        <f t="shared" si="3"/>
        <v>Heat distribution unit that operates with thermal radiation.</v>
      </c>
    </row>
    <row r="52" spans="1:27" ht="6.65" customHeight="1" x14ac:dyDescent="0.4">
      <c r="A52" s="34">
        <v>52</v>
      </c>
      <c r="B52" s="1" t="s">
        <v>43</v>
      </c>
      <c r="C52" s="1" t="s">
        <v>481</v>
      </c>
      <c r="D52" s="35" t="s">
        <v>463</v>
      </c>
      <c r="E52" s="35" t="s">
        <v>421</v>
      </c>
      <c r="F52" s="36" t="s">
        <v>382</v>
      </c>
      <c r="G52" s="42" t="s">
        <v>9</v>
      </c>
      <c r="H52" s="42" t="s">
        <v>9</v>
      </c>
      <c r="I52" s="42" t="s">
        <v>9</v>
      </c>
      <c r="J52" s="42" t="s">
        <v>9</v>
      </c>
      <c r="K52" s="42" t="s">
        <v>9</v>
      </c>
      <c r="L52" s="37" t="str">
        <f t="shared" si="11"/>
        <v>Climatização</v>
      </c>
      <c r="M52" s="37" t="str">
        <f t="shared" si="11"/>
        <v>Elementos.de.AntiVibração</v>
      </c>
      <c r="N52" s="37" t="str">
        <f t="shared" si="9"/>
        <v>Avac Dampers</v>
      </c>
      <c r="O52" s="32" t="str">
        <f t="shared" si="7"/>
        <v>Avac.Amortecedor</v>
      </c>
      <c r="P52" s="32" t="s">
        <v>80</v>
      </c>
      <c r="Q52" s="32" t="s">
        <v>128</v>
      </c>
      <c r="R52" s="38" t="s">
        <v>9</v>
      </c>
      <c r="S52" s="39" t="str">
        <f t="shared" si="12"/>
        <v>Climatização</v>
      </c>
      <c r="T52" s="39" t="str">
        <f t="shared" si="12"/>
        <v>Elementos.de.AntiVibração</v>
      </c>
      <c r="U52" s="39" t="str">
        <f t="shared" si="12"/>
        <v>Avac.Dampers</v>
      </c>
      <c r="V52" s="39" t="s">
        <v>231</v>
      </c>
      <c r="W52" s="68" t="str">
        <f t="shared" si="4"/>
        <v>Key-AVA-52</v>
      </c>
      <c r="X52" s="32" t="s">
        <v>270</v>
      </c>
      <c r="Y52" s="31" t="s">
        <v>271</v>
      </c>
      <c r="Z52" s="38" t="s">
        <v>286</v>
      </c>
      <c r="AA52" s="32" t="str">
        <f t="shared" si="3"/>
        <v>Damper typically participates in HVAC duct distribution system and is used to control or modulate.</v>
      </c>
    </row>
    <row r="53" spans="1:27" ht="6.65" customHeight="1" x14ac:dyDescent="0.4">
      <c r="A53" s="34">
        <v>53</v>
      </c>
      <c r="B53" s="1" t="s">
        <v>43</v>
      </c>
      <c r="C53" s="1" t="s">
        <v>481</v>
      </c>
      <c r="D53" s="35" t="s">
        <v>463</v>
      </c>
      <c r="E53" s="35" t="s">
        <v>421</v>
      </c>
      <c r="F53" s="36" t="s">
        <v>383</v>
      </c>
      <c r="G53" s="42" t="s">
        <v>9</v>
      </c>
      <c r="H53" s="42" t="s">
        <v>9</v>
      </c>
      <c r="I53" s="42" t="s">
        <v>9</v>
      </c>
      <c r="J53" s="42" t="s">
        <v>9</v>
      </c>
      <c r="K53" s="42" t="s">
        <v>9</v>
      </c>
      <c r="L53" s="37" t="str">
        <f t="shared" si="11"/>
        <v>Climatização</v>
      </c>
      <c r="M53" s="37" t="str">
        <f t="shared" si="11"/>
        <v>Elementos.de.AntiVibração</v>
      </c>
      <c r="N53" s="37" t="str">
        <f t="shared" si="9"/>
        <v>Avac Dampers</v>
      </c>
      <c r="O53" s="32" t="str">
        <f t="shared" si="7"/>
        <v>Avac.Vibração.Amortecedor</v>
      </c>
      <c r="P53" s="32" t="s">
        <v>81</v>
      </c>
      <c r="Q53" s="32" t="s">
        <v>129</v>
      </c>
      <c r="R53" s="38" t="s">
        <v>9</v>
      </c>
      <c r="S53" s="39" t="str">
        <f t="shared" si="12"/>
        <v>Climatização</v>
      </c>
      <c r="T53" s="39" t="str">
        <f t="shared" si="12"/>
        <v>Elementos.de.AntiVibração</v>
      </c>
      <c r="U53" s="39" t="str">
        <f t="shared" si="12"/>
        <v>Avac.Dampers</v>
      </c>
      <c r="V53" s="39" t="s">
        <v>231</v>
      </c>
      <c r="W53" s="68" t="str">
        <f t="shared" si="4"/>
        <v>Key-AVA-53</v>
      </c>
      <c r="X53" s="32" t="s">
        <v>270</v>
      </c>
      <c r="Y53" s="31" t="s">
        <v>272</v>
      </c>
      <c r="Z53" s="38" t="s">
        <v>286</v>
      </c>
      <c r="AA53" s="32" t="str">
        <f t="shared" si="3"/>
        <v>Vibration damper is a device used to minimize the effects of vibration on a structure.</v>
      </c>
    </row>
    <row r="54" spans="1:27" ht="6.65" customHeight="1" x14ac:dyDescent="0.4">
      <c r="A54" s="34">
        <v>54</v>
      </c>
      <c r="B54" s="1" t="s">
        <v>43</v>
      </c>
      <c r="C54" s="1" t="s">
        <v>481</v>
      </c>
      <c r="D54" s="35" t="s">
        <v>463</v>
      </c>
      <c r="E54" s="35" t="s">
        <v>421</v>
      </c>
      <c r="F54" s="36" t="s">
        <v>384</v>
      </c>
      <c r="G54" s="42" t="s">
        <v>9</v>
      </c>
      <c r="H54" s="42" t="s">
        <v>9</v>
      </c>
      <c r="I54" s="42" t="s">
        <v>9</v>
      </c>
      <c r="J54" s="42" t="s">
        <v>9</v>
      </c>
      <c r="K54" s="42" t="s">
        <v>9</v>
      </c>
      <c r="L54" s="37" t="str">
        <f t="shared" si="11"/>
        <v>Climatização</v>
      </c>
      <c r="M54" s="37" t="str">
        <f t="shared" si="11"/>
        <v>Elementos.de.AntiVibração</v>
      </c>
      <c r="N54" s="37" t="str">
        <f t="shared" si="9"/>
        <v>Avac Dampers</v>
      </c>
      <c r="O54" s="32" t="str">
        <f t="shared" si="7"/>
        <v>Avac.Vibração.Isolador</v>
      </c>
      <c r="P54" s="32" t="s">
        <v>82</v>
      </c>
      <c r="Q54" s="32" t="s">
        <v>130</v>
      </c>
      <c r="R54" s="38" t="s">
        <v>9</v>
      </c>
      <c r="S54" s="39" t="str">
        <f t="shared" si="12"/>
        <v>Climatização</v>
      </c>
      <c r="T54" s="39" t="str">
        <f t="shared" si="12"/>
        <v>Elementos.de.AntiVibração</v>
      </c>
      <c r="U54" s="39" t="str">
        <f t="shared" si="12"/>
        <v>Avac.Dampers</v>
      </c>
      <c r="V54" s="39" t="s">
        <v>231</v>
      </c>
      <c r="W54" s="68" t="str">
        <f t="shared" si="4"/>
        <v>Key-AVA-54</v>
      </c>
      <c r="X54" s="32" t="s">
        <v>273</v>
      </c>
      <c r="Y54" s="31" t="s">
        <v>274</v>
      </c>
      <c r="Z54" s="38" t="s">
        <v>286</v>
      </c>
      <c r="AA54" s="32" t="str">
        <f t="shared" si="3"/>
        <v>Vibration isolator is a device used to minimize the transmissibility effects of vibrations.</v>
      </c>
    </row>
    <row r="55" spans="1:27" ht="6.65" customHeight="1" x14ac:dyDescent="0.4">
      <c r="A55" s="34">
        <v>55</v>
      </c>
      <c r="B55" s="1" t="s">
        <v>43</v>
      </c>
      <c r="C55" s="1" t="s">
        <v>481</v>
      </c>
      <c r="D55" s="1" t="s">
        <v>464</v>
      </c>
      <c r="E55" s="1" t="s">
        <v>420</v>
      </c>
      <c r="F55" s="36" t="s">
        <v>385</v>
      </c>
      <c r="G55" s="42" t="s">
        <v>9</v>
      </c>
      <c r="H55" s="42" t="s">
        <v>9</v>
      </c>
      <c r="I55" s="69" t="s">
        <v>9</v>
      </c>
      <c r="J55" s="42" t="s">
        <v>9</v>
      </c>
      <c r="K55" s="42" t="s">
        <v>9</v>
      </c>
      <c r="L55" s="37" t="str">
        <f t="shared" si="11"/>
        <v>Climatização</v>
      </c>
      <c r="M55" s="37" t="str">
        <f t="shared" si="11"/>
        <v>Elementos.de.Sensorização</v>
      </c>
      <c r="N55" s="37" t="str">
        <f t="shared" si="9"/>
        <v>Avac Sensores</v>
      </c>
      <c r="O55" s="37" t="str">
        <f t="shared" si="9"/>
        <v>Avac Sensor</v>
      </c>
      <c r="P55" s="32" t="s">
        <v>428</v>
      </c>
      <c r="Q55" s="32" t="s">
        <v>301</v>
      </c>
      <c r="R55" s="38" t="s">
        <v>9</v>
      </c>
      <c r="S55" s="39" t="str">
        <f t="shared" ref="S55:U87" si="17">SUBSTITUTE(C55, ".", " ")</f>
        <v>Climatização</v>
      </c>
      <c r="T55" s="39" t="str">
        <f t="shared" si="17"/>
        <v>Elementos de Sensorização</v>
      </c>
      <c r="U55" s="39" t="str">
        <f t="shared" si="17"/>
        <v>Avac Sensores</v>
      </c>
      <c r="V55" s="39" t="s">
        <v>231</v>
      </c>
      <c r="W55" s="68" t="str">
        <f t="shared" si="4"/>
        <v>Key-AVA-55</v>
      </c>
      <c r="X55" s="32" t="s">
        <v>334</v>
      </c>
      <c r="Y55" s="31" t="s">
        <v>335</v>
      </c>
      <c r="Z55" s="38" t="s">
        <v>286</v>
      </c>
      <c r="AA55" s="32" t="str">
        <f t="shared" si="3"/>
        <v>A sensor is a device that measures a physical quantity and converts it into a signal that can be read. Verify (MQTT) message queuing telemetry transport.</v>
      </c>
    </row>
    <row r="56" spans="1:27" ht="6.65" customHeight="1" x14ac:dyDescent="0.4">
      <c r="A56" s="34">
        <v>56</v>
      </c>
      <c r="B56" s="1" t="s">
        <v>43</v>
      </c>
      <c r="C56" s="1" t="s">
        <v>481</v>
      </c>
      <c r="D56" s="1" t="s">
        <v>464</v>
      </c>
      <c r="E56" s="1" t="s">
        <v>420</v>
      </c>
      <c r="F56" s="36" t="s">
        <v>386</v>
      </c>
      <c r="G56" s="42" t="s">
        <v>9</v>
      </c>
      <c r="H56" s="69" t="s">
        <v>9</v>
      </c>
      <c r="I56" s="69" t="s">
        <v>9</v>
      </c>
      <c r="J56" s="42" t="s">
        <v>9</v>
      </c>
      <c r="K56" s="42" t="s">
        <v>9</v>
      </c>
      <c r="L56" s="37" t="str">
        <f t="shared" si="11"/>
        <v>Climatização</v>
      </c>
      <c r="M56" s="37" t="str">
        <f t="shared" si="11"/>
        <v>Elementos.de.Sensorização</v>
      </c>
      <c r="N56" s="37" t="str">
        <f t="shared" si="9"/>
        <v>Avac Sensores</v>
      </c>
      <c r="O56" s="37" t="str">
        <f t="shared" si="9"/>
        <v>Avac Sensor de Monóxido Carbono</v>
      </c>
      <c r="P56" s="32" t="s">
        <v>429</v>
      </c>
      <c r="Q56" s="32" t="s">
        <v>302</v>
      </c>
      <c r="R56" s="38" t="s">
        <v>9</v>
      </c>
      <c r="S56" s="39" t="str">
        <f t="shared" si="17"/>
        <v>Climatização</v>
      </c>
      <c r="T56" s="39" t="str">
        <f t="shared" si="17"/>
        <v>Elementos de Sensorização</v>
      </c>
      <c r="U56" s="39" t="str">
        <f t="shared" si="17"/>
        <v>Avac Sensores</v>
      </c>
      <c r="V56" s="39" t="s">
        <v>231</v>
      </c>
      <c r="W56" s="68" t="str">
        <f t="shared" si="4"/>
        <v>Key-AVA-56</v>
      </c>
      <c r="X56" s="32" t="s">
        <v>334</v>
      </c>
      <c r="Y56" s="31" t="s">
        <v>336</v>
      </c>
      <c r="Z56" s="38" t="s">
        <v>286</v>
      </c>
      <c r="AA56" s="32" t="str">
        <f t="shared" si="3"/>
        <v>A device that identifies or detects carbon monoxide. Verify (MQTT) message queuing telemetry transport.</v>
      </c>
    </row>
    <row r="57" spans="1:27" ht="6.65" customHeight="1" x14ac:dyDescent="0.4">
      <c r="A57" s="34">
        <v>57</v>
      </c>
      <c r="B57" s="1" t="s">
        <v>43</v>
      </c>
      <c r="C57" s="1" t="s">
        <v>481</v>
      </c>
      <c r="D57" s="1" t="s">
        <v>464</v>
      </c>
      <c r="E57" s="1" t="s">
        <v>420</v>
      </c>
      <c r="F57" s="36" t="s">
        <v>387</v>
      </c>
      <c r="G57" s="42" t="s">
        <v>9</v>
      </c>
      <c r="H57" s="69" t="s">
        <v>9</v>
      </c>
      <c r="I57" s="69" t="s">
        <v>9</v>
      </c>
      <c r="J57" s="42" t="s">
        <v>9</v>
      </c>
      <c r="K57" s="42" t="s">
        <v>9</v>
      </c>
      <c r="L57" s="37" t="str">
        <f t="shared" si="11"/>
        <v>Climatização</v>
      </c>
      <c r="M57" s="37" t="str">
        <f t="shared" si="11"/>
        <v>Elementos.de.Sensorização</v>
      </c>
      <c r="N57" s="37" t="str">
        <f t="shared" si="9"/>
        <v>Avac Sensores</v>
      </c>
      <c r="O57" s="37" t="str">
        <f t="shared" si="9"/>
        <v>Avac Sensor de Dióxido Carbono</v>
      </c>
      <c r="P57" s="32" t="s">
        <v>430</v>
      </c>
      <c r="Q57" s="32" t="s">
        <v>303</v>
      </c>
      <c r="R57" s="38" t="s">
        <v>9</v>
      </c>
      <c r="S57" s="39" t="str">
        <f t="shared" si="17"/>
        <v>Climatização</v>
      </c>
      <c r="T57" s="39" t="str">
        <f t="shared" si="17"/>
        <v>Elementos de Sensorização</v>
      </c>
      <c r="U57" s="39" t="str">
        <f t="shared" si="17"/>
        <v>Avac Sensores</v>
      </c>
      <c r="V57" s="39" t="s">
        <v>231</v>
      </c>
      <c r="W57" s="68" t="str">
        <f t="shared" si="4"/>
        <v>Key-AVA-57</v>
      </c>
      <c r="X57" s="32" t="s">
        <v>334</v>
      </c>
      <c r="Y57" s="31" t="s">
        <v>337</v>
      </c>
      <c r="Z57" s="38" t="s">
        <v>286</v>
      </c>
      <c r="AA57" s="32" t="str">
        <f t="shared" si="3"/>
        <v>A device that identifies or detects carbon dioxide. Verify (MQTT) message queuing telemetry transport.</v>
      </c>
    </row>
    <row r="58" spans="1:27" ht="6.65" customHeight="1" x14ac:dyDescent="0.4">
      <c r="A58" s="34">
        <v>58</v>
      </c>
      <c r="B58" s="1" t="s">
        <v>43</v>
      </c>
      <c r="C58" s="1" t="s">
        <v>481</v>
      </c>
      <c r="D58" s="1" t="s">
        <v>464</v>
      </c>
      <c r="E58" s="1" t="s">
        <v>420</v>
      </c>
      <c r="F58" s="36" t="s">
        <v>388</v>
      </c>
      <c r="G58" s="42" t="s">
        <v>9</v>
      </c>
      <c r="H58" s="69" t="s">
        <v>9</v>
      </c>
      <c r="I58" s="69" t="s">
        <v>9</v>
      </c>
      <c r="J58" s="42" t="s">
        <v>9</v>
      </c>
      <c r="K58" s="42" t="s">
        <v>9</v>
      </c>
      <c r="L58" s="37" t="str">
        <f t="shared" si="11"/>
        <v>Climatização</v>
      </c>
      <c r="M58" s="37" t="str">
        <f t="shared" si="11"/>
        <v>Elementos.de.Sensorização</v>
      </c>
      <c r="N58" s="37" t="str">
        <f t="shared" si="9"/>
        <v>Avac Sensores</v>
      </c>
      <c r="O58" s="37" t="str">
        <f t="shared" si="9"/>
        <v>Avac Sensor de Condutância</v>
      </c>
      <c r="P58" s="32" t="s">
        <v>431</v>
      </c>
      <c r="Q58" s="32" t="s">
        <v>304</v>
      </c>
      <c r="R58" s="38" t="s">
        <v>9</v>
      </c>
      <c r="S58" s="39" t="str">
        <f t="shared" si="17"/>
        <v>Climatização</v>
      </c>
      <c r="T58" s="39" t="str">
        <f t="shared" si="17"/>
        <v>Elementos de Sensorização</v>
      </c>
      <c r="U58" s="39" t="str">
        <f t="shared" si="17"/>
        <v>Avac Sensores</v>
      </c>
      <c r="V58" s="39" t="s">
        <v>231</v>
      </c>
      <c r="W58" s="68" t="str">
        <f t="shared" si="4"/>
        <v>Key-AVA-58</v>
      </c>
      <c r="X58" s="32" t="s">
        <v>334</v>
      </c>
      <c r="Y58" s="31" t="s">
        <v>338</v>
      </c>
      <c r="Z58" s="38" t="s">
        <v>286</v>
      </c>
      <c r="AA58" s="32" t="str">
        <f t="shared" si="3"/>
        <v>A device that detects or detects electrical conductance. Verify (MQTT) message queuing telemetry transport.</v>
      </c>
    </row>
    <row r="59" spans="1:27" ht="6.65" customHeight="1" x14ac:dyDescent="0.4">
      <c r="A59" s="34">
        <v>59</v>
      </c>
      <c r="B59" s="1" t="s">
        <v>43</v>
      </c>
      <c r="C59" s="1" t="s">
        <v>481</v>
      </c>
      <c r="D59" s="1" t="s">
        <v>464</v>
      </c>
      <c r="E59" s="1" t="s">
        <v>420</v>
      </c>
      <c r="F59" s="36" t="s">
        <v>389</v>
      </c>
      <c r="G59" s="42" t="s">
        <v>9</v>
      </c>
      <c r="H59" s="69" t="s">
        <v>9</v>
      </c>
      <c r="I59" s="69" t="s">
        <v>9</v>
      </c>
      <c r="J59" s="42" t="s">
        <v>9</v>
      </c>
      <c r="K59" s="42" t="s">
        <v>9</v>
      </c>
      <c r="L59" s="37" t="str">
        <f t="shared" si="11"/>
        <v>Climatização</v>
      </c>
      <c r="M59" s="37" t="str">
        <f t="shared" si="11"/>
        <v>Elementos.de.Sensorização</v>
      </c>
      <c r="N59" s="37" t="str">
        <f t="shared" si="9"/>
        <v>Avac Sensores</v>
      </c>
      <c r="O59" s="37" t="str">
        <f t="shared" si="9"/>
        <v>Avac Sensor de Contato</v>
      </c>
      <c r="P59" s="32" t="s">
        <v>432</v>
      </c>
      <c r="Q59" s="32" t="s">
        <v>305</v>
      </c>
      <c r="R59" s="38" t="s">
        <v>9</v>
      </c>
      <c r="S59" s="39" t="str">
        <f t="shared" si="17"/>
        <v>Climatização</v>
      </c>
      <c r="T59" s="39" t="str">
        <f t="shared" si="17"/>
        <v>Elementos de Sensorização</v>
      </c>
      <c r="U59" s="39" t="str">
        <f t="shared" si="17"/>
        <v>Avac Sensores</v>
      </c>
      <c r="V59" s="39" t="s">
        <v>231</v>
      </c>
      <c r="W59" s="68" t="str">
        <f t="shared" si="4"/>
        <v>Key-AVA-59</v>
      </c>
      <c r="X59" s="32" t="s">
        <v>334</v>
      </c>
      <c r="Y59" s="31" t="s">
        <v>339</v>
      </c>
      <c r="Z59" s="38" t="s">
        <v>286</v>
      </c>
      <c r="AA59" s="32" t="str">
        <f t="shared" si="3"/>
        <v>A device that senses or detects contact, such as to detect if a door is closed. Verify (MQTT) message queuing telemetry transport.</v>
      </c>
    </row>
    <row r="60" spans="1:27" ht="6.65" customHeight="1" x14ac:dyDescent="0.4">
      <c r="A60" s="34">
        <v>60</v>
      </c>
      <c r="B60" s="1" t="s">
        <v>43</v>
      </c>
      <c r="C60" s="1" t="s">
        <v>481</v>
      </c>
      <c r="D60" s="1" t="s">
        <v>464</v>
      </c>
      <c r="E60" s="1" t="s">
        <v>420</v>
      </c>
      <c r="F60" s="36" t="s">
        <v>390</v>
      </c>
      <c r="G60" s="42" t="s">
        <v>9</v>
      </c>
      <c r="H60" s="69" t="s">
        <v>9</v>
      </c>
      <c r="I60" s="69" t="s">
        <v>9</v>
      </c>
      <c r="J60" s="42" t="s">
        <v>9</v>
      </c>
      <c r="K60" s="42" t="s">
        <v>9</v>
      </c>
      <c r="L60" s="37" t="str">
        <f t="shared" si="11"/>
        <v>Climatização</v>
      </c>
      <c r="M60" s="37" t="str">
        <f t="shared" si="11"/>
        <v>Elementos.de.Sensorização</v>
      </c>
      <c r="N60" s="37" t="str">
        <f t="shared" si="9"/>
        <v>Avac Sensores</v>
      </c>
      <c r="O60" s="37" t="str">
        <f t="shared" si="9"/>
        <v>Avac Sensor de Sismos</v>
      </c>
      <c r="P60" s="32" t="s">
        <v>433</v>
      </c>
      <c r="Q60" s="32" t="s">
        <v>306</v>
      </c>
      <c r="R60" s="38" t="s">
        <v>9</v>
      </c>
      <c r="S60" s="39" t="str">
        <f t="shared" si="17"/>
        <v>Climatização</v>
      </c>
      <c r="T60" s="39" t="str">
        <f t="shared" si="17"/>
        <v>Elementos de Sensorização</v>
      </c>
      <c r="U60" s="39" t="str">
        <f t="shared" si="17"/>
        <v>Avac Sensores</v>
      </c>
      <c r="V60" s="39" t="s">
        <v>231</v>
      </c>
      <c r="W60" s="68" t="str">
        <f t="shared" si="4"/>
        <v>Key-AVA-60</v>
      </c>
      <c r="X60" s="32" t="s">
        <v>334</v>
      </c>
      <c r="Y60" s="31" t="s">
        <v>340</v>
      </c>
      <c r="Z60" s="38" t="s">
        <v>286</v>
      </c>
      <c r="AA60" s="32" t="str">
        <f t="shared" si="3"/>
        <v>A device that senses or detects the seismic wave and measures the seismic intensity in the event of an earthquake. Verify (MQTT) message queuing telemetry transport.</v>
      </c>
    </row>
    <row r="61" spans="1:27" ht="6.65" customHeight="1" x14ac:dyDescent="0.4">
      <c r="A61" s="34">
        <v>61</v>
      </c>
      <c r="B61" s="1" t="s">
        <v>43</v>
      </c>
      <c r="C61" s="1" t="s">
        <v>481</v>
      </c>
      <c r="D61" s="1" t="s">
        <v>464</v>
      </c>
      <c r="E61" s="1" t="s">
        <v>420</v>
      </c>
      <c r="F61" s="36" t="s">
        <v>391</v>
      </c>
      <c r="G61" s="42" t="s">
        <v>9</v>
      </c>
      <c r="H61" s="69" t="s">
        <v>9</v>
      </c>
      <c r="I61" s="69" t="s">
        <v>9</v>
      </c>
      <c r="J61" s="42" t="s">
        <v>9</v>
      </c>
      <c r="K61" s="42" t="s">
        <v>9</v>
      </c>
      <c r="L61" s="37" t="str">
        <f t="shared" si="11"/>
        <v>Climatização</v>
      </c>
      <c r="M61" s="37" t="str">
        <f t="shared" si="11"/>
        <v>Elementos.de.Sensorização</v>
      </c>
      <c r="N61" s="37" t="str">
        <f t="shared" si="9"/>
        <v>Avac Sensores</v>
      </c>
      <c r="O61" s="37" t="str">
        <f t="shared" si="9"/>
        <v>Avac Sensor de Incêndio</v>
      </c>
      <c r="P61" s="32" t="s">
        <v>434</v>
      </c>
      <c r="Q61" s="32" t="s">
        <v>307</v>
      </c>
      <c r="R61" s="38" t="s">
        <v>9</v>
      </c>
      <c r="S61" s="39" t="str">
        <f t="shared" si="17"/>
        <v>Climatização</v>
      </c>
      <c r="T61" s="39" t="str">
        <f t="shared" si="17"/>
        <v>Elementos de Sensorização</v>
      </c>
      <c r="U61" s="39" t="str">
        <f t="shared" si="17"/>
        <v>Avac Sensores</v>
      </c>
      <c r="V61" s="39" t="s">
        <v>231</v>
      </c>
      <c r="W61" s="68" t="str">
        <f t="shared" si="4"/>
        <v>Key-AVA-61</v>
      </c>
      <c r="X61" s="32" t="s">
        <v>334</v>
      </c>
      <c r="Y61" s="31" t="s">
        <v>341</v>
      </c>
      <c r="Z61" s="38" t="s">
        <v>286</v>
      </c>
      <c r="AA61" s="32" t="str">
        <f t="shared" si="3"/>
        <v>Combined detector device (multi-criteria). It can detect the presence of heat, fire and smoke. Verify (MQTT) message queuing telemetry transport.</v>
      </c>
    </row>
    <row r="62" spans="1:27" ht="6.65" customHeight="1" x14ac:dyDescent="0.4">
      <c r="A62" s="34">
        <v>62</v>
      </c>
      <c r="B62" s="1" t="s">
        <v>43</v>
      </c>
      <c r="C62" s="1" t="s">
        <v>481</v>
      </c>
      <c r="D62" s="1" t="s">
        <v>464</v>
      </c>
      <c r="E62" s="1" t="s">
        <v>420</v>
      </c>
      <c r="F62" s="36" t="s">
        <v>392</v>
      </c>
      <c r="G62" s="42" t="s">
        <v>9</v>
      </c>
      <c r="H62" s="69" t="s">
        <v>9</v>
      </c>
      <c r="I62" s="69" t="s">
        <v>9</v>
      </c>
      <c r="J62" s="42" t="s">
        <v>9</v>
      </c>
      <c r="K62" s="42" t="s">
        <v>9</v>
      </c>
      <c r="L62" s="37" t="str">
        <f t="shared" si="11"/>
        <v>Climatização</v>
      </c>
      <c r="M62" s="37" t="str">
        <f t="shared" si="11"/>
        <v>Elementos.de.Sensorização</v>
      </c>
      <c r="N62" s="37" t="str">
        <f t="shared" si="9"/>
        <v>Avac Sensores</v>
      </c>
      <c r="O62" s="37" t="str">
        <f t="shared" si="9"/>
        <v>Avac Sensor de Fluxo</v>
      </c>
      <c r="P62" s="32" t="s">
        <v>435</v>
      </c>
      <c r="Q62" s="32" t="s">
        <v>308</v>
      </c>
      <c r="R62" s="38" t="s">
        <v>9</v>
      </c>
      <c r="S62" s="39" t="str">
        <f t="shared" si="17"/>
        <v>Climatização</v>
      </c>
      <c r="T62" s="39" t="str">
        <f t="shared" si="17"/>
        <v>Elementos de Sensorização</v>
      </c>
      <c r="U62" s="39" t="str">
        <f t="shared" si="17"/>
        <v>Avac Sensores</v>
      </c>
      <c r="V62" s="39" t="s">
        <v>231</v>
      </c>
      <c r="W62" s="68" t="str">
        <f t="shared" si="4"/>
        <v>Key-AVA-62</v>
      </c>
      <c r="X62" s="32" t="s">
        <v>334</v>
      </c>
      <c r="Y62" s="31" t="s">
        <v>342</v>
      </c>
      <c r="Z62" s="38" t="s">
        <v>286</v>
      </c>
      <c r="AA62" s="32" t="str">
        <f t="shared" si="3"/>
        <v>A device that identifies or detects flow in a fluid. Verify (MQTT) message queuing telemetry transport.</v>
      </c>
    </row>
    <row r="63" spans="1:27" ht="6.65" customHeight="1" x14ac:dyDescent="0.4">
      <c r="A63" s="34">
        <v>63</v>
      </c>
      <c r="B63" s="1" t="s">
        <v>43</v>
      </c>
      <c r="C63" s="1" t="s">
        <v>481</v>
      </c>
      <c r="D63" s="1" t="s">
        <v>464</v>
      </c>
      <c r="E63" s="1" t="s">
        <v>420</v>
      </c>
      <c r="F63" s="36" t="s">
        <v>393</v>
      </c>
      <c r="G63" s="42" t="s">
        <v>9</v>
      </c>
      <c r="H63" s="69" t="s">
        <v>9</v>
      </c>
      <c r="I63" s="69" t="s">
        <v>9</v>
      </c>
      <c r="J63" s="42" t="s">
        <v>9</v>
      </c>
      <c r="K63" s="42" t="s">
        <v>9</v>
      </c>
      <c r="L63" s="37" t="str">
        <f t="shared" si="11"/>
        <v>Climatização</v>
      </c>
      <c r="M63" s="37" t="str">
        <f t="shared" si="11"/>
        <v>Elementos.de.Sensorização</v>
      </c>
      <c r="N63" s="37" t="str">
        <f t="shared" si="9"/>
        <v>Avac Sensores</v>
      </c>
      <c r="O63" s="37" t="str">
        <f t="shared" si="9"/>
        <v>Avac Sensor de Detecção Objeto Estranho</v>
      </c>
      <c r="P63" s="32" t="s">
        <v>436</v>
      </c>
      <c r="Q63" s="32" t="s">
        <v>309</v>
      </c>
      <c r="R63" s="38" t="s">
        <v>9</v>
      </c>
      <c r="S63" s="39" t="str">
        <f t="shared" si="17"/>
        <v>Climatização</v>
      </c>
      <c r="T63" s="39" t="str">
        <f t="shared" si="17"/>
        <v>Elementos de Sensorização</v>
      </c>
      <c r="U63" s="39" t="str">
        <f t="shared" si="17"/>
        <v>Avac Sensores</v>
      </c>
      <c r="V63" s="39" t="s">
        <v>231</v>
      </c>
      <c r="W63" s="68" t="str">
        <f t="shared" si="4"/>
        <v>Key-AVA-63</v>
      </c>
      <c r="X63" s="32" t="s">
        <v>334</v>
      </c>
      <c r="Y63" s="31" t="s">
        <v>343</v>
      </c>
      <c r="Z63" s="38" t="s">
        <v>286</v>
      </c>
      <c r="AA63" s="32" t="str">
        <f t="shared" si="3"/>
        <v>A device that senses or detects foreign objects that interfere with the power grid. Verify (MQTT) message queuing telemetry transport.</v>
      </c>
    </row>
    <row r="64" spans="1:27" ht="6.65" customHeight="1" x14ac:dyDescent="0.4">
      <c r="A64" s="34">
        <v>64</v>
      </c>
      <c r="B64" s="1" t="s">
        <v>43</v>
      </c>
      <c r="C64" s="1" t="s">
        <v>481</v>
      </c>
      <c r="D64" s="1" t="s">
        <v>464</v>
      </c>
      <c r="E64" s="1" t="s">
        <v>420</v>
      </c>
      <c r="F64" s="36" t="s">
        <v>394</v>
      </c>
      <c r="G64" s="42" t="s">
        <v>9</v>
      </c>
      <c r="H64" s="69" t="s">
        <v>9</v>
      </c>
      <c r="I64" s="69" t="s">
        <v>9</v>
      </c>
      <c r="J64" s="42" t="s">
        <v>9</v>
      </c>
      <c r="K64" s="42" t="s">
        <v>9</v>
      </c>
      <c r="L64" s="37" t="str">
        <f t="shared" si="11"/>
        <v>Climatização</v>
      </c>
      <c r="M64" s="37" t="str">
        <f t="shared" si="11"/>
        <v>Elementos.de.Sensorização</v>
      </c>
      <c r="N64" s="37" t="str">
        <f t="shared" ref="N64:O89" si="18">(SUBSTITUTE(SUBSTITUTE(CONCATENATE("",E64),"."," ")," De "," de "))</f>
        <v>Avac Sensores</v>
      </c>
      <c r="O64" s="37" t="str">
        <f t="shared" si="18"/>
        <v>Avac Sensor de Geada</v>
      </c>
      <c r="P64" s="32" t="s">
        <v>437</v>
      </c>
      <c r="Q64" s="32" t="s">
        <v>310</v>
      </c>
      <c r="R64" s="38" t="s">
        <v>9</v>
      </c>
      <c r="S64" s="39" t="str">
        <f t="shared" si="17"/>
        <v>Climatização</v>
      </c>
      <c r="T64" s="39" t="str">
        <f t="shared" si="17"/>
        <v>Elementos de Sensorização</v>
      </c>
      <c r="U64" s="39" t="str">
        <f t="shared" si="17"/>
        <v>Avac Sensores</v>
      </c>
      <c r="V64" s="39" t="s">
        <v>231</v>
      </c>
      <c r="W64" s="68" t="str">
        <f t="shared" si="4"/>
        <v>Key-AVA-64</v>
      </c>
      <c r="X64" s="32" t="s">
        <v>334</v>
      </c>
      <c r="Y64" s="31" t="s">
        <v>344</v>
      </c>
      <c r="Z64" s="38" t="s">
        <v>286</v>
      </c>
      <c r="AA64" s="32" t="str">
        <f t="shared" si="3"/>
        <v>Device that identifies or detects freezing in a window. Verify (MQTT) message queuing telemetry transport.</v>
      </c>
    </row>
    <row r="65" spans="1:27" ht="6.65" customHeight="1" x14ac:dyDescent="0.4">
      <c r="A65" s="34">
        <v>65</v>
      </c>
      <c r="B65" s="1" t="s">
        <v>43</v>
      </c>
      <c r="C65" s="1" t="s">
        <v>481</v>
      </c>
      <c r="D65" s="1" t="s">
        <v>464</v>
      </c>
      <c r="E65" s="1" t="s">
        <v>420</v>
      </c>
      <c r="F65" s="36" t="s">
        <v>395</v>
      </c>
      <c r="G65" s="42" t="s">
        <v>9</v>
      </c>
      <c r="H65" s="69" t="s">
        <v>9</v>
      </c>
      <c r="I65" s="69" t="s">
        <v>9</v>
      </c>
      <c r="J65" s="42" t="s">
        <v>9</v>
      </c>
      <c r="K65" s="42" t="s">
        <v>9</v>
      </c>
      <c r="L65" s="37" t="str">
        <f t="shared" si="11"/>
        <v>Climatização</v>
      </c>
      <c r="M65" s="37" t="str">
        <f t="shared" si="11"/>
        <v>Elementos.de.Sensorização</v>
      </c>
      <c r="N65" s="37" t="str">
        <f t="shared" si="18"/>
        <v>Avac Sensores</v>
      </c>
      <c r="O65" s="37" t="str">
        <f t="shared" si="18"/>
        <v>Avac Sensor de Gás</v>
      </c>
      <c r="P65" s="32" t="s">
        <v>438</v>
      </c>
      <c r="Q65" s="32" t="s">
        <v>311</v>
      </c>
      <c r="R65" s="38" t="s">
        <v>9</v>
      </c>
      <c r="S65" s="39" t="str">
        <f t="shared" si="17"/>
        <v>Climatização</v>
      </c>
      <c r="T65" s="39" t="str">
        <f t="shared" si="17"/>
        <v>Elementos de Sensorização</v>
      </c>
      <c r="U65" s="39" t="str">
        <f t="shared" si="17"/>
        <v>Avac Sensores</v>
      </c>
      <c r="V65" s="39" t="s">
        <v>231</v>
      </c>
      <c r="W65" s="68" t="str">
        <f t="shared" si="4"/>
        <v>Key-AVA-65</v>
      </c>
      <c r="X65" s="32" t="s">
        <v>334</v>
      </c>
      <c r="Y65" s="31" t="s">
        <v>345</v>
      </c>
      <c r="Z65" s="38" t="s">
        <v>286</v>
      </c>
      <c r="AA65" s="32" t="str">
        <f t="shared" si="3"/>
        <v>A device that detects or detects gas concentration (except CO2). Verify (MQTT) message queuing telemetry transport.</v>
      </c>
    </row>
    <row r="66" spans="1:27" ht="6.65" customHeight="1" x14ac:dyDescent="0.4">
      <c r="A66" s="34">
        <v>66</v>
      </c>
      <c r="B66" s="1" t="s">
        <v>43</v>
      </c>
      <c r="C66" s="1" t="s">
        <v>481</v>
      </c>
      <c r="D66" s="1" t="s">
        <v>464</v>
      </c>
      <c r="E66" s="1" t="s">
        <v>420</v>
      </c>
      <c r="F66" s="36" t="s">
        <v>396</v>
      </c>
      <c r="G66" s="42" t="s">
        <v>9</v>
      </c>
      <c r="H66" s="69" t="s">
        <v>9</v>
      </c>
      <c r="I66" s="69" t="s">
        <v>9</v>
      </c>
      <c r="J66" s="42" t="s">
        <v>9</v>
      </c>
      <c r="K66" s="42" t="s">
        <v>9</v>
      </c>
      <c r="L66" s="37" t="str">
        <f t="shared" si="11"/>
        <v>Climatização</v>
      </c>
      <c r="M66" s="37" t="str">
        <f t="shared" si="11"/>
        <v>Elementos.de.Sensorização</v>
      </c>
      <c r="N66" s="37" t="str">
        <f t="shared" si="18"/>
        <v>Avac Sensores</v>
      </c>
      <c r="O66" s="37" t="str">
        <f t="shared" si="18"/>
        <v>Avac Sensor de Calor</v>
      </c>
      <c r="P66" s="32" t="s">
        <v>439</v>
      </c>
      <c r="Q66" s="32" t="s">
        <v>312</v>
      </c>
      <c r="R66" s="38" t="s">
        <v>9</v>
      </c>
      <c r="S66" s="39" t="str">
        <f t="shared" si="17"/>
        <v>Climatização</v>
      </c>
      <c r="T66" s="39" t="str">
        <f t="shared" si="17"/>
        <v>Elementos de Sensorização</v>
      </c>
      <c r="U66" s="39" t="str">
        <f t="shared" si="17"/>
        <v>Avac Sensores</v>
      </c>
      <c r="V66" s="39" t="s">
        <v>231</v>
      </c>
      <c r="W66" s="68" t="str">
        <f t="shared" si="4"/>
        <v>Key-AVA-66</v>
      </c>
      <c r="X66" s="32" t="s">
        <v>334</v>
      </c>
      <c r="Y66" s="31" t="s">
        <v>346</v>
      </c>
      <c r="Z66" s="38" t="s">
        <v>286</v>
      </c>
      <c r="AA66" s="32" t="str">
        <f t="shared" si="3"/>
        <v>A device that identifies or detects heat. Verify (MQTT) message queuing telemetry transport.</v>
      </c>
    </row>
    <row r="67" spans="1:27" ht="6.65" customHeight="1" x14ac:dyDescent="0.4">
      <c r="A67" s="34">
        <v>67</v>
      </c>
      <c r="B67" s="1" t="s">
        <v>43</v>
      </c>
      <c r="C67" s="1" t="s">
        <v>481</v>
      </c>
      <c r="D67" s="1" t="s">
        <v>464</v>
      </c>
      <c r="E67" s="1" t="s">
        <v>420</v>
      </c>
      <c r="F67" s="36" t="s">
        <v>397</v>
      </c>
      <c r="G67" s="42" t="s">
        <v>9</v>
      </c>
      <c r="H67" s="69" t="s">
        <v>9</v>
      </c>
      <c r="I67" s="69" t="s">
        <v>9</v>
      </c>
      <c r="J67" s="42" t="s">
        <v>9</v>
      </c>
      <c r="K67" s="42" t="s">
        <v>9</v>
      </c>
      <c r="L67" s="37" t="str">
        <f t="shared" si="11"/>
        <v>Climatização</v>
      </c>
      <c r="M67" s="37" t="str">
        <f t="shared" si="11"/>
        <v>Elementos.de.Sensorização</v>
      </c>
      <c r="N67" s="37" t="str">
        <f t="shared" si="18"/>
        <v>Avac Sensores</v>
      </c>
      <c r="O67" s="37" t="str">
        <f t="shared" si="18"/>
        <v>Avac Sensor de Umidade</v>
      </c>
      <c r="P67" s="32" t="s">
        <v>440</v>
      </c>
      <c r="Q67" s="32" t="s">
        <v>313</v>
      </c>
      <c r="R67" s="38" t="s">
        <v>9</v>
      </c>
      <c r="S67" s="39" t="str">
        <f t="shared" si="17"/>
        <v>Climatização</v>
      </c>
      <c r="T67" s="39" t="str">
        <f t="shared" si="17"/>
        <v>Elementos de Sensorização</v>
      </c>
      <c r="U67" s="39" t="str">
        <f t="shared" si="17"/>
        <v>Avac Sensores</v>
      </c>
      <c r="V67" s="39" t="s">
        <v>231</v>
      </c>
      <c r="W67" s="68" t="str">
        <f t="shared" si="4"/>
        <v>Key-AVA-67</v>
      </c>
      <c r="X67" s="32" t="s">
        <v>334</v>
      </c>
      <c r="Y67" s="31" t="s">
        <v>347</v>
      </c>
      <c r="Z67" s="38" t="s">
        <v>286</v>
      </c>
      <c r="AA67" s="32" t="str">
        <f t="shared" si="3"/>
        <v>Device that identifies or detects moisture. Verify (MQTT) message queuing telemetry transport.</v>
      </c>
    </row>
    <row r="68" spans="1:27" ht="6.65" customHeight="1" x14ac:dyDescent="0.4">
      <c r="A68" s="34">
        <v>68</v>
      </c>
      <c r="B68" s="1" t="s">
        <v>43</v>
      </c>
      <c r="C68" s="1" t="s">
        <v>481</v>
      </c>
      <c r="D68" s="1" t="s">
        <v>464</v>
      </c>
      <c r="E68" s="1" t="s">
        <v>420</v>
      </c>
      <c r="F68" s="36" t="s">
        <v>398</v>
      </c>
      <c r="G68" s="42" t="s">
        <v>9</v>
      </c>
      <c r="H68" s="69" t="s">
        <v>9</v>
      </c>
      <c r="I68" s="69" t="s">
        <v>9</v>
      </c>
      <c r="J68" s="42" t="s">
        <v>9</v>
      </c>
      <c r="K68" s="42" t="s">
        <v>9</v>
      </c>
      <c r="L68" s="37" t="str">
        <f t="shared" si="11"/>
        <v>Climatização</v>
      </c>
      <c r="M68" s="37" t="str">
        <f t="shared" si="11"/>
        <v>Elementos.de.Sensorização</v>
      </c>
      <c r="N68" s="37" t="str">
        <f t="shared" si="18"/>
        <v>Avac Sensores</v>
      </c>
      <c r="O68" s="37" t="str">
        <f t="shared" si="18"/>
        <v>Avac Sensor de Identificação</v>
      </c>
      <c r="P68" s="32" t="s">
        <v>443</v>
      </c>
      <c r="Q68" s="32" t="s">
        <v>314</v>
      </c>
      <c r="R68" s="38" t="s">
        <v>9</v>
      </c>
      <c r="S68" s="39" t="str">
        <f t="shared" si="17"/>
        <v>Climatização</v>
      </c>
      <c r="T68" s="39" t="str">
        <f t="shared" si="17"/>
        <v>Elementos de Sensorização</v>
      </c>
      <c r="U68" s="39" t="str">
        <f t="shared" si="17"/>
        <v>Avac Sensores</v>
      </c>
      <c r="V68" s="39" t="s">
        <v>231</v>
      </c>
      <c r="W68" s="68" t="str">
        <f t="shared" si="4"/>
        <v>Key-AVA-68</v>
      </c>
      <c r="X68" s="32" t="s">
        <v>334</v>
      </c>
      <c r="Y68" s="31" t="s">
        <v>348</v>
      </c>
      <c r="Z68" s="38" t="s">
        <v>286</v>
      </c>
      <c r="AA68" s="32" t="str">
        <f t="shared" si="3"/>
        <v>A device that reads a label, such as to gain access to a door or elevator. Verify (MQTT) message queuing telemetry transport.</v>
      </c>
    </row>
    <row r="69" spans="1:27" ht="6.65" customHeight="1" x14ac:dyDescent="0.4">
      <c r="A69" s="34">
        <v>69</v>
      </c>
      <c r="B69" s="1" t="s">
        <v>43</v>
      </c>
      <c r="C69" s="1" t="s">
        <v>481</v>
      </c>
      <c r="D69" s="1" t="s">
        <v>464</v>
      </c>
      <c r="E69" s="1" t="s">
        <v>420</v>
      </c>
      <c r="F69" s="36" t="s">
        <v>399</v>
      </c>
      <c r="G69" s="42" t="s">
        <v>9</v>
      </c>
      <c r="H69" s="69" t="s">
        <v>9</v>
      </c>
      <c r="I69" s="69" t="s">
        <v>9</v>
      </c>
      <c r="J69" s="42" t="s">
        <v>9</v>
      </c>
      <c r="K69" s="42" t="s">
        <v>9</v>
      </c>
      <c r="L69" s="37" t="str">
        <f t="shared" si="11"/>
        <v>Climatização</v>
      </c>
      <c r="M69" s="37" t="str">
        <f t="shared" si="11"/>
        <v>Elementos.de.Sensorização</v>
      </c>
      <c r="N69" s="37" t="str">
        <f t="shared" si="18"/>
        <v>Avac Sensores</v>
      </c>
      <c r="O69" s="37" t="str">
        <f t="shared" si="18"/>
        <v>Avac Sensor de Concentração de Íons</v>
      </c>
      <c r="P69" s="32" t="s">
        <v>441</v>
      </c>
      <c r="Q69" s="32" t="s">
        <v>315</v>
      </c>
      <c r="R69" s="38" t="s">
        <v>9</v>
      </c>
      <c r="S69" s="39" t="str">
        <f t="shared" si="17"/>
        <v>Climatização</v>
      </c>
      <c r="T69" s="39" t="str">
        <f t="shared" si="17"/>
        <v>Elementos de Sensorização</v>
      </c>
      <c r="U69" s="39" t="str">
        <f t="shared" si="17"/>
        <v>Avac Sensores</v>
      </c>
      <c r="V69" s="39" t="s">
        <v>231</v>
      </c>
      <c r="W69" s="68" t="str">
        <f t="shared" si="4"/>
        <v>Key-AVA-69</v>
      </c>
      <c r="X69" s="32" t="s">
        <v>334</v>
      </c>
      <c r="Y69" s="31" t="s">
        <v>349</v>
      </c>
      <c r="Z69" s="38" t="s">
        <v>286</v>
      </c>
      <c r="AA69" s="32" t="str">
        <f t="shared" ref="AA69:AA89" si="19">_xlfn.TRANSLATE(P69,"pt","en")</f>
        <v>A device that senses or detects the concentration of ion, such as to measure the hardness of water. Verify (MQTT) message queuing telemetry transport.</v>
      </c>
    </row>
    <row r="70" spans="1:27" ht="6.65" customHeight="1" x14ac:dyDescent="0.4">
      <c r="A70" s="34">
        <v>70</v>
      </c>
      <c r="B70" s="1" t="s">
        <v>43</v>
      </c>
      <c r="C70" s="1" t="s">
        <v>481</v>
      </c>
      <c r="D70" s="1" t="s">
        <v>464</v>
      </c>
      <c r="E70" s="1" t="s">
        <v>420</v>
      </c>
      <c r="F70" s="36" t="s">
        <v>400</v>
      </c>
      <c r="G70" s="42" t="s">
        <v>9</v>
      </c>
      <c r="H70" s="69" t="s">
        <v>9</v>
      </c>
      <c r="I70" s="69" t="s">
        <v>9</v>
      </c>
      <c r="J70" s="42" t="s">
        <v>9</v>
      </c>
      <c r="K70" s="42" t="s">
        <v>9</v>
      </c>
      <c r="L70" s="37" t="str">
        <f t="shared" si="11"/>
        <v>Climatização</v>
      </c>
      <c r="M70" s="37" t="str">
        <f t="shared" si="11"/>
        <v>Elementos.de.Sensorização</v>
      </c>
      <c r="N70" s="37" t="str">
        <f t="shared" si="18"/>
        <v>Avac Sensores</v>
      </c>
      <c r="O70" s="37" t="str">
        <f t="shared" si="18"/>
        <v>Avac Sensor de Nível</v>
      </c>
      <c r="P70" s="32" t="s">
        <v>444</v>
      </c>
      <c r="Q70" s="32" t="s">
        <v>316</v>
      </c>
      <c r="R70" s="38" t="s">
        <v>9</v>
      </c>
      <c r="S70" s="39" t="str">
        <f t="shared" si="17"/>
        <v>Climatização</v>
      </c>
      <c r="T70" s="39" t="str">
        <f t="shared" si="17"/>
        <v>Elementos de Sensorização</v>
      </c>
      <c r="U70" s="39" t="str">
        <f t="shared" si="17"/>
        <v>Avac Sensores</v>
      </c>
      <c r="V70" s="39" t="s">
        <v>231</v>
      </c>
      <c r="W70" s="68" t="str">
        <f t="shared" ref="W70:W89" si="20">CONCATENATE("Key-AVA-",A70)</f>
        <v>Key-AVA-70</v>
      </c>
      <c r="X70" s="32" t="s">
        <v>334</v>
      </c>
      <c r="Y70" s="31" t="s">
        <v>350</v>
      </c>
      <c r="Z70" s="38" t="s">
        <v>286</v>
      </c>
      <c r="AA70" s="32" t="str">
        <f t="shared" si="19"/>
        <v>A device that senses or detects the fill level, such as for a tank. Verify (MQTT) message queuing telemetry transport.</v>
      </c>
    </row>
    <row r="71" spans="1:27" ht="6.65" customHeight="1" x14ac:dyDescent="0.4">
      <c r="A71" s="34">
        <v>71</v>
      </c>
      <c r="B71" s="1" t="s">
        <v>43</v>
      </c>
      <c r="C71" s="1" t="s">
        <v>481</v>
      </c>
      <c r="D71" s="1" t="s">
        <v>464</v>
      </c>
      <c r="E71" s="1" t="s">
        <v>420</v>
      </c>
      <c r="F71" s="36" t="s">
        <v>401</v>
      </c>
      <c r="G71" s="42" t="s">
        <v>9</v>
      </c>
      <c r="H71" s="69" t="s">
        <v>9</v>
      </c>
      <c r="I71" s="69" t="s">
        <v>9</v>
      </c>
      <c r="J71" s="42" t="s">
        <v>9</v>
      </c>
      <c r="K71" s="42" t="s">
        <v>9</v>
      </c>
      <c r="L71" s="37" t="str">
        <f t="shared" si="11"/>
        <v>Climatização</v>
      </c>
      <c r="M71" s="37" t="str">
        <f t="shared" si="11"/>
        <v>Elementos.de.Sensorização</v>
      </c>
      <c r="N71" s="37" t="str">
        <f t="shared" si="18"/>
        <v>Avac Sensores</v>
      </c>
      <c r="O71" s="37" t="str">
        <f t="shared" si="18"/>
        <v>Avac Sensor de Luz</v>
      </c>
      <c r="P71" s="32" t="s">
        <v>442</v>
      </c>
      <c r="Q71" s="32" t="s">
        <v>317</v>
      </c>
      <c r="R71" s="38" t="s">
        <v>9</v>
      </c>
      <c r="S71" s="39" t="str">
        <f t="shared" si="17"/>
        <v>Climatização</v>
      </c>
      <c r="T71" s="39" t="str">
        <f t="shared" si="17"/>
        <v>Elementos de Sensorização</v>
      </c>
      <c r="U71" s="39" t="str">
        <f t="shared" si="17"/>
        <v>Avac Sensores</v>
      </c>
      <c r="V71" s="39" t="s">
        <v>231</v>
      </c>
      <c r="W71" s="68" t="str">
        <f t="shared" si="20"/>
        <v>Key-AVA-71</v>
      </c>
      <c r="X71" s="32" t="s">
        <v>334</v>
      </c>
      <c r="Y71" s="31" t="s">
        <v>351</v>
      </c>
      <c r="Z71" s="38" t="s">
        <v>286</v>
      </c>
      <c r="AA71" s="32" t="str">
        <f t="shared" si="19"/>
        <v>A device that identifies or detects light. Verify (MQTT) message queuing telemetry transport.</v>
      </c>
    </row>
    <row r="72" spans="1:27" ht="6.65" customHeight="1" x14ac:dyDescent="0.4">
      <c r="A72" s="34">
        <v>72</v>
      </c>
      <c r="B72" s="1" t="s">
        <v>43</v>
      </c>
      <c r="C72" s="1" t="s">
        <v>481</v>
      </c>
      <c r="D72" s="1" t="s">
        <v>464</v>
      </c>
      <c r="E72" s="1" t="s">
        <v>420</v>
      </c>
      <c r="F72" s="36" t="s">
        <v>402</v>
      </c>
      <c r="G72" s="42" t="s">
        <v>9</v>
      </c>
      <c r="H72" s="69" t="s">
        <v>9</v>
      </c>
      <c r="I72" s="69" t="s">
        <v>9</v>
      </c>
      <c r="J72" s="42" t="s">
        <v>9</v>
      </c>
      <c r="K72" s="42" t="s">
        <v>9</v>
      </c>
      <c r="L72" s="37" t="str">
        <f t="shared" si="11"/>
        <v>Climatização</v>
      </c>
      <c r="M72" s="37" t="str">
        <f t="shared" si="11"/>
        <v>Elementos.de.Sensorização</v>
      </c>
      <c r="N72" s="37" t="str">
        <f t="shared" si="18"/>
        <v>Avac Sensores</v>
      </c>
      <c r="O72" s="37" t="str">
        <f t="shared" si="18"/>
        <v>Avac Sensor de Umidade do Solo</v>
      </c>
      <c r="P72" s="32" t="s">
        <v>445</v>
      </c>
      <c r="Q72" s="32" t="s">
        <v>318</v>
      </c>
      <c r="R72" s="38" t="s">
        <v>9</v>
      </c>
      <c r="S72" s="39" t="str">
        <f t="shared" si="17"/>
        <v>Climatização</v>
      </c>
      <c r="T72" s="39" t="str">
        <f t="shared" si="17"/>
        <v>Elementos de Sensorização</v>
      </c>
      <c r="U72" s="39" t="str">
        <f t="shared" si="17"/>
        <v>Avac Sensores</v>
      </c>
      <c r="V72" s="39" t="s">
        <v>231</v>
      </c>
      <c r="W72" s="68" t="str">
        <f t="shared" si="20"/>
        <v>Key-AVA-72</v>
      </c>
      <c r="X72" s="32" t="s">
        <v>334</v>
      </c>
      <c r="Y72" s="31" t="s">
        <v>352</v>
      </c>
      <c r="Z72" s="38" t="s">
        <v>286</v>
      </c>
      <c r="AA72" s="32" t="str">
        <f t="shared" si="19"/>
        <v>Device that senses or detects moisture. Verify (MQTT) message queuing telemetry transport.</v>
      </c>
    </row>
    <row r="73" spans="1:27" ht="6.65" customHeight="1" x14ac:dyDescent="0.4">
      <c r="A73" s="34">
        <v>73</v>
      </c>
      <c r="B73" s="1" t="s">
        <v>43</v>
      </c>
      <c r="C73" s="1" t="s">
        <v>481</v>
      </c>
      <c r="D73" s="1" t="s">
        <v>464</v>
      </c>
      <c r="E73" s="1" t="s">
        <v>420</v>
      </c>
      <c r="F73" s="36" t="s">
        <v>403</v>
      </c>
      <c r="G73" s="42" t="s">
        <v>9</v>
      </c>
      <c r="H73" s="69" t="s">
        <v>9</v>
      </c>
      <c r="I73" s="69" t="s">
        <v>9</v>
      </c>
      <c r="J73" s="42" t="s">
        <v>9</v>
      </c>
      <c r="K73" s="42" t="s">
        <v>9</v>
      </c>
      <c r="L73" s="37" t="str">
        <f t="shared" si="11"/>
        <v>Climatização</v>
      </c>
      <c r="M73" s="37" t="str">
        <f t="shared" si="11"/>
        <v>Elementos.de.Sensorização</v>
      </c>
      <c r="N73" s="37" t="str">
        <f t="shared" si="18"/>
        <v>Avac Sensores</v>
      </c>
      <c r="O73" s="37" t="str">
        <f t="shared" si="18"/>
        <v>Avac Sensor de Movimento</v>
      </c>
      <c r="P73" s="32" t="s">
        <v>446</v>
      </c>
      <c r="Q73" s="32" t="s">
        <v>319</v>
      </c>
      <c r="R73" s="38" t="s">
        <v>9</v>
      </c>
      <c r="S73" s="39" t="str">
        <f t="shared" si="17"/>
        <v>Climatização</v>
      </c>
      <c r="T73" s="39" t="str">
        <f t="shared" si="17"/>
        <v>Elementos de Sensorização</v>
      </c>
      <c r="U73" s="39" t="str">
        <f t="shared" si="17"/>
        <v>Avac Sensores</v>
      </c>
      <c r="V73" s="39" t="s">
        <v>231</v>
      </c>
      <c r="W73" s="68" t="str">
        <f t="shared" si="20"/>
        <v>Key-AVA-73</v>
      </c>
      <c r="X73" s="32" t="s">
        <v>334</v>
      </c>
      <c r="Y73" s="31" t="s">
        <v>353</v>
      </c>
      <c r="Z73" s="38" t="s">
        <v>286</v>
      </c>
      <c r="AA73" s="32" t="str">
        <f t="shared" si="19"/>
        <v>A device that identifies or detects motion. Verify (MQTT) message queuing telemetry transport.</v>
      </c>
    </row>
    <row r="74" spans="1:27" ht="6.65" customHeight="1" x14ac:dyDescent="0.4">
      <c r="A74" s="34">
        <v>74</v>
      </c>
      <c r="B74" s="1" t="s">
        <v>43</v>
      </c>
      <c r="C74" s="1" t="s">
        <v>481</v>
      </c>
      <c r="D74" s="1" t="s">
        <v>464</v>
      </c>
      <c r="E74" s="1" t="s">
        <v>420</v>
      </c>
      <c r="F74" s="36" t="s">
        <v>404</v>
      </c>
      <c r="G74" s="42" t="s">
        <v>9</v>
      </c>
      <c r="H74" s="69" t="s">
        <v>9</v>
      </c>
      <c r="I74" s="69" t="s">
        <v>9</v>
      </c>
      <c r="J74" s="42" t="s">
        <v>9</v>
      </c>
      <c r="K74" s="42" t="s">
        <v>9</v>
      </c>
      <c r="L74" s="37" t="str">
        <f t="shared" si="11"/>
        <v>Climatização</v>
      </c>
      <c r="M74" s="37" t="str">
        <f t="shared" si="11"/>
        <v>Elementos.de.Sensorização</v>
      </c>
      <c r="N74" s="37" t="str">
        <f t="shared" si="18"/>
        <v>Avac Sensores</v>
      </c>
      <c r="O74" s="37" t="str">
        <f t="shared" si="18"/>
        <v>Avac Sensor de Obstáculo</v>
      </c>
      <c r="P74" s="32" t="s">
        <v>448</v>
      </c>
      <c r="Q74" s="32" t="s">
        <v>320</v>
      </c>
      <c r="R74" s="38" t="s">
        <v>9</v>
      </c>
      <c r="S74" s="39" t="str">
        <f t="shared" si="17"/>
        <v>Climatização</v>
      </c>
      <c r="T74" s="39" t="str">
        <f t="shared" si="17"/>
        <v>Elementos de Sensorização</v>
      </c>
      <c r="U74" s="39" t="str">
        <f t="shared" si="17"/>
        <v>Avac Sensores</v>
      </c>
      <c r="V74" s="39" t="s">
        <v>231</v>
      </c>
      <c r="W74" s="68" t="str">
        <f t="shared" si="20"/>
        <v>Key-AVA-74</v>
      </c>
      <c r="X74" s="32" t="s">
        <v>334</v>
      </c>
      <c r="Y74" s="31" t="s">
        <v>354</v>
      </c>
      <c r="Z74" s="38" t="s">
        <v>286</v>
      </c>
      <c r="AA74" s="32" t="str">
        <f t="shared" si="19"/>
        <v>Device that detects or detects any obstacles. Verify (MQTT) message queuing telemetry transport.</v>
      </c>
    </row>
    <row r="75" spans="1:27" ht="6.65" customHeight="1" x14ac:dyDescent="0.4">
      <c r="A75" s="34">
        <v>75</v>
      </c>
      <c r="B75" s="1" t="s">
        <v>43</v>
      </c>
      <c r="C75" s="1" t="s">
        <v>481</v>
      </c>
      <c r="D75" s="1" t="s">
        <v>464</v>
      </c>
      <c r="E75" s="1" t="s">
        <v>420</v>
      </c>
      <c r="F75" s="36" t="s">
        <v>405</v>
      </c>
      <c r="G75" s="42" t="s">
        <v>9</v>
      </c>
      <c r="H75" s="69" t="s">
        <v>9</v>
      </c>
      <c r="I75" s="69" t="s">
        <v>9</v>
      </c>
      <c r="J75" s="42" t="s">
        <v>9</v>
      </c>
      <c r="K75" s="42" t="s">
        <v>9</v>
      </c>
      <c r="L75" s="37" t="str">
        <f t="shared" si="11"/>
        <v>Climatização</v>
      </c>
      <c r="M75" s="37" t="str">
        <f t="shared" si="11"/>
        <v>Elementos.de.Sensorização</v>
      </c>
      <c r="N75" s="37" t="str">
        <f t="shared" si="18"/>
        <v>Avac Sensores</v>
      </c>
      <c r="O75" s="37" t="str">
        <f t="shared" si="18"/>
        <v>Avac Sensor de pH</v>
      </c>
      <c r="P75" s="32" t="s">
        <v>447</v>
      </c>
      <c r="Q75" s="32" t="s">
        <v>321</v>
      </c>
      <c r="R75" s="38" t="s">
        <v>9</v>
      </c>
      <c r="S75" s="39" t="str">
        <f t="shared" si="17"/>
        <v>Climatização</v>
      </c>
      <c r="T75" s="39" t="str">
        <f t="shared" si="17"/>
        <v>Elementos de Sensorização</v>
      </c>
      <c r="U75" s="39" t="str">
        <f t="shared" si="17"/>
        <v>Avac Sensores</v>
      </c>
      <c r="V75" s="39" t="s">
        <v>231</v>
      </c>
      <c r="W75" s="68" t="str">
        <f t="shared" si="20"/>
        <v>Key-AVA-75</v>
      </c>
      <c r="X75" s="32" t="s">
        <v>334</v>
      </c>
      <c r="Y75" s="31" t="s">
        <v>355</v>
      </c>
      <c r="Z75" s="38" t="s">
        <v>286</v>
      </c>
      <c r="AA75" s="32" t="str">
        <f t="shared" si="19"/>
        <v>Device that identifies or detects acidity. Verify (MQTT) message queuing telemetry transport.</v>
      </c>
    </row>
    <row r="76" spans="1:27" ht="6.65" customHeight="1" x14ac:dyDescent="0.4">
      <c r="A76" s="34">
        <v>76</v>
      </c>
      <c r="B76" s="1" t="s">
        <v>43</v>
      </c>
      <c r="C76" s="1" t="s">
        <v>481</v>
      </c>
      <c r="D76" s="1" t="s">
        <v>464</v>
      </c>
      <c r="E76" s="1" t="s">
        <v>420</v>
      </c>
      <c r="F76" s="36" t="s">
        <v>406</v>
      </c>
      <c r="G76" s="42" t="s">
        <v>9</v>
      </c>
      <c r="H76" s="69" t="s">
        <v>9</v>
      </c>
      <c r="I76" s="69" t="s">
        <v>9</v>
      </c>
      <c r="J76" s="42" t="s">
        <v>9</v>
      </c>
      <c r="K76" s="42" t="s">
        <v>9</v>
      </c>
      <c r="L76" s="37" t="str">
        <f t="shared" si="11"/>
        <v>Climatização</v>
      </c>
      <c r="M76" s="37" t="str">
        <f t="shared" si="11"/>
        <v>Elementos.de.Sensorização</v>
      </c>
      <c r="N76" s="37" t="str">
        <f t="shared" si="18"/>
        <v>Avac Sensores</v>
      </c>
      <c r="O76" s="37" t="str">
        <f t="shared" si="18"/>
        <v>Avac Sensor de Pressão</v>
      </c>
      <c r="P76" s="32" t="s">
        <v>449</v>
      </c>
      <c r="Q76" s="32" t="s">
        <v>322</v>
      </c>
      <c r="R76" s="38" t="s">
        <v>9</v>
      </c>
      <c r="S76" s="39" t="str">
        <f t="shared" si="17"/>
        <v>Climatização</v>
      </c>
      <c r="T76" s="39" t="str">
        <f t="shared" si="17"/>
        <v>Elementos de Sensorização</v>
      </c>
      <c r="U76" s="39" t="str">
        <f t="shared" si="17"/>
        <v>Avac Sensores</v>
      </c>
      <c r="V76" s="39" t="s">
        <v>231</v>
      </c>
      <c r="W76" s="68" t="str">
        <f t="shared" si="20"/>
        <v>Key-AVA-76</v>
      </c>
      <c r="X76" s="32" t="s">
        <v>334</v>
      </c>
      <c r="Y76" s="31" t="s">
        <v>356</v>
      </c>
      <c r="Z76" s="38" t="s">
        <v>286</v>
      </c>
      <c r="AA76" s="32" t="str">
        <f t="shared" si="19"/>
        <v>Device that senses or senses pressure. Verify (MQTT) message queuing telemetry transport.</v>
      </c>
    </row>
    <row r="77" spans="1:27" ht="6.65" customHeight="1" x14ac:dyDescent="0.4">
      <c r="A77" s="34">
        <v>77</v>
      </c>
      <c r="B77" s="1" t="s">
        <v>43</v>
      </c>
      <c r="C77" s="1" t="s">
        <v>481</v>
      </c>
      <c r="D77" s="1" t="s">
        <v>464</v>
      </c>
      <c r="E77" s="1" t="s">
        <v>420</v>
      </c>
      <c r="F77" s="36" t="s">
        <v>407</v>
      </c>
      <c r="G77" s="42" t="s">
        <v>9</v>
      </c>
      <c r="H77" s="69" t="s">
        <v>9</v>
      </c>
      <c r="I77" s="69" t="s">
        <v>9</v>
      </c>
      <c r="J77" s="42" t="s">
        <v>9</v>
      </c>
      <c r="K77" s="42" t="s">
        <v>9</v>
      </c>
      <c r="L77" s="37" t="str">
        <f t="shared" si="11"/>
        <v>Climatização</v>
      </c>
      <c r="M77" s="37" t="str">
        <f t="shared" si="11"/>
        <v>Elementos.de.Sensorização</v>
      </c>
      <c r="N77" s="37" t="str">
        <f t="shared" si="18"/>
        <v>Avac Sensores</v>
      </c>
      <c r="O77" s="37" t="str">
        <f t="shared" si="18"/>
        <v>Avac Sensor de Radiação</v>
      </c>
      <c r="P77" s="32" t="s">
        <v>450</v>
      </c>
      <c r="Q77" s="32" t="s">
        <v>323</v>
      </c>
      <c r="R77" s="38" t="s">
        <v>9</v>
      </c>
      <c r="S77" s="39" t="str">
        <f t="shared" si="17"/>
        <v>Climatização</v>
      </c>
      <c r="T77" s="39" t="str">
        <f t="shared" si="17"/>
        <v>Elementos de Sensorização</v>
      </c>
      <c r="U77" s="39" t="str">
        <f t="shared" si="17"/>
        <v>Avac Sensores</v>
      </c>
      <c r="V77" s="39" t="s">
        <v>231</v>
      </c>
      <c r="W77" s="68" t="str">
        <f t="shared" si="20"/>
        <v>Key-AVA-77</v>
      </c>
      <c r="X77" s="32" t="s">
        <v>334</v>
      </c>
      <c r="Y77" s="31" t="s">
        <v>357</v>
      </c>
      <c r="Z77" s="38" t="s">
        <v>286</v>
      </c>
      <c r="AA77" s="32" t="str">
        <f t="shared" si="19"/>
        <v>A device that senses or detects radiation. Verify (MQTT) message queuing telemetry transport.</v>
      </c>
    </row>
    <row r="78" spans="1:27" ht="6.65" customHeight="1" x14ac:dyDescent="0.4">
      <c r="A78" s="34">
        <v>78</v>
      </c>
      <c r="B78" s="1" t="s">
        <v>43</v>
      </c>
      <c r="C78" s="1" t="s">
        <v>481</v>
      </c>
      <c r="D78" s="1" t="s">
        <v>464</v>
      </c>
      <c r="E78" s="1" t="s">
        <v>420</v>
      </c>
      <c r="F78" s="36" t="s">
        <v>408</v>
      </c>
      <c r="G78" s="42" t="s">
        <v>9</v>
      </c>
      <c r="H78" s="69" t="s">
        <v>9</v>
      </c>
      <c r="I78" s="69" t="s">
        <v>9</v>
      </c>
      <c r="J78" s="42" t="s">
        <v>9</v>
      </c>
      <c r="K78" s="42" t="s">
        <v>9</v>
      </c>
      <c r="L78" s="37" t="str">
        <f t="shared" si="11"/>
        <v>Climatização</v>
      </c>
      <c r="M78" s="37" t="str">
        <f t="shared" si="11"/>
        <v>Elementos.de.Sensorização</v>
      </c>
      <c r="N78" s="37" t="str">
        <f t="shared" si="18"/>
        <v>Avac Sensores</v>
      </c>
      <c r="O78" s="37" t="str">
        <f t="shared" si="18"/>
        <v>Avac Sensor de Radioatividade</v>
      </c>
      <c r="P78" s="32" t="s">
        <v>451</v>
      </c>
      <c r="Q78" s="32" t="s">
        <v>324</v>
      </c>
      <c r="R78" s="38" t="s">
        <v>9</v>
      </c>
      <c r="S78" s="39" t="str">
        <f t="shared" si="17"/>
        <v>Climatização</v>
      </c>
      <c r="T78" s="39" t="str">
        <f t="shared" si="17"/>
        <v>Elementos de Sensorização</v>
      </c>
      <c r="U78" s="39" t="str">
        <f t="shared" si="17"/>
        <v>Avac Sensores</v>
      </c>
      <c r="V78" s="39" t="s">
        <v>231</v>
      </c>
      <c r="W78" s="68" t="str">
        <f t="shared" si="20"/>
        <v>Key-AVA-78</v>
      </c>
      <c r="X78" s="32" t="s">
        <v>334</v>
      </c>
      <c r="Y78" s="31" t="s">
        <v>358</v>
      </c>
      <c r="Z78" s="38" t="s">
        <v>286</v>
      </c>
      <c r="AA78" s="32" t="str">
        <f t="shared" si="19"/>
        <v>A device that senses or detects atomic decay. Verify (MQTT) message queuing telemetry transport.</v>
      </c>
    </row>
    <row r="79" spans="1:27" ht="6.65" customHeight="1" x14ac:dyDescent="0.4">
      <c r="A79" s="34">
        <v>79</v>
      </c>
      <c r="B79" s="1" t="s">
        <v>43</v>
      </c>
      <c r="C79" s="1" t="s">
        <v>481</v>
      </c>
      <c r="D79" s="1" t="s">
        <v>464</v>
      </c>
      <c r="E79" s="1" t="s">
        <v>420</v>
      </c>
      <c r="F79" s="36" t="s">
        <v>409</v>
      </c>
      <c r="G79" s="42" t="s">
        <v>9</v>
      </c>
      <c r="H79" s="69" t="s">
        <v>9</v>
      </c>
      <c r="I79" s="69" t="s">
        <v>9</v>
      </c>
      <c r="J79" s="42" t="s">
        <v>9</v>
      </c>
      <c r="K79" s="42" t="s">
        <v>9</v>
      </c>
      <c r="L79" s="37" t="str">
        <f t="shared" si="11"/>
        <v>Climatização</v>
      </c>
      <c r="M79" s="37" t="str">
        <f t="shared" si="11"/>
        <v>Elementos.de.Sensorização</v>
      </c>
      <c r="N79" s="37" t="str">
        <f t="shared" si="18"/>
        <v>Avac Sensores</v>
      </c>
      <c r="O79" s="37" t="str">
        <f t="shared" si="18"/>
        <v>Avac Sensor de Chuva</v>
      </c>
      <c r="P79" s="32" t="s">
        <v>452</v>
      </c>
      <c r="Q79" s="32" t="s">
        <v>325</v>
      </c>
      <c r="R79" s="38" t="s">
        <v>9</v>
      </c>
      <c r="S79" s="39" t="str">
        <f t="shared" si="17"/>
        <v>Climatização</v>
      </c>
      <c r="T79" s="39" t="str">
        <f t="shared" si="17"/>
        <v>Elementos de Sensorização</v>
      </c>
      <c r="U79" s="39" t="str">
        <f t="shared" si="17"/>
        <v>Avac Sensores</v>
      </c>
      <c r="V79" s="39" t="s">
        <v>231</v>
      </c>
      <c r="W79" s="68" t="str">
        <f t="shared" si="20"/>
        <v>Key-AVA-79</v>
      </c>
      <c r="X79" s="32" t="s">
        <v>334</v>
      </c>
      <c r="Y79" s="31" t="s">
        <v>359</v>
      </c>
      <c r="Z79" s="38" t="s">
        <v>286</v>
      </c>
      <c r="AA79" s="32" t="str">
        <f t="shared" si="19"/>
        <v>A device that perceives or collects information related to rainfall. Verify (MQTT) message queuing telemetry transport.</v>
      </c>
    </row>
    <row r="80" spans="1:27" ht="6.65" customHeight="1" x14ac:dyDescent="0.4">
      <c r="A80" s="34">
        <v>80</v>
      </c>
      <c r="B80" s="1" t="s">
        <v>43</v>
      </c>
      <c r="C80" s="1" t="s">
        <v>481</v>
      </c>
      <c r="D80" s="1" t="s">
        <v>464</v>
      </c>
      <c r="E80" s="1" t="s">
        <v>420</v>
      </c>
      <c r="F80" s="36" t="s">
        <v>410</v>
      </c>
      <c r="G80" s="42" t="s">
        <v>9</v>
      </c>
      <c r="H80" s="69" t="s">
        <v>9</v>
      </c>
      <c r="I80" s="69" t="s">
        <v>9</v>
      </c>
      <c r="J80" s="42" t="s">
        <v>9</v>
      </c>
      <c r="K80" s="42" t="s">
        <v>9</v>
      </c>
      <c r="L80" s="37" t="str">
        <f t="shared" si="11"/>
        <v>Climatização</v>
      </c>
      <c r="M80" s="37" t="str">
        <f t="shared" si="11"/>
        <v>Elementos.de.Sensorização</v>
      </c>
      <c r="N80" s="37" t="str">
        <f t="shared" si="18"/>
        <v>Avac Sensores</v>
      </c>
      <c r="O80" s="37" t="str">
        <f t="shared" si="18"/>
        <v>Avac Sensor de Fumaça</v>
      </c>
      <c r="P80" s="32" t="s">
        <v>453</v>
      </c>
      <c r="Q80" s="32" t="s">
        <v>326</v>
      </c>
      <c r="R80" s="38" t="s">
        <v>9</v>
      </c>
      <c r="S80" s="39" t="str">
        <f t="shared" si="17"/>
        <v>Climatização</v>
      </c>
      <c r="T80" s="39" t="str">
        <f t="shared" si="17"/>
        <v>Elementos de Sensorização</v>
      </c>
      <c r="U80" s="39" t="str">
        <f t="shared" si="17"/>
        <v>Avac Sensores</v>
      </c>
      <c r="V80" s="39" t="s">
        <v>231</v>
      </c>
      <c r="W80" s="68" t="str">
        <f t="shared" si="20"/>
        <v>Key-AVA-80</v>
      </c>
      <c r="X80" s="32" t="s">
        <v>334</v>
      </c>
      <c r="Y80" s="31" t="s">
        <v>360</v>
      </c>
      <c r="Z80" s="38" t="s">
        <v>286</v>
      </c>
      <c r="AA80" s="32" t="str">
        <f t="shared" si="19"/>
        <v>Device that identifies or detects smoke. Verify (MQTT) message queuing telemetry transport.</v>
      </c>
    </row>
    <row r="81" spans="1:27" ht="6.65" customHeight="1" x14ac:dyDescent="0.4">
      <c r="A81" s="34">
        <v>81</v>
      </c>
      <c r="B81" s="1" t="s">
        <v>43</v>
      </c>
      <c r="C81" s="1" t="s">
        <v>481</v>
      </c>
      <c r="D81" s="1" t="s">
        <v>464</v>
      </c>
      <c r="E81" s="1" t="s">
        <v>420</v>
      </c>
      <c r="F81" s="36" t="s">
        <v>411</v>
      </c>
      <c r="G81" s="42" t="s">
        <v>9</v>
      </c>
      <c r="H81" s="69" t="s">
        <v>9</v>
      </c>
      <c r="I81" s="69" t="s">
        <v>9</v>
      </c>
      <c r="J81" s="42" t="s">
        <v>9</v>
      </c>
      <c r="K81" s="42" t="s">
        <v>9</v>
      </c>
      <c r="L81" s="37" t="str">
        <f t="shared" si="11"/>
        <v>Climatização</v>
      </c>
      <c r="M81" s="37" t="str">
        <f t="shared" si="11"/>
        <v>Elementos.de.Sensorização</v>
      </c>
      <c r="N81" s="37" t="str">
        <f t="shared" si="18"/>
        <v>Avac Sensores</v>
      </c>
      <c r="O81" s="37" t="str">
        <f t="shared" si="18"/>
        <v>Avac Sensor de Profundidade da Neve</v>
      </c>
      <c r="P81" s="32" t="s">
        <v>454</v>
      </c>
      <c r="Q81" s="32" t="s">
        <v>327</v>
      </c>
      <c r="R81" s="38" t="s">
        <v>9</v>
      </c>
      <c r="S81" s="39" t="str">
        <f t="shared" si="17"/>
        <v>Climatização</v>
      </c>
      <c r="T81" s="39" t="str">
        <f t="shared" si="17"/>
        <v>Elementos de Sensorização</v>
      </c>
      <c r="U81" s="39" t="str">
        <f t="shared" si="17"/>
        <v>Avac Sensores</v>
      </c>
      <c r="V81" s="39" t="s">
        <v>231</v>
      </c>
      <c r="W81" s="68" t="str">
        <f t="shared" si="20"/>
        <v>Key-AVA-81</v>
      </c>
      <c r="X81" s="32" t="s">
        <v>334</v>
      </c>
      <c r="Y81" s="31" t="s">
        <v>361</v>
      </c>
      <c r="Z81" s="38" t="s">
        <v>286</v>
      </c>
      <c r="AA81" s="32" t="str">
        <f t="shared" si="19"/>
        <v>A device that perceives or measures the depth of accumulated snow. Verify (MQTT) message queuing telemetry transport.</v>
      </c>
    </row>
    <row r="82" spans="1:27" ht="6.65" customHeight="1" x14ac:dyDescent="0.4">
      <c r="A82" s="34">
        <v>82</v>
      </c>
      <c r="B82" s="1" t="s">
        <v>43</v>
      </c>
      <c r="C82" s="1" t="s">
        <v>481</v>
      </c>
      <c r="D82" s="1" t="s">
        <v>464</v>
      </c>
      <c r="E82" s="1" t="s">
        <v>420</v>
      </c>
      <c r="F82" s="36" t="s">
        <v>412</v>
      </c>
      <c r="G82" s="42" t="s">
        <v>9</v>
      </c>
      <c r="H82" s="69" t="s">
        <v>9</v>
      </c>
      <c r="I82" s="69" t="s">
        <v>9</v>
      </c>
      <c r="J82" s="42" t="s">
        <v>9</v>
      </c>
      <c r="K82" s="42" t="s">
        <v>9</v>
      </c>
      <c r="L82" s="37" t="str">
        <f t="shared" si="11"/>
        <v>Climatização</v>
      </c>
      <c r="M82" s="37" t="str">
        <f t="shared" si="11"/>
        <v>Elementos.de.Sensorização</v>
      </c>
      <c r="N82" s="37" t="str">
        <f t="shared" si="18"/>
        <v>Avac Sensores</v>
      </c>
      <c r="O82" s="37" t="str">
        <f t="shared" si="18"/>
        <v>Avac Sensor de Som</v>
      </c>
      <c r="P82" s="32" t="s">
        <v>455</v>
      </c>
      <c r="Q82" s="32" t="s">
        <v>328</v>
      </c>
      <c r="R82" s="38" t="s">
        <v>9</v>
      </c>
      <c r="S82" s="39" t="str">
        <f t="shared" si="17"/>
        <v>Climatização</v>
      </c>
      <c r="T82" s="39" t="str">
        <f t="shared" si="17"/>
        <v>Elementos de Sensorização</v>
      </c>
      <c r="U82" s="39" t="str">
        <f t="shared" si="17"/>
        <v>Avac Sensores</v>
      </c>
      <c r="V82" s="39" t="s">
        <v>231</v>
      </c>
      <c r="W82" s="68" t="str">
        <f t="shared" si="20"/>
        <v>Key-AVA-82</v>
      </c>
      <c r="X82" s="32" t="s">
        <v>334</v>
      </c>
      <c r="Y82" s="31" t="s">
        <v>362</v>
      </c>
      <c r="Z82" s="38" t="s">
        <v>286</v>
      </c>
      <c r="AA82" s="32" t="str">
        <f t="shared" si="19"/>
        <v>A device that identifies or detects sound. Verify (MQTT) message queuing telemetry transport.</v>
      </c>
    </row>
    <row r="83" spans="1:27" ht="6.65" customHeight="1" x14ac:dyDescent="0.4">
      <c r="A83" s="34">
        <v>83</v>
      </c>
      <c r="B83" s="1" t="s">
        <v>43</v>
      </c>
      <c r="C83" s="1" t="s">
        <v>481</v>
      </c>
      <c r="D83" s="1" t="s">
        <v>464</v>
      </c>
      <c r="E83" s="1" t="s">
        <v>420</v>
      </c>
      <c r="F83" s="36" t="s">
        <v>413</v>
      </c>
      <c r="G83" s="42" t="s">
        <v>9</v>
      </c>
      <c r="H83" s="69" t="s">
        <v>9</v>
      </c>
      <c r="I83" s="69" t="s">
        <v>9</v>
      </c>
      <c r="J83" s="42" t="s">
        <v>9</v>
      </c>
      <c r="K83" s="42" t="s">
        <v>9</v>
      </c>
      <c r="L83" s="37" t="str">
        <f t="shared" si="11"/>
        <v>Climatização</v>
      </c>
      <c r="M83" s="37" t="str">
        <f t="shared" si="11"/>
        <v>Elementos.de.Sensorização</v>
      </c>
      <c r="N83" s="37" t="str">
        <f t="shared" si="18"/>
        <v>Avac Sensores</v>
      </c>
      <c r="O83" s="37" t="str">
        <f t="shared" si="18"/>
        <v>Avac Sensor de Temperatura</v>
      </c>
      <c r="P83" s="32" t="s">
        <v>456</v>
      </c>
      <c r="Q83" s="32" t="s">
        <v>329</v>
      </c>
      <c r="R83" s="38" t="s">
        <v>9</v>
      </c>
      <c r="S83" s="39" t="str">
        <f t="shared" si="17"/>
        <v>Climatização</v>
      </c>
      <c r="T83" s="39" t="str">
        <f t="shared" si="17"/>
        <v>Elementos de Sensorização</v>
      </c>
      <c r="U83" s="39" t="str">
        <f t="shared" si="17"/>
        <v>Avac Sensores</v>
      </c>
      <c r="V83" s="39" t="s">
        <v>231</v>
      </c>
      <c r="W83" s="68" t="str">
        <f t="shared" si="20"/>
        <v>Key-AVA-83</v>
      </c>
      <c r="X83" s="32" t="s">
        <v>334</v>
      </c>
      <c r="Y83" s="31" t="s">
        <v>363</v>
      </c>
      <c r="Z83" s="38" t="s">
        <v>286</v>
      </c>
      <c r="AA83" s="32" t="str">
        <f t="shared" si="19"/>
        <v>Device that identifies or detects temperature. Verify (MQTT) message queuing telemetry transport.</v>
      </c>
    </row>
    <row r="84" spans="1:27" ht="6.65" customHeight="1" x14ac:dyDescent="0.4">
      <c r="A84" s="34">
        <v>84</v>
      </c>
      <c r="B84" s="1" t="s">
        <v>43</v>
      </c>
      <c r="C84" s="1" t="s">
        <v>481</v>
      </c>
      <c r="D84" s="1" t="s">
        <v>464</v>
      </c>
      <c r="E84" s="1" t="s">
        <v>420</v>
      </c>
      <c r="F84" s="36" t="s">
        <v>414</v>
      </c>
      <c r="G84" s="42" t="s">
        <v>9</v>
      </c>
      <c r="H84" s="69" t="s">
        <v>9</v>
      </c>
      <c r="I84" s="69" t="s">
        <v>9</v>
      </c>
      <c r="J84" s="42" t="s">
        <v>9</v>
      </c>
      <c r="K84" s="42" t="s">
        <v>9</v>
      </c>
      <c r="L84" s="37" t="str">
        <f t="shared" si="11"/>
        <v>Climatização</v>
      </c>
      <c r="M84" s="37" t="str">
        <f t="shared" si="11"/>
        <v>Elementos.de.Sensorização</v>
      </c>
      <c r="N84" s="37" t="str">
        <f t="shared" si="18"/>
        <v>Avac Sensores</v>
      </c>
      <c r="O84" s="37" t="str">
        <f t="shared" si="18"/>
        <v>Avac Sensor de Trem</v>
      </c>
      <c r="P84" s="32" t="s">
        <v>457</v>
      </c>
      <c r="Q84" s="32" t="s">
        <v>330</v>
      </c>
      <c r="R84" s="38" t="s">
        <v>9</v>
      </c>
      <c r="S84" s="39" t="str">
        <f t="shared" si="17"/>
        <v>Climatização</v>
      </c>
      <c r="T84" s="39" t="str">
        <f t="shared" si="17"/>
        <v>Elementos de Sensorização</v>
      </c>
      <c r="U84" s="39" t="str">
        <f t="shared" si="17"/>
        <v>Avac Sensores</v>
      </c>
      <c r="V84" s="39" t="s">
        <v>231</v>
      </c>
      <c r="W84" s="68" t="str">
        <f t="shared" si="20"/>
        <v>Key-AVA-84</v>
      </c>
      <c r="X84" s="32" t="s">
        <v>334</v>
      </c>
      <c r="Y84" s="31" t="s">
        <v>364</v>
      </c>
      <c r="Z84" s="38" t="s">
        <v>286</v>
      </c>
      <c r="AA84" s="32" t="str">
        <f t="shared" si="19"/>
        <v>A device that is placed at the rear end of the last car of a train acting on a fixed equipment. Verify (MQTT) message queuing telemetry transport.</v>
      </c>
    </row>
    <row r="85" spans="1:27" ht="6.65" customHeight="1" x14ac:dyDescent="0.4">
      <c r="A85" s="34">
        <v>85</v>
      </c>
      <c r="B85" s="1" t="s">
        <v>43</v>
      </c>
      <c r="C85" s="1" t="s">
        <v>481</v>
      </c>
      <c r="D85" s="1" t="s">
        <v>464</v>
      </c>
      <c r="E85" s="1" t="s">
        <v>420</v>
      </c>
      <c r="F85" s="36" t="s">
        <v>415</v>
      </c>
      <c r="G85" s="42" t="s">
        <v>9</v>
      </c>
      <c r="H85" s="69" t="s">
        <v>9</v>
      </c>
      <c r="I85" s="69" t="s">
        <v>9</v>
      </c>
      <c r="J85" s="42" t="s">
        <v>9</v>
      </c>
      <c r="K85" s="42" t="s">
        <v>9</v>
      </c>
      <c r="L85" s="37" t="str">
        <f t="shared" si="11"/>
        <v>Climatização</v>
      </c>
      <c r="M85" s="37" t="str">
        <f t="shared" si="11"/>
        <v>Elementos.de.Sensorização</v>
      </c>
      <c r="N85" s="37" t="str">
        <f t="shared" si="18"/>
        <v>Avac Sensores</v>
      </c>
      <c r="O85" s="37" t="str">
        <f t="shared" si="18"/>
        <v>Avac Sensor de Desvio Ferroviário</v>
      </c>
      <c r="P85" s="32" t="s">
        <v>460</v>
      </c>
      <c r="Q85" s="32" t="s">
        <v>331</v>
      </c>
      <c r="R85" s="38" t="s">
        <v>9</v>
      </c>
      <c r="S85" s="39" t="str">
        <f t="shared" si="17"/>
        <v>Climatização</v>
      </c>
      <c r="T85" s="39" t="str">
        <f t="shared" si="17"/>
        <v>Elementos de Sensorização</v>
      </c>
      <c r="U85" s="39" t="str">
        <f t="shared" si="17"/>
        <v>Avac Sensores</v>
      </c>
      <c r="V85" s="39" t="s">
        <v>231</v>
      </c>
      <c r="W85" s="68" t="str">
        <f t="shared" si="20"/>
        <v>Key-AVA-85</v>
      </c>
      <c r="X85" s="32" t="s">
        <v>334</v>
      </c>
      <c r="Y85" s="31" t="s">
        <v>365</v>
      </c>
      <c r="Z85" s="38" t="s">
        <v>286</v>
      </c>
      <c r="AA85" s="32" t="str">
        <f t="shared" si="19"/>
        <v>A device that detects or detects the position of a blade of an AMV. Verify (MQTT) message queuing telemetry transport.</v>
      </c>
    </row>
    <row r="86" spans="1:27" ht="6.65" customHeight="1" x14ac:dyDescent="0.4">
      <c r="A86" s="34">
        <v>86</v>
      </c>
      <c r="B86" s="1" t="s">
        <v>43</v>
      </c>
      <c r="C86" s="1" t="s">
        <v>481</v>
      </c>
      <c r="D86" s="1" t="s">
        <v>464</v>
      </c>
      <c r="E86" s="1" t="s">
        <v>420</v>
      </c>
      <c r="F86" s="36" t="s">
        <v>416</v>
      </c>
      <c r="G86" s="42" t="s">
        <v>9</v>
      </c>
      <c r="H86" s="69" t="s">
        <v>9</v>
      </c>
      <c r="I86" s="69" t="s">
        <v>9</v>
      </c>
      <c r="J86" s="42" t="s">
        <v>9</v>
      </c>
      <c r="K86" s="42" t="s">
        <v>9</v>
      </c>
      <c r="L86" s="37" t="str">
        <f t="shared" si="11"/>
        <v>Climatização</v>
      </c>
      <c r="M86" s="37" t="str">
        <f t="shared" si="11"/>
        <v>Elementos.de.Sensorização</v>
      </c>
      <c r="N86" s="37" t="str">
        <f t="shared" si="18"/>
        <v>Avac Sensores</v>
      </c>
      <c r="O86" s="37" t="str">
        <f t="shared" si="18"/>
        <v>Avac Sensor de Roda</v>
      </c>
      <c r="P86" s="32" t="s">
        <v>458</v>
      </c>
      <c r="Q86" s="32" t="s">
        <v>332</v>
      </c>
      <c r="R86" s="38" t="s">
        <v>9</v>
      </c>
      <c r="S86" s="39" t="str">
        <f t="shared" si="17"/>
        <v>Climatização</v>
      </c>
      <c r="T86" s="39" t="str">
        <f t="shared" si="17"/>
        <v>Elementos de Sensorização</v>
      </c>
      <c r="U86" s="39" t="str">
        <f t="shared" si="17"/>
        <v>Avac Sensores</v>
      </c>
      <c r="V86" s="39" t="s">
        <v>231</v>
      </c>
      <c r="W86" s="68" t="str">
        <f t="shared" si="20"/>
        <v>Key-AVA-86</v>
      </c>
      <c r="X86" s="32" t="s">
        <v>334</v>
      </c>
      <c r="Y86" s="31" t="s">
        <v>366</v>
      </c>
      <c r="Z86" s="38" t="s">
        <v>286</v>
      </c>
      <c r="AA86" s="32" t="str">
        <f t="shared" si="19"/>
        <v>A device that senses or detects the passage of a wheel. Verify (MQTT) message queuing telemetry transport.</v>
      </c>
    </row>
    <row r="87" spans="1:27" ht="6.65" customHeight="1" x14ac:dyDescent="0.4">
      <c r="A87" s="34">
        <v>87</v>
      </c>
      <c r="B87" s="1" t="s">
        <v>43</v>
      </c>
      <c r="C87" s="1" t="s">
        <v>481</v>
      </c>
      <c r="D87" s="1" t="s">
        <v>464</v>
      </c>
      <c r="E87" s="1" t="s">
        <v>420</v>
      </c>
      <c r="F87" s="36" t="s">
        <v>417</v>
      </c>
      <c r="G87" s="42" t="s">
        <v>9</v>
      </c>
      <c r="H87" s="69" t="s">
        <v>9</v>
      </c>
      <c r="I87" s="69" t="s">
        <v>9</v>
      </c>
      <c r="J87" s="42" t="s">
        <v>9</v>
      </c>
      <c r="K87" s="42" t="s">
        <v>9</v>
      </c>
      <c r="L87" s="37" t="str">
        <f t="shared" si="11"/>
        <v>Climatização</v>
      </c>
      <c r="M87" s="37" t="str">
        <f t="shared" si="11"/>
        <v>Elementos.de.Sensorização</v>
      </c>
      <c r="N87" s="37" t="str">
        <f t="shared" si="18"/>
        <v>Avac Sensores</v>
      </c>
      <c r="O87" s="37" t="str">
        <f t="shared" si="18"/>
        <v>Avac Sensor de Vento</v>
      </c>
      <c r="P87" s="32" t="s">
        <v>459</v>
      </c>
      <c r="Q87" s="32" t="s">
        <v>333</v>
      </c>
      <c r="R87" s="38" t="s">
        <v>9</v>
      </c>
      <c r="S87" s="39" t="str">
        <f t="shared" si="17"/>
        <v>Climatização</v>
      </c>
      <c r="T87" s="39" t="str">
        <f t="shared" si="17"/>
        <v>Elementos de Sensorização</v>
      </c>
      <c r="U87" s="39" t="str">
        <f t="shared" si="17"/>
        <v>Avac Sensores</v>
      </c>
      <c r="V87" s="39" t="s">
        <v>231</v>
      </c>
      <c r="W87" s="68" t="str">
        <f t="shared" si="20"/>
        <v>Key-AVA-87</v>
      </c>
      <c r="X87" s="32" t="s">
        <v>334</v>
      </c>
      <c r="Y87" s="31" t="s">
        <v>367</v>
      </c>
      <c r="Z87" s="38" t="s">
        <v>286</v>
      </c>
      <c r="AA87" s="32" t="str">
        <f t="shared" si="19"/>
        <v>A device that perceives or senses the speed and direction of airflow. Verify (MQTT) message queuing telemetry transport.</v>
      </c>
    </row>
    <row r="88" spans="1:27" ht="6.65" customHeight="1" x14ac:dyDescent="0.4">
      <c r="A88" s="34">
        <v>88</v>
      </c>
      <c r="B88" s="1" t="s">
        <v>43</v>
      </c>
      <c r="C88" s="1" t="s">
        <v>481</v>
      </c>
      <c r="D88" s="1" t="s">
        <v>486</v>
      </c>
      <c r="E88" s="1" t="s">
        <v>422</v>
      </c>
      <c r="F88" s="40" t="s">
        <v>418</v>
      </c>
      <c r="G88" s="42" t="s">
        <v>9</v>
      </c>
      <c r="H88" s="42" t="s">
        <v>9</v>
      </c>
      <c r="I88" s="42" t="s">
        <v>9</v>
      </c>
      <c r="J88" s="42" t="s">
        <v>9</v>
      </c>
      <c r="K88" s="42" t="s">
        <v>9</v>
      </c>
      <c r="L88" s="37" t="str">
        <f t="shared" si="11"/>
        <v>Climatização</v>
      </c>
      <c r="M88" s="37" t="str">
        <f t="shared" si="11"/>
        <v>Elementos.de.Acessórios</v>
      </c>
      <c r="N88" s="37" t="str">
        <f t="shared" si="18"/>
        <v>Avac Acessórios</v>
      </c>
      <c r="O88" s="32" t="str">
        <f>IF(ISNUMBER(FIND("Ifc",F88)),CONCATENATE("",F88),CONCATENATE("",F88))</f>
        <v>Avac.Acessório.Duto.Avac</v>
      </c>
      <c r="P88" s="32" t="s">
        <v>193</v>
      </c>
      <c r="Q88" s="32" t="s">
        <v>195</v>
      </c>
      <c r="R88" s="38" t="s">
        <v>9</v>
      </c>
      <c r="S88" s="39" t="str">
        <f t="shared" ref="S88:U89" si="21">SUBSTITUTE(C88, "_", " ")</f>
        <v>Climatização</v>
      </c>
      <c r="T88" s="39" t="str">
        <f t="shared" si="21"/>
        <v>Elementos.de.Acessórios</v>
      </c>
      <c r="U88" s="39" t="str">
        <f t="shared" si="21"/>
        <v>Avac.Acessórios</v>
      </c>
      <c r="V88" s="39" t="s">
        <v>231</v>
      </c>
      <c r="W88" s="68" t="str">
        <f t="shared" si="20"/>
        <v>Key-AVA-88</v>
      </c>
      <c r="X88" s="39" t="s">
        <v>232</v>
      </c>
      <c r="Y88" s="32" t="s">
        <v>233</v>
      </c>
      <c r="Z88" s="38" t="s">
        <v>286</v>
      </c>
      <c r="AA88" s="32" t="str">
        <f t="shared" si="19"/>
        <v>HVAC duct accessories.</v>
      </c>
    </row>
    <row r="89" spans="1:27" ht="6.65" customHeight="1" x14ac:dyDescent="0.4">
      <c r="A89" s="34">
        <v>89</v>
      </c>
      <c r="B89" s="1" t="s">
        <v>43</v>
      </c>
      <c r="C89" s="1" t="s">
        <v>481</v>
      </c>
      <c r="D89" s="1" t="s">
        <v>486</v>
      </c>
      <c r="E89" s="1" t="s">
        <v>422</v>
      </c>
      <c r="F89" s="1" t="s">
        <v>419</v>
      </c>
      <c r="G89" s="42" t="s">
        <v>9</v>
      </c>
      <c r="H89" s="42" t="s">
        <v>9</v>
      </c>
      <c r="I89" s="42" t="s">
        <v>9</v>
      </c>
      <c r="J89" s="42" t="s">
        <v>9</v>
      </c>
      <c r="K89" s="42" t="s">
        <v>9</v>
      </c>
      <c r="L89" s="37" t="str">
        <f t="shared" si="11"/>
        <v>Climatização</v>
      </c>
      <c r="M89" s="37" t="str">
        <f t="shared" si="11"/>
        <v>Elementos.de.Acessórios</v>
      </c>
      <c r="N89" s="37" t="str">
        <f t="shared" si="18"/>
        <v>Avac Acessórios</v>
      </c>
      <c r="O89" s="32" t="str">
        <f t="shared" ref="O89" si="22">IF(ISNUMBER(FIND("Ifc",F89)),CONCATENATE("",F89),CONCATENATE("",F89))</f>
        <v>Avac.Acessório.Tubo.Avac</v>
      </c>
      <c r="P89" s="32" t="s">
        <v>194</v>
      </c>
      <c r="Q89" s="32" t="s">
        <v>196</v>
      </c>
      <c r="R89" s="38" t="s">
        <v>9</v>
      </c>
      <c r="S89" s="39" t="str">
        <f t="shared" si="21"/>
        <v>Climatização</v>
      </c>
      <c r="T89" s="39" t="str">
        <f t="shared" si="21"/>
        <v>Elementos.de.Acessórios</v>
      </c>
      <c r="U89" s="39" t="str">
        <f t="shared" si="21"/>
        <v>Avac.Acessórios</v>
      </c>
      <c r="V89" s="39" t="s">
        <v>231</v>
      </c>
      <c r="W89" s="68" t="str">
        <f t="shared" si="20"/>
        <v>Key-AVA-89</v>
      </c>
      <c r="X89" s="32" t="s">
        <v>234</v>
      </c>
      <c r="Y89" s="32" t="s">
        <v>233</v>
      </c>
      <c r="Z89" s="38" t="s">
        <v>286</v>
      </c>
      <c r="AA89" s="32" t="str">
        <f t="shared" si="19"/>
        <v>HVAC pipe segments.</v>
      </c>
    </row>
  </sheetData>
  <conditionalFormatting sqref="A2:A89">
    <cfRule type="cellIs" dxfId="73" priority="27" operator="equal">
      <formula>"null"</formula>
    </cfRule>
  </conditionalFormatting>
  <conditionalFormatting sqref="D55:F87 L55:Q87 S55:U87 X55:Y87 E88:E89">
    <cfRule type="cellIs" dxfId="72" priority="31" operator="equal">
      <formula>"null"</formula>
    </cfRule>
  </conditionalFormatting>
  <conditionalFormatting sqref="F1">
    <cfRule type="duplicateValues" dxfId="71" priority="2314"/>
  </conditionalFormatting>
  <conditionalFormatting sqref="F1:F1048576">
    <cfRule type="duplicateValues" dxfId="70" priority="2"/>
    <cfRule type="duplicateValues" dxfId="69" priority="1"/>
  </conditionalFormatting>
  <conditionalFormatting sqref="F2:F6">
    <cfRule type="duplicateValues" dxfId="68" priority="83"/>
    <cfRule type="duplicateValues" dxfId="67" priority="87"/>
    <cfRule type="duplicateValues" dxfId="66" priority="86"/>
    <cfRule type="duplicateValues" dxfId="65" priority="85"/>
  </conditionalFormatting>
  <conditionalFormatting sqref="F7:F9">
    <cfRule type="duplicateValues" dxfId="64" priority="28"/>
    <cfRule type="duplicateValues" dxfId="63" priority="26"/>
  </conditionalFormatting>
  <conditionalFormatting sqref="F10:F20">
    <cfRule type="duplicateValues" dxfId="62" priority="59"/>
  </conditionalFormatting>
  <conditionalFormatting sqref="F10:F48 F52:F89">
    <cfRule type="duplicateValues" dxfId="61" priority="29"/>
  </conditionalFormatting>
  <conditionalFormatting sqref="F21:F22 F88:F89">
    <cfRule type="duplicateValues" dxfId="60" priority="49"/>
  </conditionalFormatting>
  <conditionalFormatting sqref="F21:F22">
    <cfRule type="duplicateValues" dxfId="59" priority="58"/>
  </conditionalFormatting>
  <conditionalFormatting sqref="F23:F29">
    <cfRule type="duplicateValues" dxfId="58" priority="61"/>
    <cfRule type="duplicateValues" dxfId="57" priority="60"/>
    <cfRule type="duplicateValues" dxfId="56" priority="62"/>
    <cfRule type="duplicateValues" dxfId="55" priority="63"/>
  </conditionalFormatting>
  <conditionalFormatting sqref="F30:F31">
    <cfRule type="duplicateValues" dxfId="54" priority="40"/>
    <cfRule type="duplicateValues" dxfId="53" priority="41"/>
  </conditionalFormatting>
  <conditionalFormatting sqref="F32:F33">
    <cfRule type="duplicateValues" dxfId="52" priority="46"/>
    <cfRule type="duplicateValues" dxfId="51" priority="45"/>
    <cfRule type="duplicateValues" dxfId="50" priority="47"/>
    <cfRule type="duplicateValues" dxfId="49" priority="48"/>
  </conditionalFormatting>
  <conditionalFormatting sqref="F32:F48">
    <cfRule type="duplicateValues" dxfId="48" priority="43"/>
  </conditionalFormatting>
  <conditionalFormatting sqref="F34:F48">
    <cfRule type="duplicateValues" dxfId="47" priority="42"/>
    <cfRule type="duplicateValues" dxfId="46" priority="44"/>
  </conditionalFormatting>
  <conditionalFormatting sqref="F49:F51 B49:B51 L49:Q51 S49:V51 X49:Y51 AA49:XFD51">
    <cfRule type="cellIs" dxfId="45" priority="3" operator="equal">
      <formula>"null"</formula>
    </cfRule>
  </conditionalFormatting>
  <conditionalFormatting sqref="F49:F51"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10"/>
    <cfRule type="duplicateValues" dxfId="39" priority="11"/>
    <cfRule type="duplicateValues" dxfId="38" priority="12"/>
    <cfRule type="duplicateValues" dxfId="37" priority="13"/>
    <cfRule type="duplicateValues" dxfId="36" priority="8"/>
    <cfRule type="duplicateValues" dxfId="35" priority="9"/>
  </conditionalFormatting>
  <conditionalFormatting sqref="F52:F54">
    <cfRule type="duplicateValues" dxfId="34" priority="55"/>
    <cfRule type="duplicateValues" dxfId="33" priority="56"/>
    <cfRule type="duplicateValues" dxfId="32" priority="57"/>
    <cfRule type="duplicateValues" dxfId="31" priority="53"/>
    <cfRule type="duplicateValues" dxfId="30" priority="54"/>
    <cfRule type="duplicateValues" dxfId="29" priority="52"/>
    <cfRule type="duplicateValues" dxfId="28" priority="51"/>
  </conditionalFormatting>
  <conditionalFormatting sqref="F55:F87">
    <cfRule type="duplicateValues" dxfId="27" priority="30"/>
    <cfRule type="duplicateValues" dxfId="26" priority="32"/>
    <cfRule type="duplicateValues" dxfId="25" priority="33"/>
    <cfRule type="duplicateValues" dxfId="24" priority="35"/>
    <cfRule type="duplicateValues" dxfId="23" priority="36"/>
    <cfRule type="duplicateValues" dxfId="22" priority="34"/>
  </conditionalFormatting>
  <conditionalFormatting sqref="F88:F89 F10:F48 F52:F54">
    <cfRule type="duplicateValues" dxfId="21" priority="38"/>
  </conditionalFormatting>
  <conditionalFormatting sqref="F88:F89 F21:F31">
    <cfRule type="duplicateValues" dxfId="20" priority="50"/>
  </conditionalFormatting>
  <conditionalFormatting sqref="F88:F89">
    <cfRule type="duplicateValues" dxfId="19" priority="37"/>
  </conditionalFormatting>
  <conditionalFormatting sqref="F90:F1048576 F1">
    <cfRule type="duplicateValues" dxfId="18" priority="2316"/>
  </conditionalFormatting>
  <conditionalFormatting sqref="F90:F1048576 F1:F6">
    <cfRule type="duplicateValues" dxfId="17" priority="64"/>
  </conditionalFormatting>
  <conditionalFormatting sqref="F90:F1048576">
    <cfRule type="duplicateValues" dxfId="16" priority="2323"/>
    <cfRule type="duplicateValues" dxfId="15" priority="2319"/>
    <cfRule type="duplicateValues" dxfId="14" priority="2321"/>
    <cfRule type="duplicateValues" dxfId="13" priority="2322"/>
  </conditionalFormatting>
  <conditionalFormatting sqref="AA1:AA6">
    <cfRule type="cellIs" dxfId="12" priority="88" operator="equal">
      <formula>"null"</formula>
    </cfRule>
  </conditionalFormatting>
  <conditionalFormatting sqref="AA10:AA48 AA52:AA89">
    <cfRule type="cellIs" dxfId="11" priority="3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07421875" style="11" bestFit="1" customWidth="1"/>
    <col min="11" max="21" width="5.61328125" style="9" bestFit="1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8" bestFit="1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28.2" customHeight="1" x14ac:dyDescent="0.4">
      <c r="A1" s="33">
        <v>0</v>
      </c>
      <c r="B1" s="29" t="s">
        <v>115</v>
      </c>
      <c r="C1" s="30" t="s">
        <v>116</v>
      </c>
      <c r="D1" s="30" t="s">
        <v>117</v>
      </c>
      <c r="E1" s="30" t="s">
        <v>117</v>
      </c>
      <c r="F1" s="30" t="s">
        <v>117</v>
      </c>
      <c r="G1" s="30" t="s">
        <v>117</v>
      </c>
    </row>
    <row r="2" spans="1:7" ht="8.25" customHeight="1" x14ac:dyDescent="0.4">
      <c r="A2" s="34">
        <v>2</v>
      </c>
      <c r="B2" s="32" t="s">
        <v>9</v>
      </c>
      <c r="C2" s="32" t="s">
        <v>9</v>
      </c>
      <c r="D2" s="32" t="s">
        <v>9</v>
      </c>
      <c r="E2" s="32" t="s">
        <v>9</v>
      </c>
      <c r="F2" s="32" t="s">
        <v>9</v>
      </c>
      <c r="G2" s="32" t="s">
        <v>9</v>
      </c>
    </row>
  </sheetData>
  <phoneticPr fontId="1" type="noConversion"/>
  <conditionalFormatting sqref="A1:B1">
    <cfRule type="duplicateValues" dxfId="9" priority="3"/>
  </conditionalFormatting>
  <conditionalFormatting sqref="A1:G1 C2:G2">
    <cfRule type="containsText" dxfId="8" priority="2" operator="containsText" text="null">
      <formula>NOT(ISERROR(SEARCH("null",A1)))</formula>
    </cfRule>
  </conditionalFormatting>
  <conditionalFormatting sqref="B1">
    <cfRule type="duplicateValues" dxfId="7" priority="1"/>
  </conditionalFormatting>
  <conditionalFormatting sqref="B3:B1048576">
    <cfRule type="duplicateValues" dxfId="6" priority="7"/>
    <cfRule type="duplicateValues" dxfId="5" priority="9"/>
  </conditionalFormatting>
  <conditionalFormatting sqref="B3:G1048576">
    <cfRule type="containsText" dxfId="4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Y4"/>
  <sheetViews>
    <sheetView tabSelected="1" topLeftCell="O1" zoomScale="280" zoomScaleNormal="280" workbookViewId="0">
      <selection activeCell="U9" sqref="U9"/>
    </sheetView>
  </sheetViews>
  <sheetFormatPr defaultColWidth="11.53515625" defaultRowHeight="7.5" customHeight="1" x14ac:dyDescent="0.4"/>
  <cols>
    <col min="1" max="1" width="1.765625" bestFit="1" customWidth="1"/>
    <col min="2" max="2" width="4.61328125" bestFit="1" customWidth="1"/>
    <col min="3" max="3" width="5.23046875" customWidth="1"/>
    <col min="4" max="4" width="7" customWidth="1"/>
    <col min="5" max="5" width="4.921875" customWidth="1"/>
    <col min="6" max="9" width="2.765625" customWidth="1"/>
    <col min="10" max="10" width="4.765625" customWidth="1"/>
    <col min="11" max="11" width="21.3828125" bestFit="1" customWidth="1"/>
    <col min="12" max="12" width="5.69140625" bestFit="1" customWidth="1"/>
    <col min="13" max="13" width="40.23046875" bestFit="1" customWidth="1"/>
    <col min="14" max="14" width="3.84375" bestFit="1" customWidth="1"/>
    <col min="15" max="15" width="58.3046875" bestFit="1" customWidth="1"/>
    <col min="16" max="16" width="2.3828125" bestFit="1" customWidth="1"/>
    <col min="17" max="17" width="5.61328125" customWidth="1"/>
    <col min="18" max="18" width="2.3828125" style="64" bestFit="1" customWidth="1"/>
    <col min="19" max="19" width="5.4609375" customWidth="1"/>
    <col min="20" max="20" width="2.61328125" bestFit="1" customWidth="1"/>
    <col min="21" max="21" width="4.61328125" bestFit="1" customWidth="1"/>
    <col min="22" max="22" width="2.3828125" bestFit="1" customWidth="1"/>
    <col min="23" max="23" width="2.23046875" bestFit="1" customWidth="1"/>
    <col min="24" max="24" width="2.3828125" bestFit="1" customWidth="1"/>
    <col min="25" max="25" width="2.23046875" bestFit="1" customWidth="1"/>
    <col min="26" max="26" width="2.3828125" bestFit="1" customWidth="1"/>
    <col min="27" max="27" width="2.23046875" bestFit="1" customWidth="1"/>
    <col min="28" max="28" width="2.3828125" bestFit="1" customWidth="1"/>
    <col min="29" max="29" width="2.23046875" bestFit="1" customWidth="1"/>
    <col min="30" max="30" width="2.3828125" bestFit="1" customWidth="1"/>
    <col min="31" max="31" width="2.23046875" bestFit="1" customWidth="1"/>
    <col min="32" max="32" width="2.3828125" bestFit="1" customWidth="1"/>
    <col min="33" max="33" width="2.23046875" bestFit="1" customWidth="1"/>
    <col min="34" max="34" width="2.3828125" bestFit="1" customWidth="1"/>
    <col min="35" max="35" width="2.23046875" bestFit="1" customWidth="1"/>
    <col min="36" max="36" width="2.3828125" bestFit="1" customWidth="1"/>
    <col min="37" max="37" width="2.23046875" bestFit="1" customWidth="1"/>
    <col min="38" max="38" width="2.3828125" bestFit="1" customWidth="1"/>
    <col min="39" max="39" width="2.23046875" bestFit="1" customWidth="1"/>
    <col min="40" max="40" width="2.3828125" bestFit="1" customWidth="1"/>
    <col min="41" max="41" width="2.23046875" bestFit="1" customWidth="1"/>
    <col min="42" max="42" width="2.3828125" bestFit="1" customWidth="1"/>
    <col min="43" max="43" width="2.23046875" bestFit="1" customWidth="1"/>
    <col min="44" max="44" width="2.3828125" bestFit="1" customWidth="1"/>
    <col min="45" max="45" width="2.23046875" bestFit="1" customWidth="1"/>
    <col min="46" max="46" width="2.3828125" bestFit="1" customWidth="1"/>
    <col min="47" max="47" width="2.23046875" bestFit="1" customWidth="1"/>
    <col min="48" max="48" width="2.3828125" bestFit="1" customWidth="1"/>
    <col min="49" max="49" width="2.23046875" bestFit="1" customWidth="1"/>
    <col min="50" max="50" width="2.3828125" bestFit="1" customWidth="1"/>
    <col min="51" max="51" width="2.23046875" bestFit="1" customWidth="1"/>
  </cols>
  <sheetData>
    <row r="1" spans="1:51" ht="17.25" customHeight="1" x14ac:dyDescent="0.4">
      <c r="A1" s="18" t="s">
        <v>10</v>
      </c>
      <c r="B1" s="19" t="s">
        <v>71</v>
      </c>
      <c r="C1" s="19" t="s">
        <v>72</v>
      </c>
      <c r="D1" s="19" t="s">
        <v>73</v>
      </c>
      <c r="E1" s="19" t="s">
        <v>45</v>
      </c>
      <c r="F1" s="19" t="s">
        <v>73</v>
      </c>
      <c r="G1" s="19" t="s">
        <v>79</v>
      </c>
      <c r="H1" s="19" t="s">
        <v>73</v>
      </c>
      <c r="I1" s="19" t="s">
        <v>79</v>
      </c>
      <c r="J1" s="19" t="s">
        <v>73</v>
      </c>
      <c r="K1" s="19" t="s">
        <v>79</v>
      </c>
      <c r="L1" s="19" t="s">
        <v>73</v>
      </c>
      <c r="M1" s="19" t="s">
        <v>79</v>
      </c>
      <c r="N1" s="27" t="s">
        <v>74</v>
      </c>
      <c r="O1" s="20" t="s">
        <v>79</v>
      </c>
      <c r="P1" s="19" t="s">
        <v>73</v>
      </c>
      <c r="Q1" s="19" t="s">
        <v>79</v>
      </c>
      <c r="R1" s="19" t="s">
        <v>73</v>
      </c>
      <c r="S1" s="20" t="s">
        <v>79</v>
      </c>
      <c r="T1" s="18" t="s">
        <v>73</v>
      </c>
      <c r="U1" s="18" t="s">
        <v>79</v>
      </c>
      <c r="V1" s="18" t="s">
        <v>73</v>
      </c>
      <c r="W1" s="18" t="s">
        <v>79</v>
      </c>
      <c r="X1" s="18" t="s">
        <v>73</v>
      </c>
      <c r="Y1" s="18" t="s">
        <v>79</v>
      </c>
      <c r="Z1" s="18" t="s">
        <v>73</v>
      </c>
      <c r="AA1" s="18" t="s">
        <v>79</v>
      </c>
      <c r="AB1" s="18" t="s">
        <v>73</v>
      </c>
      <c r="AC1" s="18" t="s">
        <v>79</v>
      </c>
      <c r="AD1" s="18" t="s">
        <v>73</v>
      </c>
      <c r="AE1" s="18" t="s">
        <v>79</v>
      </c>
      <c r="AF1" s="18" t="s">
        <v>73</v>
      </c>
      <c r="AG1" s="18" t="s">
        <v>79</v>
      </c>
      <c r="AH1" s="18" t="s">
        <v>73</v>
      </c>
      <c r="AI1" s="18" t="s">
        <v>79</v>
      </c>
      <c r="AJ1" s="18" t="s">
        <v>73</v>
      </c>
      <c r="AK1" s="18" t="s">
        <v>79</v>
      </c>
      <c r="AL1" s="18" t="s">
        <v>73</v>
      </c>
      <c r="AM1" s="18" t="s">
        <v>79</v>
      </c>
      <c r="AN1" s="18" t="s">
        <v>73</v>
      </c>
      <c r="AO1" s="18" t="s">
        <v>79</v>
      </c>
      <c r="AP1" s="18" t="s">
        <v>73</v>
      </c>
      <c r="AQ1" s="18" t="s">
        <v>79</v>
      </c>
      <c r="AR1" s="18" t="s">
        <v>73</v>
      </c>
      <c r="AS1" s="18" t="s">
        <v>79</v>
      </c>
      <c r="AT1" s="18" t="s">
        <v>73</v>
      </c>
      <c r="AU1" s="18" t="s">
        <v>79</v>
      </c>
      <c r="AV1" s="18" t="s">
        <v>73</v>
      </c>
      <c r="AW1" s="18" t="s">
        <v>79</v>
      </c>
      <c r="AX1" s="18" t="s">
        <v>73</v>
      </c>
      <c r="AY1" s="18" t="s">
        <v>79</v>
      </c>
    </row>
    <row r="2" spans="1:51" ht="7.5" customHeight="1" x14ac:dyDescent="0.4">
      <c r="A2" s="21">
        <v>2</v>
      </c>
      <c r="B2" s="63" t="s">
        <v>474</v>
      </c>
      <c r="C2" s="60" t="s">
        <v>220</v>
      </c>
      <c r="D2" s="58" t="s">
        <v>9</v>
      </c>
      <c r="E2" s="61" t="s">
        <v>9</v>
      </c>
      <c r="F2" s="58" t="s">
        <v>9</v>
      </c>
      <c r="G2" s="61" t="s">
        <v>9</v>
      </c>
      <c r="H2" s="58" t="s">
        <v>9</v>
      </c>
      <c r="I2" s="61" t="s">
        <v>9</v>
      </c>
      <c r="J2" s="22" t="s">
        <v>75</v>
      </c>
      <c r="K2" s="23" t="s">
        <v>475</v>
      </c>
      <c r="L2" s="51" t="s">
        <v>214</v>
      </c>
      <c r="M2" s="25" t="s">
        <v>216</v>
      </c>
      <c r="N2" s="51" t="s">
        <v>215</v>
      </c>
      <c r="O2" s="25" t="s">
        <v>216</v>
      </c>
      <c r="P2" s="50" t="s">
        <v>78</v>
      </c>
      <c r="Q2" s="25" t="s">
        <v>167</v>
      </c>
      <c r="R2" s="50" t="s">
        <v>502</v>
      </c>
      <c r="S2" s="24" t="s">
        <v>168</v>
      </c>
      <c r="T2" s="50" t="s">
        <v>76</v>
      </c>
      <c r="U2" s="24" t="s">
        <v>77</v>
      </c>
      <c r="V2" s="51" t="s">
        <v>9</v>
      </c>
      <c r="W2" s="25" t="s">
        <v>9</v>
      </c>
      <c r="X2" s="51" t="s">
        <v>9</v>
      </c>
      <c r="Y2" s="25" t="s">
        <v>9</v>
      </c>
      <c r="Z2" s="51" t="s">
        <v>9</v>
      </c>
      <c r="AA2" s="25" t="s">
        <v>9</v>
      </c>
      <c r="AB2" s="51" t="s">
        <v>9</v>
      </c>
      <c r="AC2" s="25" t="s">
        <v>9</v>
      </c>
      <c r="AD2" s="51" t="s">
        <v>9</v>
      </c>
      <c r="AE2" s="25" t="s">
        <v>9</v>
      </c>
      <c r="AF2" s="51" t="s">
        <v>9</v>
      </c>
      <c r="AG2" s="25" t="s">
        <v>9</v>
      </c>
      <c r="AH2" s="51" t="s">
        <v>9</v>
      </c>
      <c r="AI2" s="25" t="s">
        <v>9</v>
      </c>
      <c r="AJ2" s="51" t="s">
        <v>9</v>
      </c>
      <c r="AK2" s="25" t="s">
        <v>9</v>
      </c>
      <c r="AL2" s="51" t="s">
        <v>9</v>
      </c>
      <c r="AM2" s="25" t="s">
        <v>9</v>
      </c>
      <c r="AN2" s="51" t="s">
        <v>9</v>
      </c>
      <c r="AO2" s="25" t="s">
        <v>9</v>
      </c>
      <c r="AP2" s="51" t="s">
        <v>9</v>
      </c>
      <c r="AQ2" s="25" t="s">
        <v>9</v>
      </c>
      <c r="AR2" s="51" t="s">
        <v>9</v>
      </c>
      <c r="AS2" s="25" t="s">
        <v>9</v>
      </c>
      <c r="AT2" s="51" t="s">
        <v>9</v>
      </c>
      <c r="AU2" s="25" t="s">
        <v>9</v>
      </c>
      <c r="AV2" s="51" t="s">
        <v>9</v>
      </c>
      <c r="AW2" s="25" t="s">
        <v>9</v>
      </c>
      <c r="AX2" s="51" t="s">
        <v>9</v>
      </c>
      <c r="AY2" s="25" t="s">
        <v>9</v>
      </c>
    </row>
    <row r="3" spans="1:51" s="59" customFormat="1" ht="7.2" customHeight="1" x14ac:dyDescent="0.4">
      <c r="A3" s="21">
        <v>3</v>
      </c>
      <c r="B3" s="62" t="s">
        <v>470</v>
      </c>
      <c r="C3" s="60" t="s">
        <v>220</v>
      </c>
      <c r="D3" s="52" t="s">
        <v>172</v>
      </c>
      <c r="E3" s="49" t="s">
        <v>474</v>
      </c>
      <c r="F3" s="58" t="s">
        <v>9</v>
      </c>
      <c r="G3" s="61" t="s">
        <v>9</v>
      </c>
      <c r="H3" s="58" t="s">
        <v>9</v>
      </c>
      <c r="I3" s="61" t="s">
        <v>9</v>
      </c>
      <c r="J3" s="51" t="s">
        <v>75</v>
      </c>
      <c r="K3" s="23" t="s">
        <v>472</v>
      </c>
      <c r="L3" s="51" t="s">
        <v>214</v>
      </c>
      <c r="M3" s="25" t="s">
        <v>217</v>
      </c>
      <c r="N3" s="51" t="s">
        <v>215</v>
      </c>
      <c r="O3" s="25" t="s">
        <v>218</v>
      </c>
      <c r="P3" s="51" t="s">
        <v>9</v>
      </c>
      <c r="Q3" s="25" t="s">
        <v>9</v>
      </c>
      <c r="R3" s="51" t="s">
        <v>9</v>
      </c>
      <c r="S3" s="25" t="s">
        <v>9</v>
      </c>
      <c r="T3" s="51" t="s">
        <v>9</v>
      </c>
      <c r="U3" s="25" t="s">
        <v>9</v>
      </c>
      <c r="V3" s="51" t="s">
        <v>9</v>
      </c>
      <c r="W3" s="25" t="s">
        <v>9</v>
      </c>
      <c r="X3" s="51" t="s">
        <v>9</v>
      </c>
      <c r="Y3" s="25" t="s">
        <v>9</v>
      </c>
      <c r="Z3" s="51" t="s">
        <v>9</v>
      </c>
      <c r="AA3" s="25" t="s">
        <v>9</v>
      </c>
      <c r="AB3" s="51" t="s">
        <v>9</v>
      </c>
      <c r="AC3" s="25" t="s">
        <v>9</v>
      </c>
      <c r="AD3" s="51" t="s">
        <v>9</v>
      </c>
      <c r="AE3" s="25" t="s">
        <v>9</v>
      </c>
      <c r="AF3" s="51" t="s">
        <v>9</v>
      </c>
      <c r="AG3" s="25" t="s">
        <v>9</v>
      </c>
      <c r="AH3" s="51" t="s">
        <v>9</v>
      </c>
      <c r="AI3" s="25" t="s">
        <v>9</v>
      </c>
      <c r="AJ3" s="51" t="s">
        <v>9</v>
      </c>
      <c r="AK3" s="25" t="s">
        <v>9</v>
      </c>
      <c r="AL3" s="51" t="s">
        <v>9</v>
      </c>
      <c r="AM3" s="25" t="s">
        <v>9</v>
      </c>
      <c r="AN3" s="51" t="s">
        <v>9</v>
      </c>
      <c r="AO3" s="25" t="s">
        <v>9</v>
      </c>
      <c r="AP3" s="51" t="s">
        <v>9</v>
      </c>
      <c r="AQ3" s="25" t="s">
        <v>9</v>
      </c>
      <c r="AR3" s="51" t="s">
        <v>9</v>
      </c>
      <c r="AS3" s="25" t="s">
        <v>9</v>
      </c>
      <c r="AT3" s="51" t="s">
        <v>9</v>
      </c>
      <c r="AU3" s="25" t="s">
        <v>9</v>
      </c>
      <c r="AV3" s="51" t="s">
        <v>9</v>
      </c>
      <c r="AW3" s="25" t="s">
        <v>9</v>
      </c>
      <c r="AX3" s="51" t="s">
        <v>9</v>
      </c>
      <c r="AY3" s="25" t="s">
        <v>9</v>
      </c>
    </row>
    <row r="4" spans="1:51" s="59" customFormat="1" ht="7.2" customHeight="1" x14ac:dyDescent="0.4">
      <c r="A4" s="21">
        <v>4</v>
      </c>
      <c r="B4" s="62" t="s">
        <v>471</v>
      </c>
      <c r="C4" s="60" t="s">
        <v>220</v>
      </c>
      <c r="D4" s="52" t="s">
        <v>172</v>
      </c>
      <c r="E4" s="49" t="s">
        <v>474</v>
      </c>
      <c r="F4" s="58" t="s">
        <v>9</v>
      </c>
      <c r="G4" s="61" t="s">
        <v>9</v>
      </c>
      <c r="H4" s="58" t="s">
        <v>9</v>
      </c>
      <c r="I4" s="61" t="s">
        <v>9</v>
      </c>
      <c r="J4" s="51" t="s">
        <v>75</v>
      </c>
      <c r="K4" s="23" t="s">
        <v>473</v>
      </c>
      <c r="L4" s="51" t="s">
        <v>214</v>
      </c>
      <c r="M4" s="25" t="s">
        <v>217</v>
      </c>
      <c r="N4" s="51" t="s">
        <v>215</v>
      </c>
      <c r="O4" s="25" t="s">
        <v>218</v>
      </c>
      <c r="P4" s="51" t="s">
        <v>9</v>
      </c>
      <c r="Q4" s="25" t="s">
        <v>9</v>
      </c>
      <c r="R4" s="51" t="s">
        <v>9</v>
      </c>
      <c r="S4" s="25" t="s">
        <v>9</v>
      </c>
      <c r="T4" s="51" t="s">
        <v>9</v>
      </c>
      <c r="U4" s="25" t="s">
        <v>9</v>
      </c>
      <c r="V4" s="51" t="s">
        <v>9</v>
      </c>
      <c r="W4" s="25" t="s">
        <v>9</v>
      </c>
      <c r="X4" s="51" t="s">
        <v>9</v>
      </c>
      <c r="Y4" s="25" t="s">
        <v>9</v>
      </c>
      <c r="Z4" s="51" t="s">
        <v>9</v>
      </c>
      <c r="AA4" s="25" t="s">
        <v>9</v>
      </c>
      <c r="AB4" s="51" t="s">
        <v>9</v>
      </c>
      <c r="AC4" s="25" t="s">
        <v>9</v>
      </c>
      <c r="AD4" s="51" t="s">
        <v>9</v>
      </c>
      <c r="AE4" s="25" t="s">
        <v>9</v>
      </c>
      <c r="AF4" s="51" t="s">
        <v>9</v>
      </c>
      <c r="AG4" s="25" t="s">
        <v>9</v>
      </c>
      <c r="AH4" s="51" t="s">
        <v>9</v>
      </c>
      <c r="AI4" s="25" t="s">
        <v>9</v>
      </c>
      <c r="AJ4" s="51" t="s">
        <v>9</v>
      </c>
      <c r="AK4" s="25" t="s">
        <v>9</v>
      </c>
      <c r="AL4" s="51" t="s">
        <v>9</v>
      </c>
      <c r="AM4" s="25" t="s">
        <v>9</v>
      </c>
      <c r="AN4" s="51" t="s">
        <v>9</v>
      </c>
      <c r="AO4" s="25" t="s">
        <v>9</v>
      </c>
      <c r="AP4" s="51" t="s">
        <v>9</v>
      </c>
      <c r="AQ4" s="25" t="s">
        <v>9</v>
      </c>
      <c r="AR4" s="51" t="s">
        <v>9</v>
      </c>
      <c r="AS4" s="25" t="s">
        <v>9</v>
      </c>
      <c r="AT4" s="51" t="s">
        <v>9</v>
      </c>
      <c r="AU4" s="25" t="s">
        <v>9</v>
      </c>
      <c r="AV4" s="51" t="s">
        <v>9</v>
      </c>
      <c r="AW4" s="25" t="s">
        <v>9</v>
      </c>
      <c r="AX4" s="51" t="s">
        <v>9</v>
      </c>
      <c r="AY4" s="25" t="s">
        <v>9</v>
      </c>
    </row>
  </sheetData>
  <phoneticPr fontId="1" type="noConversion"/>
  <conditionalFormatting sqref="B3:B4">
    <cfRule type="duplicateValues" dxfId="3" priority="2236"/>
  </conditionalFormatting>
  <conditionalFormatting sqref="D2:I2">
    <cfRule type="cellIs" dxfId="2" priority="19" operator="equal">
      <formula>"null"</formula>
    </cfRule>
  </conditionalFormatting>
  <conditionalFormatting sqref="P3:XFD4">
    <cfRule type="cellIs" dxfId="1" priority="1" operator="equal">
      <formula>"null"</formula>
    </cfRule>
  </conditionalFormatting>
  <conditionalFormatting sqref="V2:AY2 L2:O4 B3:B4 D3:J4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2026-05-10T14:47:03Z</dcterms:modified>
  <dc:language>pt-BR</dc:language>
</cp:coreProperties>
</file>