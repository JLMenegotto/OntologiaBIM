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SIS\"/>
    </mc:Choice>
  </mc:AlternateContent>
  <xr:revisionPtr revIDLastSave="0" documentId="13_ncr:1_{B1F27868-1640-4764-A4D6-B7B38292D61D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7" l="1"/>
  <c r="X3" i="17"/>
  <c r="X4" i="17"/>
  <c r="X5" i="17"/>
  <c r="X6" i="17"/>
  <c r="X7" i="17"/>
  <c r="X8" i="17"/>
  <c r="X9" i="17"/>
  <c r="X10" i="17"/>
  <c r="V10" i="17"/>
  <c r="U10" i="17"/>
  <c r="T10" i="17"/>
  <c r="O10" i="17"/>
  <c r="N10" i="17"/>
  <c r="M10" i="17"/>
  <c r="L10" i="17"/>
  <c r="V9" i="17"/>
  <c r="U9" i="17"/>
  <c r="T9" i="17"/>
  <c r="O9" i="17"/>
  <c r="N9" i="17"/>
  <c r="M9" i="17"/>
  <c r="L9" i="17"/>
  <c r="V8" i="17"/>
  <c r="U8" i="17"/>
  <c r="T8" i="17"/>
  <c r="O8" i="17"/>
  <c r="N8" i="17"/>
  <c r="M8" i="17"/>
  <c r="L8" i="17"/>
  <c r="V7" i="17"/>
  <c r="U7" i="17"/>
  <c r="T7" i="17"/>
  <c r="O7" i="17"/>
  <c r="N7" i="17"/>
  <c r="M7" i="17"/>
  <c r="L7" i="17"/>
  <c r="V6" i="17"/>
  <c r="U6" i="17"/>
  <c r="T6" i="17"/>
  <c r="O6" i="17"/>
  <c r="N6" i="17"/>
  <c r="M6" i="17"/>
  <c r="L6" i="17"/>
  <c r="V5" i="17"/>
  <c r="U5" i="17"/>
  <c r="T5" i="17"/>
  <c r="O5" i="17"/>
  <c r="N5" i="17"/>
  <c r="M5" i="17"/>
  <c r="L5" i="17"/>
  <c r="V4" i="17"/>
  <c r="U4" i="17"/>
  <c r="T4" i="17"/>
  <c r="O4" i="17"/>
  <c r="N4" i="17"/>
  <c r="M4" i="17"/>
  <c r="L4" i="17"/>
  <c r="V3" i="17"/>
  <c r="U3" i="17"/>
  <c r="T3" i="17"/>
  <c r="O3" i="17"/>
  <c r="N3" i="17"/>
  <c r="M3" i="17"/>
  <c r="L3" i="17"/>
  <c r="V2" i="17"/>
  <c r="U2" i="17"/>
  <c r="T2" i="17"/>
  <c r="O2" i="17"/>
  <c r="N2" i="17"/>
  <c r="M2" i="17"/>
  <c r="L2" i="17"/>
  <c r="X57" i="17" l="1"/>
  <c r="X58" i="17"/>
  <c r="X59" i="17"/>
  <c r="X60" i="17"/>
  <c r="X61" i="17"/>
  <c r="V61" i="17"/>
  <c r="U61" i="17"/>
  <c r="T61" i="17"/>
  <c r="O61" i="17"/>
  <c r="N61" i="17"/>
  <c r="M61" i="17"/>
  <c r="L61" i="17"/>
  <c r="V60" i="17"/>
  <c r="U60" i="17"/>
  <c r="T60" i="17"/>
  <c r="O60" i="17"/>
  <c r="N60" i="17"/>
  <c r="M60" i="17"/>
  <c r="L60" i="17"/>
  <c r="V59" i="17"/>
  <c r="U59" i="17"/>
  <c r="T59" i="17"/>
  <c r="O59" i="17"/>
  <c r="N59" i="17"/>
  <c r="M59" i="17"/>
  <c r="L59" i="17"/>
  <c r="V58" i="17"/>
  <c r="U58" i="17"/>
  <c r="T58" i="17"/>
  <c r="O58" i="17"/>
  <c r="N58" i="17"/>
  <c r="M58" i="17"/>
  <c r="L58" i="17"/>
  <c r="V57" i="17"/>
  <c r="U57" i="17"/>
  <c r="T57" i="17"/>
  <c r="O57" i="17"/>
  <c r="N57" i="17"/>
  <c r="M57" i="17"/>
  <c r="L57" i="17"/>
  <c r="X55" i="17" l="1"/>
  <c r="X56" i="17"/>
  <c r="X15" i="17" l="1"/>
  <c r="V15" i="17"/>
  <c r="O15" i="17"/>
  <c r="N15" i="17"/>
  <c r="M15" i="17"/>
  <c r="L15" i="17"/>
  <c r="V56" i="17"/>
  <c r="O56" i="17"/>
  <c r="N56" i="17"/>
  <c r="M56" i="17"/>
  <c r="L56" i="17"/>
  <c r="V55" i="17"/>
  <c r="O55" i="17"/>
  <c r="N55" i="17"/>
  <c r="M55" i="17"/>
  <c r="L55" i="17"/>
  <c r="X54" i="17"/>
  <c r="V54" i="17"/>
  <c r="O54" i="17"/>
  <c r="N54" i="17"/>
  <c r="M54" i="17"/>
  <c r="L54" i="17"/>
  <c r="X53" i="17"/>
  <c r="V53" i="17"/>
  <c r="O53" i="17"/>
  <c r="N53" i="17"/>
  <c r="M53" i="17"/>
  <c r="L53" i="17"/>
  <c r="X52" i="17"/>
  <c r="V52" i="17"/>
  <c r="O52" i="17"/>
  <c r="N52" i="17"/>
  <c r="M52" i="17"/>
  <c r="L52" i="17"/>
  <c r="X12" i="17"/>
  <c r="V12" i="17"/>
  <c r="O12" i="17"/>
  <c r="N12" i="17"/>
  <c r="M12" i="17"/>
  <c r="L12" i="17"/>
  <c r="X13" i="17"/>
  <c r="X14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11" i="17"/>
  <c r="V11" i="17"/>
  <c r="O11" i="17"/>
  <c r="N11" i="17"/>
  <c r="M11" i="17"/>
  <c r="L11" i="17"/>
  <c r="O13" i="17" l="1"/>
  <c r="O14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V22" i="17"/>
  <c r="N22" i="17"/>
  <c r="M22" i="17"/>
  <c r="L22" i="17"/>
  <c r="V21" i="17"/>
  <c r="N21" i="17"/>
  <c r="M21" i="17"/>
  <c r="L21" i="17"/>
  <c r="V20" i="17" l="1"/>
  <c r="N20" i="17"/>
  <c r="M20" i="17"/>
  <c r="L20" i="17"/>
  <c r="V37" i="17"/>
  <c r="N37" i="17"/>
  <c r="M37" i="17"/>
  <c r="L37" i="17"/>
  <c r="V38" i="17"/>
  <c r="N38" i="17"/>
  <c r="M38" i="17"/>
  <c r="L38" i="17"/>
  <c r="V36" i="17"/>
  <c r="N36" i="17"/>
  <c r="M36" i="17"/>
  <c r="L36" i="17"/>
  <c r="V35" i="17"/>
  <c r="N35" i="17"/>
  <c r="M35" i="17"/>
  <c r="L35" i="17"/>
  <c r="V34" i="17"/>
  <c r="N34" i="17"/>
  <c r="M34" i="17"/>
  <c r="L34" i="17"/>
  <c r="V33" i="17"/>
  <c r="N33" i="17"/>
  <c r="M33" i="17"/>
  <c r="L33" i="17"/>
  <c r="L39" i="17"/>
  <c r="M39" i="17"/>
  <c r="N39" i="17"/>
  <c r="V39" i="17"/>
  <c r="L40" i="17"/>
  <c r="M40" i="17"/>
  <c r="N40" i="17"/>
  <c r="V40" i="17"/>
  <c r="L41" i="17"/>
  <c r="M41" i="17"/>
  <c r="N41" i="17"/>
  <c r="V41" i="17"/>
  <c r="L42" i="17"/>
  <c r="M42" i="17"/>
  <c r="N42" i="17"/>
  <c r="V42" i="17"/>
  <c r="L43" i="17"/>
  <c r="M43" i="17"/>
  <c r="N43" i="17"/>
  <c r="V43" i="17"/>
  <c r="V23" i="17"/>
  <c r="N23" i="17"/>
  <c r="M23" i="17"/>
  <c r="L23" i="17"/>
  <c r="V19" i="17"/>
  <c r="N19" i="17"/>
  <c r="M19" i="17"/>
  <c r="L19" i="17"/>
  <c r="V18" i="17"/>
  <c r="N18" i="17"/>
  <c r="M18" i="17"/>
  <c r="L18" i="17"/>
  <c r="V17" i="17"/>
  <c r="N17" i="17"/>
  <c r="M17" i="17"/>
  <c r="L17" i="17"/>
  <c r="V16" i="17"/>
  <c r="N16" i="17"/>
  <c r="M16" i="17"/>
  <c r="L16" i="17"/>
  <c r="V51" i="17"/>
  <c r="N51" i="17"/>
  <c r="M51" i="17"/>
  <c r="L51" i="17"/>
  <c r="V14" i="17"/>
  <c r="N14" i="17"/>
  <c r="M14" i="17"/>
  <c r="L14" i="17"/>
  <c r="V13" i="17"/>
  <c r="N13" i="17"/>
  <c r="M13" i="17"/>
  <c r="L13" i="17"/>
  <c r="V32" i="17"/>
  <c r="N32" i="17"/>
  <c r="M32" i="17"/>
  <c r="L32" i="17"/>
  <c r="V31" i="17"/>
  <c r="N31" i="17"/>
  <c r="M31" i="17"/>
  <c r="L31" i="17"/>
  <c r="V30" i="17"/>
  <c r="N30" i="17"/>
  <c r="M30" i="17"/>
  <c r="L30" i="17"/>
  <c r="V29" i="17"/>
  <c r="N29" i="17"/>
  <c r="M29" i="17"/>
  <c r="L29" i="17"/>
  <c r="V28" i="17"/>
  <c r="N28" i="17"/>
  <c r="M28" i="17"/>
  <c r="L28" i="17"/>
  <c r="V27" i="17"/>
  <c r="N27" i="17"/>
  <c r="M27" i="17"/>
  <c r="L27" i="17"/>
  <c r="V26" i="17"/>
  <c r="N26" i="17"/>
  <c r="M26" i="17"/>
  <c r="L26" i="17"/>
  <c r="V25" i="17"/>
  <c r="N25" i="17"/>
  <c r="M25" i="17"/>
  <c r="L25" i="17"/>
  <c r="V24" i="17"/>
  <c r="N24" i="17"/>
  <c r="M24" i="17"/>
  <c r="L24" i="17"/>
  <c r="V49" i="17" l="1"/>
  <c r="N49" i="17"/>
  <c r="M49" i="17"/>
  <c r="L49" i="17"/>
  <c r="V45" i="17"/>
  <c r="N45" i="17"/>
  <c r="M45" i="17"/>
  <c r="L45" i="17"/>
  <c r="V47" i="17"/>
  <c r="N47" i="17"/>
  <c r="M47" i="17"/>
  <c r="L47" i="17"/>
  <c r="V48" i="17"/>
  <c r="N48" i="17"/>
  <c r="M48" i="17"/>
  <c r="L48" i="17"/>
  <c r="V50" i="17"/>
  <c r="N50" i="17"/>
  <c r="M50" i="17"/>
  <c r="L50" i="17"/>
  <c r="V46" i="17"/>
  <c r="N46" i="17"/>
  <c r="M46" i="17"/>
  <c r="L46" i="17"/>
  <c r="V44" i="17"/>
  <c r="N44" i="17"/>
  <c r="M44" i="17"/>
  <c r="L44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<sst xmlns="http://schemas.openxmlformats.org/spreadsheetml/2006/main" count="1846" uniqueCount="414">
  <si>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</si>
  <si>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</si>
  <si>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</si>
  <si>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</si>
  <si>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</si>
  <si>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</si>
  <si>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</si>
  <si>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</si>
  <si>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</si>
  <si>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</si>
  <si>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</si>
  <si>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</si>
  <si>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</si>
  <si>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</si>
  <si>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</si>
  <si>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</si>
  <si>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</si>
  <si>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</si>
  <si>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</si>
  <si>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</si>
  <si>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</si>
  <si>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</si>
  <si>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</si>
  <si>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</si>
  <si>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</si>
  <si>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</si>
  <si>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</si>
  <si>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</si>
  <si>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</si>
  <si>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</si>
  <si>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</si>
  <si>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</si>
  <si>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</si>
  <si>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</si>
  <si>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</si>
  <si>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</si>
  <si>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</si>
  <si>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</si>
  <si>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</si>
  <si>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</si>
  <si>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</si>
  <si>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</si>
  <si>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</si>
  <si>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</si>
  <si>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</si>
  <si>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</si>
  <si>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</si>
  <si>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</si>
  <si>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</si>
  <si>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</si>
  <si>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</si>
  <si>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</si>
  <si>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</si>
  <si>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</si>
  <si>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</si>
  <si>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</si>
  <si>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</si>
  <si>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</si>
  <si>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</si>
  <si>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</si>
  <si>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</si>
  <si>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</si>
  <si>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</si>
  <si>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</si>
  <si>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</si>
  <si>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</si>
  <si>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</si>
  <si>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</si>
  <si>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</si>
  <si>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</si>
  <si>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</si>
  <si>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</si>
  <si>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</si>
  <si>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</si>
  <si>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</si>
  <si>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</si>
  <si>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</si>
  <si>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</si>
  <si>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</si>
  <si>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</si>
  <si>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</si>
  <si>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</si>
  <si>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</si>
  <si>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</si>
  <si>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</si>
  <si>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</si>
  <si>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</si>
  <si>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</si>
  <si>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</si>
  <si>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</si>
  <si>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</si>
  <si>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</si>
  <si>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</si>
  <si>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</si>
  <si>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CTI_Projeto_01</t>
  </si>
  <si>
    <t>código.abnt</t>
  </si>
  <si>
    <t>"Nome da empresa vendedora do produto."</t>
  </si>
  <si>
    <t>classe.ifc</t>
  </si>
  <si>
    <t>categoria.revit</t>
  </si>
  <si>
    <t>Coletor.Predial</t>
  </si>
  <si>
    <t>Coletor.Andar</t>
  </si>
  <si>
    <t>Tubo.de.Queda</t>
  </si>
  <si>
    <t>Caixa.de.Inspeção</t>
  </si>
  <si>
    <t>Poço.de.Visita</t>
  </si>
  <si>
    <t>Caixa.de.Gordura</t>
  </si>
  <si>
    <t>Caixa.de.Areia</t>
  </si>
  <si>
    <t>Caixa.Sifonada</t>
  </si>
  <si>
    <t>Ventilação.Esgoto</t>
  </si>
  <si>
    <t>Coletor Sifonado como um ralo sifonado</t>
  </si>
  <si>
    <t>Coletor Local como um ralo seco ou Válvula de Lavatório</t>
  </si>
  <si>
    <t xml:space="preserve">Ramal de coleta horizontal do andar </t>
  </si>
  <si>
    <t>Ramal de coleta horizonta do prédio</t>
  </si>
  <si>
    <t>Tubo vertical de queda</t>
  </si>
  <si>
    <t>Sifões</t>
  </si>
  <si>
    <t>Caixas de Areia</t>
  </si>
  <si>
    <t>Caixas de Gordura</t>
  </si>
  <si>
    <t>Caixas de Inspeção</t>
  </si>
  <si>
    <t>Caixas Sifonadas</t>
  </si>
  <si>
    <t>Poços de Visita</t>
  </si>
  <si>
    <t>Colector local como válvula de drenaje seco o de cuenca</t>
  </si>
  <si>
    <t>Colector sifonado como drenaje sifonado</t>
  </si>
  <si>
    <t>Sifones</t>
  </si>
  <si>
    <t>Cajas de arena</t>
  </si>
  <si>
    <t>Trampas de grasa</t>
  </si>
  <si>
    <t>Cajas de sifón</t>
  </si>
  <si>
    <t>Pozo de visita</t>
  </si>
  <si>
    <t>[ 3E.42.04 ]</t>
  </si>
  <si>
    <t>"Tigre"</t>
  </si>
  <si>
    <t>"[ 3E.42.04 ]"</t>
  </si>
  <si>
    <t>é.pertencente.a</t>
  </si>
  <si>
    <t>"Sistema de Esgoto da coluna 1 do Predio"</t>
  </si>
  <si>
    <t>Tubulação.Reuso</t>
  </si>
  <si>
    <t>Cisterna.Superior</t>
  </si>
  <si>
    <t>Cisterna.Inferior</t>
  </si>
  <si>
    <t>Boiler</t>
  </si>
  <si>
    <t>Caldeira</t>
  </si>
  <si>
    <t>Tubulação.AQ</t>
  </si>
  <si>
    <t>Tubulação.AF</t>
  </si>
  <si>
    <t>Cisterna Superior</t>
  </si>
  <si>
    <t>Cisterna Inferior</t>
  </si>
  <si>
    <t>Aquecedor.de.Agua</t>
  </si>
  <si>
    <t>Aquecedor de água</t>
  </si>
  <si>
    <t>Tubulação de Água Fria</t>
  </si>
  <si>
    <t>Tubulação de Água Quente</t>
  </si>
  <si>
    <t>Tubulação de Água de Reuso</t>
  </si>
  <si>
    <t>Tubería de agua de reuso</t>
  </si>
  <si>
    <t>Calefón</t>
  </si>
  <si>
    <t>Cisterna Intermediária</t>
  </si>
  <si>
    <t>Ventilação de Esgoto</t>
  </si>
  <si>
    <t>Ventilación de Esgoto</t>
  </si>
  <si>
    <t>Tubulações</t>
  </si>
  <si>
    <t>Hidrossanitária</t>
  </si>
  <si>
    <t>Instalações</t>
  </si>
  <si>
    <t>Sistema.ESG</t>
  </si>
  <si>
    <t>[ 3E.38.02 ]</t>
  </si>
  <si>
    <t>Acessório.Sanitário</t>
  </si>
  <si>
    <t>Accesorio del sistema de desagüe como soportes, ganchos, pedestales, etc.</t>
  </si>
  <si>
    <t>"Instância de Ralo sifonado que pertence ao sistema ESG_01 pode ser individualizado pelo ID de Revit ou pelo indentificador IfcGlobalId de IFC"</t>
  </si>
  <si>
    <t>"Instância de Tubulação que pertence ao sistema AF01 pode ser individualizado pelo ID de Revit ou pelo indentificador IfcGlobalId de IFC"</t>
  </si>
  <si>
    <t>Ralo.Sifonado</t>
  </si>
  <si>
    <t>Ralo.Seco</t>
  </si>
  <si>
    <t>Chuveiro</t>
  </si>
  <si>
    <t>Torneira</t>
  </si>
  <si>
    <t>Misturador</t>
  </si>
  <si>
    <t>Válvula</t>
  </si>
  <si>
    <t>Registro</t>
  </si>
  <si>
    <t>Lavatório</t>
  </si>
  <si>
    <t>Bidet</t>
  </si>
  <si>
    <t>Vaso.Sanitário</t>
  </si>
  <si>
    <t>Cuba.Sanitária</t>
  </si>
  <si>
    <t>Pia.Sanitária</t>
  </si>
  <si>
    <t>Banheira</t>
  </si>
  <si>
    <t>Ducha</t>
  </si>
  <si>
    <t>Ducha manual</t>
  </si>
  <si>
    <t>Canilla</t>
  </si>
  <si>
    <t>Vaso Sanitário</t>
  </si>
  <si>
    <t>Pia Sanitária</t>
  </si>
  <si>
    <t>Cuba Sanitária</t>
  </si>
  <si>
    <t>Inodoro</t>
  </si>
  <si>
    <t>Tanque</t>
  </si>
  <si>
    <t>Bacha Sanitaria</t>
  </si>
  <si>
    <t>[ OST_PlumbingFixtures ]</t>
  </si>
  <si>
    <t>[ IfcSanitaryTerminal ]</t>
  </si>
  <si>
    <t>[ IfcValve ]</t>
  </si>
  <si>
    <t>[ IfcTank ]</t>
  </si>
  <si>
    <t>[ IfcBoiler ]</t>
  </si>
  <si>
    <t>[ IfcEnergyConversionDevice ]</t>
  </si>
  <si>
    <t>"Instância de Tubulação que pertence ao sistema AQ01 pode ser individualizado pelo ID de Revit ou pelo indentificador IfcGlobalId de IFC"</t>
  </si>
  <si>
    <t>[ OST_PipingSystem ]</t>
  </si>
  <si>
    <t>"[ 3E.38.02 ]"</t>
  </si>
  <si>
    <t>Ralo_ID_453908</t>
  </si>
  <si>
    <t>Ralo_ID_453909</t>
  </si>
  <si>
    <t>Tubo_ID_334250</t>
  </si>
  <si>
    <t>Tubo_ID_334251</t>
  </si>
  <si>
    <t>Tubo_ID_334252</t>
  </si>
  <si>
    <t>Tubo_ID_334253</t>
  </si>
  <si>
    <t>Tubo_ID_334254</t>
  </si>
  <si>
    <t>Tubo_ID_334255</t>
  </si>
  <si>
    <t>Tubo_ID_334256</t>
  </si>
  <si>
    <t>Tubo_ID_334257</t>
  </si>
  <si>
    <t>Tubo_ID_334258</t>
  </si>
  <si>
    <t>Tubo_ID_334259</t>
  </si>
  <si>
    <t>Tubo_ID_334260</t>
  </si>
  <si>
    <t>Tubo_ID_334261</t>
  </si>
  <si>
    <t>Objetos_de_Hidrossanitária</t>
  </si>
  <si>
    <t>Formalizar elementos do projeto BIM. Objetos específicos de Hidráulica e Esgoto Sanitário</t>
  </si>
  <si>
    <t>Formalizar elementos de proyecto BIM. Objetos específicos de Hidráulica e Desagües sanitarios</t>
  </si>
  <si>
    <t>Objetos de Sistemas de Hidráulica e Esgoto Sanitário</t>
  </si>
  <si>
    <t>Sis_ESG_01</t>
  </si>
  <si>
    <t>Sis_AFR_01</t>
  </si>
  <si>
    <t>Fecho.Hidráulico</t>
  </si>
  <si>
    <t>Acessório.Hidraúlico</t>
  </si>
  <si>
    <t>Tubulação.Agua.Fria</t>
  </si>
  <si>
    <t>Tubulação.Agua.Quente</t>
  </si>
  <si>
    <t>Peças.Sanitárias</t>
  </si>
  <si>
    <t>Esgoto.Coletores</t>
  </si>
  <si>
    <t>Esgoto.Visitas</t>
  </si>
  <si>
    <t>Esgoto.Acessórios</t>
  </si>
  <si>
    <t>Peças.Hidráulicas</t>
  </si>
  <si>
    <t>Sistema.AFR</t>
  </si>
  <si>
    <t>Sistema.AQT</t>
  </si>
  <si>
    <t>Sis_AQT_01</t>
  </si>
  <si>
    <t>Acessório do sistema de agua como suportes, ganchos, pedestais, etc.</t>
  </si>
  <si>
    <t>Acessório do sistema de esgoto sanitário como suportes, ganchos, pedestais, etc.</t>
  </si>
  <si>
    <t>[ IfcDistributionSystemDOMESTICCOLDWATER ]</t>
  </si>
  <si>
    <t>[ IfcDistributionSystemDOMESTICHOTWATER ]</t>
  </si>
  <si>
    <t>[ IfcDistributionSystemDRAINAGE ]</t>
  </si>
  <si>
    <t>"[ OST_PipingSystem ]"</t>
  </si>
  <si>
    <t>Cisterna.Intermediária</t>
  </si>
  <si>
    <t>[ IfcFlowMeter ]</t>
  </si>
  <si>
    <t>Medidor.de.Água</t>
  </si>
  <si>
    <t>Medidores de Água</t>
  </si>
  <si>
    <t>Medidores de agua</t>
  </si>
  <si>
    <t>Water Meters</t>
  </si>
  <si>
    <t>[ IfcDiscreteAccessory ]</t>
  </si>
  <si>
    <t>[ OST_PipeAccessory ]</t>
  </si>
  <si>
    <t>Cajas de inspección</t>
  </si>
  <si>
    <t>Ramal colector horizontal de un piso del edifício</t>
  </si>
  <si>
    <t>Ramal colector horizontal del edificio</t>
  </si>
  <si>
    <t>Tubo colector vertical</t>
  </si>
  <si>
    <t>[ OST_PipeFitting ]</t>
  </si>
  <si>
    <t>quem.fabricou</t>
  </si>
  <si>
    <t>quem.forneceu</t>
  </si>
  <si>
    <t>Conceitos</t>
  </si>
  <si>
    <t>Sistemas.Prediais</t>
  </si>
  <si>
    <t>Elementos.Hidráulicos</t>
  </si>
  <si>
    <t>Sistemas.Hidrossanitários</t>
  </si>
  <si>
    <t>[ OST_PipingSystem : OST_PipeSegments : OST_PipeFitting : OST_PipeCurves : OST_PipeConnections : OST_PipeFittingInsulation ]</t>
  </si>
  <si>
    <t>[ IfcPipeSegment : IfcPipeFitting ]</t>
  </si>
  <si>
    <t>"Indivíduo de Sistemas Prediais de um projeto"</t>
  </si>
  <si>
    <t>"Indivíduo que representa um sistema de Esgoto do projeto"</t>
  </si>
  <si>
    <t>"Indivíduo que representa um sistema de Hidráulica do projeto"</t>
  </si>
  <si>
    <t>"[ OST_PipeSegments : OST_PipeFitting ]"</t>
  </si>
  <si>
    <t>"[ IfcPipeSegment : IfcPipeFitting ]"</t>
  </si>
  <si>
    <t>Sistemas.Sanitários</t>
  </si>
  <si>
    <t>Sistemas.Hidráulicos</t>
  </si>
  <si>
    <t>Sistema.VEN</t>
  </si>
  <si>
    <t>[ IfcDistributionSystemVENT ]</t>
  </si>
  <si>
    <t>Sistema de ventilación de desagües.</t>
  </si>
  <si>
    <t>Sistema de desagües del edificio.</t>
  </si>
  <si>
    <t>Sistema de agua fria del edificio.</t>
  </si>
  <si>
    <t>Sistema de agua caliente del edificio.</t>
  </si>
  <si>
    <t>Sistema.PLU</t>
  </si>
  <si>
    <t>Sistema de desagüe pluvial.</t>
  </si>
  <si>
    <t>Sistema de ventilação do esgoto predial.</t>
  </si>
  <si>
    <t>Sistema de esgoto predial.</t>
  </si>
  <si>
    <t>Sistema de água fria predial.</t>
  </si>
  <si>
    <t>Sistema de água quente predial.</t>
  </si>
  <si>
    <t>Sistemas.Pluviais</t>
  </si>
  <si>
    <t>Projeto</t>
  </si>
  <si>
    <t>De.Tubulações</t>
  </si>
  <si>
    <t>Esgoto</t>
  </si>
  <si>
    <t>AF</t>
  </si>
  <si>
    <t>AQ</t>
  </si>
  <si>
    <t>Pluvial</t>
  </si>
  <si>
    <t>Elementos.de.Instalações</t>
  </si>
  <si>
    <t>Instalação.De</t>
  </si>
  <si>
    <t>Ventilação</t>
  </si>
  <si>
    <t>Ventilação de la instalação de desague.</t>
  </si>
  <si>
    <t>Instalação de Esgoto</t>
  </si>
  <si>
    <t>Instalação de água fria</t>
  </si>
  <si>
    <t>Instalação de água caliente</t>
  </si>
  <si>
    <t>Instalação de águas pluviais.</t>
  </si>
  <si>
    <t>Mezclador</t>
  </si>
  <si>
    <t>Accesorios para sistemas de agua como soportes, ganchos, pedestales, etc.</t>
  </si>
  <si>
    <t>Cisterna intermedia</t>
  </si>
  <si>
    <t>Tubería de agua fría</t>
  </si>
  <si>
    <t>Caldera</t>
  </si>
  <si>
    <t>Tubería de agua caliente</t>
  </si>
  <si>
    <t>Bidé</t>
  </si>
  <si>
    <t>Lavabo</t>
  </si>
  <si>
    <t>Bañera</t>
  </si>
  <si>
    <t>Instalación de alcantarillado</t>
  </si>
  <si>
    <t>Instalación de agua fría</t>
  </si>
  <si>
    <t>Instalación de agua caliente</t>
  </si>
  <si>
    <t>Instalación de agua de lluvia.</t>
  </si>
  <si>
    <t>Ventilación de la instalación del desagüe.</t>
  </si>
  <si>
    <t>Building sewer system.</t>
  </si>
  <si>
    <t>Building sewer ventilation system.</t>
  </si>
  <si>
    <t>Building cold water system.</t>
  </si>
  <si>
    <t>Building hot water system.</t>
  </si>
  <si>
    <t>Rainwater drainage system.</t>
  </si>
  <si>
    <t>Tap</t>
  </si>
  <si>
    <t>Mixer</t>
  </si>
  <si>
    <t>Registration</t>
  </si>
  <si>
    <t>Valve</t>
  </si>
  <si>
    <t>Shower</t>
  </si>
  <si>
    <t>Manual shower</t>
  </si>
  <si>
    <t>Water system accessory like brackets, hooks, pedestals, etc.</t>
  </si>
  <si>
    <t>Upper Cistern</t>
  </si>
  <si>
    <t>Intermediate Cistern</t>
  </si>
  <si>
    <t>Lower Cistern</t>
  </si>
  <si>
    <t>Cold Water Pipe</t>
  </si>
  <si>
    <t>Water heater</t>
  </si>
  <si>
    <t>Hot Water Pipe</t>
  </si>
  <si>
    <t>Reuse Water Pipe</t>
  </si>
  <si>
    <t>Toilet</t>
  </si>
  <si>
    <t>Sanitary Sink</t>
  </si>
  <si>
    <t>Washbasin</t>
  </si>
  <si>
    <t>Sanitary Bowl</t>
  </si>
  <si>
    <t>Bathtub</t>
  </si>
  <si>
    <t>Sewer Ventilation</t>
  </si>
  <si>
    <t>Local Collector as a Dry Drain or Basin Valve</t>
  </si>
  <si>
    <t>Siphoned Collector as a Siphoned Drain</t>
  </si>
  <si>
    <t>Floor Horizontal Collection Branch</t>
  </si>
  <si>
    <t>Horizontal collection branch of the building</t>
  </si>
  <si>
    <t>Downpipe</t>
  </si>
  <si>
    <t>Siphons</t>
  </si>
  <si>
    <t>Sandboxes</t>
  </si>
  <si>
    <t>Grease Traps</t>
  </si>
  <si>
    <t>Manholes</t>
  </si>
  <si>
    <t>Siphon Boxes</t>
  </si>
  <si>
    <t>Sanitary sewer system accessory like brackets, hooks, pedestals, etc.</t>
  </si>
  <si>
    <t>Sewer Installation</t>
  </si>
  <si>
    <t>Cold water installation</t>
  </si>
  <si>
    <t>Installation of hot water</t>
  </si>
  <si>
    <t>Rainwater installation.</t>
  </si>
  <si>
    <t>Ventilation of the drain installation.</t>
  </si>
  <si>
    <t>Atributo IFC</t>
  </si>
  <si>
    <t>Classe IFC</t>
  </si>
  <si>
    <t>Categoria Rvt</t>
  </si>
  <si>
    <t>Parâmetro Rvt</t>
  </si>
  <si>
    <t>De.API</t>
  </si>
  <si>
    <t>Métodos</t>
  </si>
  <si>
    <t>Macros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</si>
  <si>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</si>
  <si>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</si>
  <si>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</si>
  <si>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</si>
  <si>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</si>
  <si>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</si>
  <si>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</si>
  <si>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</si>
  <si>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</si>
  <si>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</si>
  <si>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</si>
  <si>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</si>
  <si>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</si>
  <si>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</si>
  <si>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</si>
  <si>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</si>
  <si>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Códigos.Visuais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</si>
  <si>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</si>
  <si>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</si>
  <si>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</si>
  <si>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</si>
  <si>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</si>
  <si>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De.Materialidade</t>
  </si>
  <si>
    <t>Materialidades</t>
  </si>
  <si>
    <t>Materiais</t>
  </si>
  <si>
    <t>Tubo.de.Aço</t>
  </si>
  <si>
    <t>Tubo de aço para canalizações.</t>
  </si>
  <si>
    <t>Tubería de acero para fontanería.</t>
  </si>
  <si>
    <t>Steel pipe for plumbing.</t>
  </si>
  <si>
    <t>[ OST_Materials : OST_PipeMaterials ]</t>
  </si>
  <si>
    <t>[ IfcMaterial ]</t>
  </si>
  <si>
    <t>[ 0M.20.20.01.01 ]</t>
  </si>
  <si>
    <t>Tubo.de.Aço.Costura</t>
  </si>
  <si>
    <t>Tubo de aço com costura (especificações NBR 5580 ou NBR 5590).</t>
  </si>
  <si>
    <t>Tubería de acero soldada (especificaciones NBR 5580 o NBR 5590).</t>
  </si>
  <si>
    <t>Welded steel pipe (NBR 5580 or NBR 5590 specifications).</t>
  </si>
  <si>
    <t>Tubo.de.Cobre</t>
  </si>
  <si>
    <t>Tubo de cobre para redes de água quente ou gás.</t>
  </si>
  <si>
    <t>Tubería de cobre para agua caliente o redes de gas.</t>
  </si>
  <si>
    <t>Copper pipe for hot water or gas networks.</t>
  </si>
  <si>
    <t>[ 0M.20.20.05 ]</t>
  </si>
  <si>
    <t>Tubo.de.FoFo</t>
  </si>
  <si>
    <t>Tubo de Ferro Fundido para redes de agua e esgoto de saneamento básico.</t>
  </si>
  <si>
    <t>Tubería de hierro fundido para redes de agua y alcantarillado de saneamiento básico.</t>
  </si>
  <si>
    <t>Cast Iron Pipe for water and sewage networks of basic sanitation.</t>
  </si>
  <si>
    <t>[ 0M.20.20.01.07.03 ]</t>
  </si>
  <si>
    <t>Tubo.de.Latão</t>
  </si>
  <si>
    <t>Tubo de latão para redes de água.</t>
  </si>
  <si>
    <t>Tubería de latón para redes de agua.</t>
  </si>
  <si>
    <t>Brass pipe for water networks.</t>
  </si>
  <si>
    <t>[ 0M.20.20.05.01 ]</t>
  </si>
  <si>
    <t>Tubo.de.PEAD</t>
  </si>
  <si>
    <t>Tubo de termofusão PEAD (Polietileno de Alta Densidade).</t>
  </si>
  <si>
    <t>Tubo de termofusión HDPE (Polietileno de Alta Densidad).</t>
  </si>
  <si>
    <t>HDPE (High Density Polyethylene) thermofusion tube.</t>
  </si>
  <si>
    <t>[ 0M.20.60.07.09 ]</t>
  </si>
  <si>
    <t>Tubo.de.PVC</t>
  </si>
  <si>
    <t>Tubo de PVC (Policloreto de Vinila) para redes de agua e esgoto doméstica.</t>
  </si>
  <si>
    <t>Tubería de PVC (cloruro de polivinilo) para redes domésticas de agua y alcantarillado.</t>
  </si>
  <si>
    <t>PVC (Polyvinyl Chloride) pipe for domestic water and sewage networks.</t>
  </si>
  <si>
    <t>[ 0M.20.60.07.16 ]</t>
  </si>
  <si>
    <t>Tubo.de.PVCO</t>
  </si>
  <si>
    <t xml:space="preserve">Tubo de PVC Orientado (Policloreto de Vinila). Material mais resistente que PVC normal para redes de água e esgoto. </t>
  </si>
  <si>
    <t>Tubería de PVC orientada (cloruro de polivinilo). Material más resistente que el PVC normal para redes de agua y alcantarillado.</t>
  </si>
  <si>
    <t>Oriented PVC Pipe (Polyvinyl Chloride). Material more resistant than normal PVC for water and sewage networks.</t>
  </si>
  <si>
    <t>Tubo.Multicamada</t>
  </si>
  <si>
    <t>Tubo composto por uma camada interna de plástico (PEX), uma camada intermediária de alumínio contínuo (Al) e uma camada externa de plástico protetor. Tubo flexível conectado por crimpagem.</t>
  </si>
  <si>
    <t>Tubo compuesto por una capa interior de plástico (PEX), una capa intermedia de aluminio continuo (Al) y una capa exterior de plástico protector. Tubo flexible conectado mediante crimping.</t>
  </si>
  <si>
    <t>Tube composed of an inner layer of plastic (PEX), a middle layer of continuous aluminium (Al) and an outer layer of protective plastic. Flexible tube connected by crimping.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</si>
</sst>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right" vertical="center"/>
    </xf>
    <xf numFmtId="0" fontId="2" fillId="23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16" borderId="4" xfId="0" applyFont="1" applyFill="1" applyBorder="1" applyAlignment="1">
      <alignment vertical="center"/>
    </xf>
    <xf numFmtId="0" fontId="4" fillId="24" borderId="4" xfId="0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6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/>
    </xf>
  </cellXfs>
  <cellStyles count="1">
    <cellStyle name="Normal" xfId="0" builtinId="0"/>
  </cellStyles>
  <dxfs count="47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2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4" sqref="B4"/>
    </sheetView>
  </sheetViews>
  <sheetFormatPr defaultColWidth="9.15234375" defaultRowHeight="9.75" customHeight="1" x14ac:dyDescent="0.4"/>
  <cols>
    <col min="1" max="1" width="8.69140625" style="54" customWidth="1"/>
    <col min="2" max="2" width="40.15234375" style="54" customWidth="1"/>
    <col min="3" max="3" width="3.3828125" style="40" bestFit="1" customWidth="1"/>
    <col min="4" max="16384" width="9.15234375" style="54"/>
  </cols>
  <sheetData>
    <row r="1" spans="1:3" ht="20.25" customHeight="1" x14ac:dyDescent="0.4">
      <c r="A1" s="11" t="s">
        <v>44</v>
      </c>
      <c r="B1" s="11" t="s">
        <v>45</v>
      </c>
      <c r="C1" s="38" t="s">
        <v>87</v>
      </c>
    </row>
    <row r="2" spans="1:3" ht="9" customHeight="1" x14ac:dyDescent="0.4">
      <c r="A2" s="12" t="s">
        <v>46</v>
      </c>
      <c r="B2" s="12" t="s">
        <v>47</v>
      </c>
      <c r="C2" s="39" t="s">
        <v>88</v>
      </c>
    </row>
    <row r="3" spans="1:3" ht="9" customHeight="1" x14ac:dyDescent="0.4">
      <c r="A3" s="12" t="s">
        <v>48</v>
      </c>
      <c r="B3" s="12" t="s">
        <v>204</v>
      </c>
      <c r="C3" s="39" t="s">
        <v>88</v>
      </c>
    </row>
    <row r="4" spans="1:3" ht="9" customHeight="1" x14ac:dyDescent="0.4">
      <c r="A4" s="13" t="s">
        <v>49</v>
      </c>
      <c r="B4" s="13" t="s">
        <v>32</v>
      </c>
      <c r="C4" s="39" t="s">
        <v>88</v>
      </c>
    </row>
    <row r="5" spans="1:3" ht="9" customHeight="1" x14ac:dyDescent="0.4">
      <c r="A5" s="13" t="s">
        <v>50</v>
      </c>
      <c r="B5" s="13" t="str">
        <f>_xlfn.CONCAT(B4,"Prop")</f>
        <v>BIMProp</v>
      </c>
      <c r="C5" s="39" t="s">
        <v>88</v>
      </c>
    </row>
    <row r="6" spans="1:3" ht="9" customHeight="1" x14ac:dyDescent="0.4">
      <c r="A6" s="13" t="s">
        <v>51</v>
      </c>
      <c r="B6" s="13" t="str">
        <f>_xlfn.CONCAT(B4,"Data")</f>
        <v>BIMData</v>
      </c>
      <c r="C6" s="39" t="s">
        <v>88</v>
      </c>
    </row>
    <row r="7" spans="1:3" ht="9" customHeight="1" x14ac:dyDescent="0.4">
      <c r="A7" s="13" t="s">
        <v>52</v>
      </c>
      <c r="B7" s="13" t="s">
        <v>53</v>
      </c>
      <c r="C7" s="39" t="s">
        <v>88</v>
      </c>
    </row>
    <row r="8" spans="1:3" s="37" customFormat="1" ht="9" customHeight="1" x14ac:dyDescent="0.4">
      <c r="A8" s="36" t="s">
        <v>54</v>
      </c>
      <c r="B8" s="36" t="s">
        <v>85</v>
      </c>
      <c r="C8" s="39" t="s">
        <v>88</v>
      </c>
    </row>
    <row r="9" spans="1:3" ht="9" customHeight="1" x14ac:dyDescent="0.4">
      <c r="A9" s="13" t="s">
        <v>55</v>
      </c>
      <c r="B9" s="13" t="s">
        <v>56</v>
      </c>
      <c r="C9" s="39" t="s">
        <v>88</v>
      </c>
    </row>
    <row r="10" spans="1:3" ht="9" customHeight="1" x14ac:dyDescent="0.4">
      <c r="A10" s="13" t="s">
        <v>57</v>
      </c>
      <c r="B10" s="13" t="s">
        <v>58</v>
      </c>
      <c r="C10" s="39" t="s">
        <v>88</v>
      </c>
    </row>
    <row r="11" spans="1:3" ht="9" customHeight="1" x14ac:dyDescent="0.4">
      <c r="A11" s="13" t="s">
        <v>59</v>
      </c>
      <c r="B11" s="13" t="s">
        <v>58</v>
      </c>
      <c r="C11" s="39" t="s">
        <v>88</v>
      </c>
    </row>
    <row r="12" spans="1:3" ht="9" customHeight="1" x14ac:dyDescent="0.4">
      <c r="A12" s="13" t="s">
        <v>60</v>
      </c>
      <c r="B12" s="13" t="s">
        <v>58</v>
      </c>
      <c r="C12" s="39" t="s">
        <v>88</v>
      </c>
    </row>
    <row r="13" spans="1:3" ht="9" customHeight="1" x14ac:dyDescent="0.4">
      <c r="A13" s="13" t="s">
        <v>61</v>
      </c>
      <c r="B13" s="13" t="s">
        <v>58</v>
      </c>
      <c r="C13" s="39" t="s">
        <v>88</v>
      </c>
    </row>
    <row r="14" spans="1:3" ht="9" customHeight="1" x14ac:dyDescent="0.4">
      <c r="A14" s="13" t="s">
        <v>62</v>
      </c>
      <c r="B14" s="13" t="s">
        <v>58</v>
      </c>
      <c r="C14" s="39" t="s">
        <v>88</v>
      </c>
    </row>
    <row r="15" spans="1:3" ht="9" customHeight="1" x14ac:dyDescent="0.4">
      <c r="A15" s="13" t="s">
        <v>63</v>
      </c>
      <c r="B15" s="13" t="s">
        <v>58</v>
      </c>
      <c r="C15" s="39" t="s">
        <v>88</v>
      </c>
    </row>
    <row r="16" spans="1:3" ht="9" customHeight="1" x14ac:dyDescent="0.4">
      <c r="A16" s="13" t="s">
        <v>64</v>
      </c>
      <c r="B16" s="13" t="s">
        <v>58</v>
      </c>
      <c r="C16" s="39" t="s">
        <v>88</v>
      </c>
    </row>
    <row r="17" spans="1:3" ht="9" customHeight="1" x14ac:dyDescent="0.4">
      <c r="A17" s="13" t="s">
        <v>65</v>
      </c>
      <c r="B17" s="13" t="s">
        <v>207</v>
      </c>
      <c r="C17" s="39" t="s">
        <v>88</v>
      </c>
    </row>
    <row r="18" spans="1:3" ht="9" customHeight="1" x14ac:dyDescent="0.4">
      <c r="A18" s="13" t="s">
        <v>66</v>
      </c>
      <c r="B18" s="14">
        <f ca="1">NOW()</f>
        <v>46270.887384027781</v>
      </c>
      <c r="C18" s="39" t="s">
        <v>88</v>
      </c>
    </row>
    <row r="19" spans="1:3" ht="9" customHeight="1" x14ac:dyDescent="0.4">
      <c r="A19" s="13" t="s">
        <v>67</v>
      </c>
      <c r="B19" s="14" t="s">
        <v>68</v>
      </c>
      <c r="C19" s="39" t="s">
        <v>88</v>
      </c>
    </row>
    <row r="20" spans="1:3" ht="9" customHeight="1" x14ac:dyDescent="0.4">
      <c r="A20" s="13" t="s">
        <v>69</v>
      </c>
      <c r="B20" s="13" t="s">
        <v>58</v>
      </c>
      <c r="C20" s="39" t="s">
        <v>88</v>
      </c>
    </row>
    <row r="21" spans="1:3" ht="9" customHeight="1" x14ac:dyDescent="0.4">
      <c r="A21" s="13" t="s">
        <v>70</v>
      </c>
      <c r="B21" s="13" t="s">
        <v>58</v>
      </c>
      <c r="C21" s="39" t="s">
        <v>88</v>
      </c>
    </row>
    <row r="22" spans="1:3" ht="9" customHeight="1" x14ac:dyDescent="0.4">
      <c r="A22" s="13" t="s">
        <v>71</v>
      </c>
      <c r="B22" s="15" t="s">
        <v>205</v>
      </c>
      <c r="C22" s="39" t="s">
        <v>88</v>
      </c>
    </row>
    <row r="23" spans="1:3" ht="9" customHeight="1" x14ac:dyDescent="0.4">
      <c r="A23" s="13" t="s">
        <v>72</v>
      </c>
      <c r="B23" s="15" t="s">
        <v>206</v>
      </c>
      <c r="C23" s="39" t="s">
        <v>89</v>
      </c>
    </row>
    <row r="24" spans="1:3" s="37" customFormat="1" ht="9" customHeight="1" x14ac:dyDescent="0.4">
      <c r="A24" s="13" t="s">
        <v>86</v>
      </c>
      <c r="B24" s="15" t="str">
        <f>_xlfn.TRANSLATE(B22,"pt","en")</f>
        <v>Formalize elements of the BIM project. Specific Objects of Hydraulics and Sanitary Sewer</v>
      </c>
      <c r="C24" s="39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D61"/>
  <sheetViews>
    <sheetView tabSelected="1" zoomScale="205" zoomScaleNormal="205" workbookViewId="0">
      <pane ySplit="1" topLeftCell="A2" activePane="bottomLeft" state="frozen"/>
      <selection activeCell="A179" sqref="A179:XFD190"/>
      <selection pane="bottomLeft" activeCell="D3" sqref="D3"/>
    </sheetView>
  </sheetViews>
  <sheetFormatPr defaultColWidth="9.15234375" defaultRowHeight="6.65" customHeight="1" x14ac:dyDescent="0.4"/>
  <cols>
    <col min="1" max="1" width="2.3828125" bestFit="1" customWidth="1"/>
    <col min="2" max="2" width="6.3046875" style="52" bestFit="1" customWidth="1"/>
    <col min="3" max="3" width="10" style="52" bestFit="1" customWidth="1"/>
    <col min="4" max="4" width="14.3828125" style="52" bestFit="1" customWidth="1"/>
    <col min="5" max="5" width="13.3046875" style="52" bestFit="1" customWidth="1"/>
    <col min="6" max="6" width="12.15234375" style="59" bestFit="1" customWidth="1"/>
    <col min="7" max="11" width="10.15234375" style="52" bestFit="1" customWidth="1"/>
    <col min="12" max="12" width="10" style="52" bestFit="1" customWidth="1"/>
    <col min="13" max="13" width="14.3828125" style="52" bestFit="1" customWidth="1"/>
    <col min="14" max="14" width="13.3046875" style="52" bestFit="1" customWidth="1"/>
    <col min="15" max="15" width="12.15234375" style="52" bestFit="1" customWidth="1"/>
    <col min="16" max="16" width="44.3828125" style="52" bestFit="1" customWidth="1"/>
    <col min="17" max="17" width="41" style="52" bestFit="1" customWidth="1"/>
    <col min="18" max="18" width="37" style="52" bestFit="1" customWidth="1"/>
    <col min="19" max="19" width="3.69140625" style="52" bestFit="1" customWidth="1"/>
    <col min="20" max="20" width="8.69140625" style="52" bestFit="1" customWidth="1"/>
    <col min="21" max="21" width="6.84375" style="52" bestFit="1" customWidth="1"/>
    <col min="22" max="22" width="13.3046875" style="52" bestFit="1" customWidth="1"/>
    <col min="23" max="23" width="6.69140625" style="52" bestFit="1" customWidth="1"/>
    <col min="24" max="24" width="7.84375" style="52" bestFit="1" customWidth="1"/>
    <col min="25" max="25" width="45.53515625" style="52" bestFit="1" customWidth="1"/>
    <col min="26" max="26" width="9.3828125" style="52" customWidth="1"/>
    <col min="27" max="27" width="22.15234375" style="53" customWidth="1"/>
    <col min="28" max="28" width="9.69140625" style="52" customWidth="1"/>
    <col min="29" max="29" width="8.15234375" style="52" customWidth="1"/>
    <col min="30" max="16384" width="9.15234375" style="52"/>
  </cols>
  <sheetData>
    <row r="1" spans="1:30" ht="38.700000000000003" customHeight="1" x14ac:dyDescent="0.4">
      <c r="A1" s="42" t="s">
        <v>91</v>
      </c>
      <c r="B1" s="43" t="s">
        <v>42</v>
      </c>
      <c r="C1" s="43" t="s">
        <v>40</v>
      </c>
      <c r="D1" s="43" t="s">
        <v>41</v>
      </c>
      <c r="E1" s="43" t="s">
        <v>39</v>
      </c>
      <c r="F1" s="43" t="s">
        <v>36</v>
      </c>
      <c r="G1" s="44" t="s">
        <v>0</v>
      </c>
      <c r="H1" s="44" t="s">
        <v>1</v>
      </c>
      <c r="I1" s="44" t="s">
        <v>2</v>
      </c>
      <c r="J1" s="44" t="s">
        <v>3</v>
      </c>
      <c r="K1" s="44" t="s">
        <v>4</v>
      </c>
      <c r="L1" s="34" t="s">
        <v>92</v>
      </c>
      <c r="M1" s="34" t="s">
        <v>5</v>
      </c>
      <c r="N1" s="34" t="s">
        <v>6</v>
      </c>
      <c r="O1" s="34" t="s">
        <v>7</v>
      </c>
      <c r="P1" s="34" t="s">
        <v>37</v>
      </c>
      <c r="Q1" s="34" t="s">
        <v>43</v>
      </c>
      <c r="R1" s="35" t="s">
        <v>84</v>
      </c>
      <c r="S1" s="34" t="s">
        <v>93</v>
      </c>
      <c r="T1" s="34" t="s">
        <v>33</v>
      </c>
      <c r="U1" s="34" t="s">
        <v>38</v>
      </c>
      <c r="V1" s="45" t="s">
        <v>35</v>
      </c>
      <c r="W1" s="34" t="s">
        <v>34</v>
      </c>
      <c r="X1" s="55" t="s">
        <v>8</v>
      </c>
      <c r="Y1" s="34" t="s">
        <v>340</v>
      </c>
      <c r="Z1" s="34" t="s">
        <v>341</v>
      </c>
      <c r="AA1" s="34" t="s">
        <v>339</v>
      </c>
      <c r="AB1" s="34" t="s">
        <v>338</v>
      </c>
      <c r="AC1" s="34" t="s">
        <v>83</v>
      </c>
      <c r="AD1" s="34" t="s">
        <v>366</v>
      </c>
    </row>
    <row r="2" spans="1:30" ht="6.65" customHeight="1" x14ac:dyDescent="0.4">
      <c r="A2" s="56">
        <v>2</v>
      </c>
      <c r="B2" s="1" t="s">
        <v>243</v>
      </c>
      <c r="C2" s="1" t="s">
        <v>367</v>
      </c>
      <c r="D2" s="1" t="s">
        <v>368</v>
      </c>
      <c r="E2" s="1" t="s">
        <v>369</v>
      </c>
      <c r="F2" s="64" t="s">
        <v>370</v>
      </c>
      <c r="G2" s="58" t="s">
        <v>9</v>
      </c>
      <c r="H2" s="58" t="s">
        <v>9</v>
      </c>
      <c r="I2" s="58" t="s">
        <v>9</v>
      </c>
      <c r="J2" s="58" t="s">
        <v>9</v>
      </c>
      <c r="K2" s="58" t="s">
        <v>9</v>
      </c>
      <c r="L2" s="32" t="str">
        <f t="shared" ref="L2:O10" si="0">SUBSTITUTE(CONCATENATE("", C2), ".", " ")</f>
        <v>De Materialidade</v>
      </c>
      <c r="M2" s="32" t="str">
        <f t="shared" si="0"/>
        <v>Materialidades</v>
      </c>
      <c r="N2" s="32" t="str">
        <f t="shared" si="0"/>
        <v>Materiais</v>
      </c>
      <c r="O2" s="32" t="str">
        <f t="shared" si="0"/>
        <v>Tubo de Aço</v>
      </c>
      <c r="P2" s="65" t="s">
        <v>371</v>
      </c>
      <c r="Q2" s="29" t="s">
        <v>372</v>
      </c>
      <c r="R2" s="29" t="s">
        <v>373</v>
      </c>
      <c r="S2" s="29" t="s">
        <v>9</v>
      </c>
      <c r="T2" s="29" t="str">
        <f t="shared" ref="T2:V10" si="1">SUBSTITUTE(C2, ".", " ")</f>
        <v>De Materialidade</v>
      </c>
      <c r="U2" s="29" t="str">
        <f t="shared" si="1"/>
        <v>Materialidades</v>
      </c>
      <c r="V2" s="29" t="str">
        <f t="shared" si="1"/>
        <v>Materiais</v>
      </c>
      <c r="W2" s="29" t="s">
        <v>152</v>
      </c>
      <c r="X2" s="57" t="str">
        <f t="shared" ref="X2:X10" si="2">CONCATENATE("Key-HIDR-",A2)</f>
        <v>Key-HIDR-2</v>
      </c>
      <c r="Y2" s="29" t="s">
        <v>374</v>
      </c>
      <c r="Z2" s="61" t="s">
        <v>9</v>
      </c>
      <c r="AA2" s="29" t="s">
        <v>375</v>
      </c>
      <c r="AB2" s="61" t="s">
        <v>9</v>
      </c>
      <c r="AC2" s="29" t="s">
        <v>376</v>
      </c>
      <c r="AD2" s="61" t="s">
        <v>9</v>
      </c>
    </row>
    <row r="3" spans="1:30" ht="6.65" customHeight="1" x14ac:dyDescent="0.4">
      <c r="A3" s="56">
        <v>3</v>
      </c>
      <c r="B3" s="1" t="s">
        <v>243</v>
      </c>
      <c r="C3" s="1" t="s">
        <v>367</v>
      </c>
      <c r="D3" s="1" t="s">
        <v>368</v>
      </c>
      <c r="E3" s="1" t="s">
        <v>369</v>
      </c>
      <c r="F3" s="64" t="s">
        <v>377</v>
      </c>
      <c r="G3" s="58" t="s">
        <v>9</v>
      </c>
      <c r="H3" s="58" t="s">
        <v>9</v>
      </c>
      <c r="I3" s="58" t="s">
        <v>9</v>
      </c>
      <c r="J3" s="58" t="s">
        <v>9</v>
      </c>
      <c r="K3" s="58" t="s">
        <v>9</v>
      </c>
      <c r="L3" s="32" t="str">
        <f t="shared" si="0"/>
        <v>De Materialidade</v>
      </c>
      <c r="M3" s="32" t="str">
        <f t="shared" si="0"/>
        <v>Materialidades</v>
      </c>
      <c r="N3" s="32" t="str">
        <f t="shared" si="0"/>
        <v>Materiais</v>
      </c>
      <c r="O3" s="32" t="str">
        <f t="shared" si="0"/>
        <v>Tubo de Aço Costura</v>
      </c>
      <c r="P3" s="65" t="s">
        <v>378</v>
      </c>
      <c r="Q3" s="29" t="s">
        <v>379</v>
      </c>
      <c r="R3" s="29" t="s">
        <v>380</v>
      </c>
      <c r="S3" s="29" t="s">
        <v>9</v>
      </c>
      <c r="T3" s="29" t="str">
        <f t="shared" si="1"/>
        <v>De Materialidade</v>
      </c>
      <c r="U3" s="29" t="str">
        <f t="shared" si="1"/>
        <v>Materialidades</v>
      </c>
      <c r="V3" s="29" t="str">
        <f t="shared" si="1"/>
        <v>Materiais</v>
      </c>
      <c r="W3" s="29" t="s">
        <v>152</v>
      </c>
      <c r="X3" s="57" t="str">
        <f t="shared" si="2"/>
        <v>Key-HIDR-3</v>
      </c>
      <c r="Y3" s="29" t="s">
        <v>374</v>
      </c>
      <c r="Z3" s="61" t="s">
        <v>9</v>
      </c>
      <c r="AA3" s="29" t="s">
        <v>375</v>
      </c>
      <c r="AB3" s="61" t="s">
        <v>9</v>
      </c>
      <c r="AC3" s="29" t="s">
        <v>376</v>
      </c>
      <c r="AD3" s="61" t="s">
        <v>9</v>
      </c>
    </row>
    <row r="4" spans="1:30" ht="6.65" customHeight="1" x14ac:dyDescent="0.4">
      <c r="A4" s="56">
        <v>4</v>
      </c>
      <c r="B4" s="1" t="s">
        <v>243</v>
      </c>
      <c r="C4" s="1" t="s">
        <v>367</v>
      </c>
      <c r="D4" s="1" t="s">
        <v>368</v>
      </c>
      <c r="E4" s="1" t="s">
        <v>369</v>
      </c>
      <c r="F4" s="64" t="s">
        <v>381</v>
      </c>
      <c r="G4" s="58" t="s">
        <v>9</v>
      </c>
      <c r="H4" s="58" t="s">
        <v>9</v>
      </c>
      <c r="I4" s="58" t="s">
        <v>9</v>
      </c>
      <c r="J4" s="58" t="s">
        <v>9</v>
      </c>
      <c r="K4" s="58" t="s">
        <v>9</v>
      </c>
      <c r="L4" s="32" t="str">
        <f t="shared" si="0"/>
        <v>De Materialidade</v>
      </c>
      <c r="M4" s="32" t="str">
        <f t="shared" si="0"/>
        <v>Materialidades</v>
      </c>
      <c r="N4" s="32" t="str">
        <f t="shared" si="0"/>
        <v>Materiais</v>
      </c>
      <c r="O4" s="32" t="str">
        <f t="shared" si="0"/>
        <v>Tubo de Cobre</v>
      </c>
      <c r="P4" s="65" t="s">
        <v>382</v>
      </c>
      <c r="Q4" s="29" t="s">
        <v>383</v>
      </c>
      <c r="R4" s="29" t="s">
        <v>384</v>
      </c>
      <c r="S4" s="29" t="s">
        <v>9</v>
      </c>
      <c r="T4" s="29" t="str">
        <f t="shared" si="1"/>
        <v>De Materialidade</v>
      </c>
      <c r="U4" s="29" t="str">
        <f t="shared" si="1"/>
        <v>Materialidades</v>
      </c>
      <c r="V4" s="29" t="str">
        <f t="shared" si="1"/>
        <v>Materiais</v>
      </c>
      <c r="W4" s="29" t="s">
        <v>152</v>
      </c>
      <c r="X4" s="57" t="str">
        <f t="shared" si="2"/>
        <v>Key-HIDR-4</v>
      </c>
      <c r="Y4" s="29" t="s">
        <v>374</v>
      </c>
      <c r="Z4" s="61" t="s">
        <v>9</v>
      </c>
      <c r="AA4" s="29" t="s">
        <v>375</v>
      </c>
      <c r="AB4" s="61" t="s">
        <v>9</v>
      </c>
      <c r="AC4" s="29" t="s">
        <v>385</v>
      </c>
      <c r="AD4" s="61" t="s">
        <v>9</v>
      </c>
    </row>
    <row r="5" spans="1:30" ht="6.65" customHeight="1" x14ac:dyDescent="0.4">
      <c r="A5" s="56">
        <v>5</v>
      </c>
      <c r="B5" s="1" t="s">
        <v>243</v>
      </c>
      <c r="C5" s="1" t="s">
        <v>367</v>
      </c>
      <c r="D5" s="1" t="s">
        <v>368</v>
      </c>
      <c r="E5" s="1" t="s">
        <v>369</v>
      </c>
      <c r="F5" s="64" t="s">
        <v>386</v>
      </c>
      <c r="G5" s="58" t="s">
        <v>9</v>
      </c>
      <c r="H5" s="58" t="s">
        <v>9</v>
      </c>
      <c r="I5" s="58" t="s">
        <v>9</v>
      </c>
      <c r="J5" s="58" t="s">
        <v>9</v>
      </c>
      <c r="K5" s="58" t="s">
        <v>9</v>
      </c>
      <c r="L5" s="32" t="str">
        <f t="shared" si="0"/>
        <v>De Materialidade</v>
      </c>
      <c r="M5" s="32" t="str">
        <f t="shared" si="0"/>
        <v>Materialidades</v>
      </c>
      <c r="N5" s="32" t="str">
        <f t="shared" si="0"/>
        <v>Materiais</v>
      </c>
      <c r="O5" s="32" t="str">
        <f t="shared" si="0"/>
        <v>Tubo de FoFo</v>
      </c>
      <c r="P5" s="65" t="s">
        <v>387</v>
      </c>
      <c r="Q5" s="29" t="s">
        <v>388</v>
      </c>
      <c r="R5" s="29" t="s">
        <v>389</v>
      </c>
      <c r="S5" s="29" t="s">
        <v>9</v>
      </c>
      <c r="T5" s="29" t="str">
        <f t="shared" si="1"/>
        <v>De Materialidade</v>
      </c>
      <c r="U5" s="29" t="str">
        <f t="shared" si="1"/>
        <v>Materialidades</v>
      </c>
      <c r="V5" s="29" t="str">
        <f t="shared" si="1"/>
        <v>Materiais</v>
      </c>
      <c r="W5" s="29" t="s">
        <v>152</v>
      </c>
      <c r="X5" s="57" t="str">
        <f t="shared" si="2"/>
        <v>Key-HIDR-5</v>
      </c>
      <c r="Y5" s="29" t="s">
        <v>374</v>
      </c>
      <c r="Z5" s="61" t="s">
        <v>9</v>
      </c>
      <c r="AA5" s="29" t="s">
        <v>375</v>
      </c>
      <c r="AB5" s="61" t="s">
        <v>9</v>
      </c>
      <c r="AC5" s="29" t="s">
        <v>390</v>
      </c>
      <c r="AD5" s="61" t="s">
        <v>9</v>
      </c>
    </row>
    <row r="6" spans="1:30" ht="6.65" customHeight="1" x14ac:dyDescent="0.4">
      <c r="A6" s="56">
        <v>6</v>
      </c>
      <c r="B6" s="1" t="s">
        <v>243</v>
      </c>
      <c r="C6" s="1" t="s">
        <v>367</v>
      </c>
      <c r="D6" s="1" t="s">
        <v>368</v>
      </c>
      <c r="E6" s="1" t="s">
        <v>369</v>
      </c>
      <c r="F6" s="64" t="s">
        <v>391</v>
      </c>
      <c r="G6" s="58" t="s">
        <v>9</v>
      </c>
      <c r="H6" s="58" t="s">
        <v>9</v>
      </c>
      <c r="I6" s="58" t="s">
        <v>9</v>
      </c>
      <c r="J6" s="58" t="s">
        <v>9</v>
      </c>
      <c r="K6" s="58" t="s">
        <v>9</v>
      </c>
      <c r="L6" s="32" t="str">
        <f t="shared" si="0"/>
        <v>De Materialidade</v>
      </c>
      <c r="M6" s="32" t="str">
        <f t="shared" si="0"/>
        <v>Materialidades</v>
      </c>
      <c r="N6" s="32" t="str">
        <f t="shared" si="0"/>
        <v>Materiais</v>
      </c>
      <c r="O6" s="32" t="str">
        <f t="shared" si="0"/>
        <v>Tubo de Latão</v>
      </c>
      <c r="P6" s="65" t="s">
        <v>392</v>
      </c>
      <c r="Q6" s="29" t="s">
        <v>393</v>
      </c>
      <c r="R6" s="29" t="s">
        <v>394</v>
      </c>
      <c r="S6" s="29" t="s">
        <v>9</v>
      </c>
      <c r="T6" s="29" t="str">
        <f t="shared" si="1"/>
        <v>De Materialidade</v>
      </c>
      <c r="U6" s="29" t="str">
        <f t="shared" si="1"/>
        <v>Materialidades</v>
      </c>
      <c r="V6" s="29" t="str">
        <f t="shared" si="1"/>
        <v>Materiais</v>
      </c>
      <c r="W6" s="29" t="s">
        <v>152</v>
      </c>
      <c r="X6" s="57" t="str">
        <f t="shared" si="2"/>
        <v>Key-HIDR-6</v>
      </c>
      <c r="Y6" s="29" t="s">
        <v>374</v>
      </c>
      <c r="Z6" s="61" t="s">
        <v>9</v>
      </c>
      <c r="AA6" s="29" t="s">
        <v>375</v>
      </c>
      <c r="AB6" s="61" t="s">
        <v>9</v>
      </c>
      <c r="AC6" s="29" t="s">
        <v>395</v>
      </c>
      <c r="AD6" s="61" t="s">
        <v>9</v>
      </c>
    </row>
    <row r="7" spans="1:30" ht="6.65" customHeight="1" x14ac:dyDescent="0.4">
      <c r="A7" s="56">
        <v>7</v>
      </c>
      <c r="B7" s="1" t="s">
        <v>243</v>
      </c>
      <c r="C7" s="1" t="s">
        <v>367</v>
      </c>
      <c r="D7" s="1" t="s">
        <v>368</v>
      </c>
      <c r="E7" s="1" t="s">
        <v>369</v>
      </c>
      <c r="F7" s="64" t="s">
        <v>396</v>
      </c>
      <c r="G7" s="58" t="s">
        <v>9</v>
      </c>
      <c r="H7" s="58" t="s">
        <v>9</v>
      </c>
      <c r="I7" s="58" t="s">
        <v>9</v>
      </c>
      <c r="J7" s="58" t="s">
        <v>9</v>
      </c>
      <c r="K7" s="58" t="s">
        <v>9</v>
      </c>
      <c r="L7" s="32" t="str">
        <f t="shared" si="0"/>
        <v>De Materialidade</v>
      </c>
      <c r="M7" s="32" t="str">
        <f t="shared" si="0"/>
        <v>Materialidades</v>
      </c>
      <c r="N7" s="32" t="str">
        <f t="shared" si="0"/>
        <v>Materiais</v>
      </c>
      <c r="O7" s="32" t="str">
        <f t="shared" si="0"/>
        <v>Tubo de PEAD</v>
      </c>
      <c r="P7" s="65" t="s">
        <v>397</v>
      </c>
      <c r="Q7" s="29" t="s">
        <v>398</v>
      </c>
      <c r="R7" s="29" t="s">
        <v>399</v>
      </c>
      <c r="S7" s="29" t="s">
        <v>9</v>
      </c>
      <c r="T7" s="29" t="str">
        <f t="shared" si="1"/>
        <v>De Materialidade</v>
      </c>
      <c r="U7" s="29" t="str">
        <f t="shared" si="1"/>
        <v>Materialidades</v>
      </c>
      <c r="V7" s="29" t="str">
        <f t="shared" si="1"/>
        <v>Materiais</v>
      </c>
      <c r="W7" s="29" t="s">
        <v>152</v>
      </c>
      <c r="X7" s="57" t="str">
        <f t="shared" si="2"/>
        <v>Key-HIDR-7</v>
      </c>
      <c r="Y7" s="29" t="s">
        <v>374</v>
      </c>
      <c r="Z7" s="61" t="s">
        <v>9</v>
      </c>
      <c r="AA7" s="29" t="s">
        <v>375</v>
      </c>
      <c r="AB7" s="61" t="s">
        <v>9</v>
      </c>
      <c r="AC7" s="29" t="s">
        <v>400</v>
      </c>
      <c r="AD7" s="61" t="s">
        <v>9</v>
      </c>
    </row>
    <row r="8" spans="1:30" ht="6.65" customHeight="1" x14ac:dyDescent="0.4">
      <c r="A8" s="56">
        <v>8</v>
      </c>
      <c r="B8" s="1" t="s">
        <v>243</v>
      </c>
      <c r="C8" s="1" t="s">
        <v>367</v>
      </c>
      <c r="D8" s="1" t="s">
        <v>368</v>
      </c>
      <c r="E8" s="1" t="s">
        <v>369</v>
      </c>
      <c r="F8" s="64" t="s">
        <v>401</v>
      </c>
      <c r="G8" s="58" t="s">
        <v>9</v>
      </c>
      <c r="H8" s="58" t="s">
        <v>9</v>
      </c>
      <c r="I8" s="58" t="s">
        <v>9</v>
      </c>
      <c r="J8" s="58" t="s">
        <v>9</v>
      </c>
      <c r="K8" s="58" t="s">
        <v>9</v>
      </c>
      <c r="L8" s="32" t="str">
        <f t="shared" si="0"/>
        <v>De Materialidade</v>
      </c>
      <c r="M8" s="32" t="str">
        <f t="shared" si="0"/>
        <v>Materialidades</v>
      </c>
      <c r="N8" s="32" t="str">
        <f t="shared" si="0"/>
        <v>Materiais</v>
      </c>
      <c r="O8" s="32" t="str">
        <f t="shared" si="0"/>
        <v>Tubo de PVC</v>
      </c>
      <c r="P8" s="65" t="s">
        <v>402</v>
      </c>
      <c r="Q8" s="29" t="s">
        <v>403</v>
      </c>
      <c r="R8" s="29" t="s">
        <v>404</v>
      </c>
      <c r="S8" s="29" t="s">
        <v>9</v>
      </c>
      <c r="T8" s="29" t="str">
        <f t="shared" si="1"/>
        <v>De Materialidade</v>
      </c>
      <c r="U8" s="29" t="str">
        <f t="shared" si="1"/>
        <v>Materialidades</v>
      </c>
      <c r="V8" s="29" t="str">
        <f t="shared" si="1"/>
        <v>Materiais</v>
      </c>
      <c r="W8" s="29" t="s">
        <v>152</v>
      </c>
      <c r="X8" s="57" t="str">
        <f t="shared" si="2"/>
        <v>Key-HIDR-8</v>
      </c>
      <c r="Y8" s="29" t="s">
        <v>374</v>
      </c>
      <c r="Z8" s="61" t="s">
        <v>9</v>
      </c>
      <c r="AA8" s="29" t="s">
        <v>375</v>
      </c>
      <c r="AB8" s="61" t="s">
        <v>9</v>
      </c>
      <c r="AC8" s="29" t="s">
        <v>405</v>
      </c>
      <c r="AD8" s="61" t="s">
        <v>9</v>
      </c>
    </row>
    <row r="9" spans="1:30" ht="6.65" customHeight="1" x14ac:dyDescent="0.4">
      <c r="A9" s="56">
        <v>9</v>
      </c>
      <c r="B9" s="1" t="s">
        <v>243</v>
      </c>
      <c r="C9" s="1" t="s">
        <v>367</v>
      </c>
      <c r="D9" s="1" t="s">
        <v>368</v>
      </c>
      <c r="E9" s="1" t="s">
        <v>369</v>
      </c>
      <c r="F9" s="64" t="s">
        <v>406</v>
      </c>
      <c r="G9" s="58" t="s">
        <v>9</v>
      </c>
      <c r="H9" s="58" t="s">
        <v>9</v>
      </c>
      <c r="I9" s="58" t="s">
        <v>9</v>
      </c>
      <c r="J9" s="58" t="s">
        <v>9</v>
      </c>
      <c r="K9" s="58" t="s">
        <v>9</v>
      </c>
      <c r="L9" s="32" t="str">
        <f t="shared" si="0"/>
        <v>De Materialidade</v>
      </c>
      <c r="M9" s="32" t="str">
        <f t="shared" si="0"/>
        <v>Materialidades</v>
      </c>
      <c r="N9" s="32" t="str">
        <f t="shared" si="0"/>
        <v>Materiais</v>
      </c>
      <c r="O9" s="32" t="str">
        <f t="shared" si="0"/>
        <v>Tubo de PVCO</v>
      </c>
      <c r="P9" s="65" t="s">
        <v>407</v>
      </c>
      <c r="Q9" s="29" t="s">
        <v>408</v>
      </c>
      <c r="R9" s="29" t="s">
        <v>409</v>
      </c>
      <c r="S9" s="29" t="s">
        <v>9</v>
      </c>
      <c r="T9" s="29" t="str">
        <f t="shared" si="1"/>
        <v>De Materialidade</v>
      </c>
      <c r="U9" s="29" t="str">
        <f t="shared" si="1"/>
        <v>Materialidades</v>
      </c>
      <c r="V9" s="29" t="str">
        <f t="shared" si="1"/>
        <v>Materiais</v>
      </c>
      <c r="W9" s="29" t="s">
        <v>152</v>
      </c>
      <c r="X9" s="57" t="str">
        <f t="shared" si="2"/>
        <v>Key-HIDR-9</v>
      </c>
      <c r="Y9" s="29" t="s">
        <v>374</v>
      </c>
      <c r="Z9" s="61" t="s">
        <v>9</v>
      </c>
      <c r="AA9" s="29" t="s">
        <v>375</v>
      </c>
      <c r="AB9" s="61" t="s">
        <v>9</v>
      </c>
      <c r="AC9" s="29" t="s">
        <v>405</v>
      </c>
      <c r="AD9" s="61" t="s">
        <v>9</v>
      </c>
    </row>
    <row r="10" spans="1:30" ht="6.65" customHeight="1" x14ac:dyDescent="0.4">
      <c r="A10" s="56">
        <v>10</v>
      </c>
      <c r="B10" s="1" t="s">
        <v>243</v>
      </c>
      <c r="C10" s="1" t="s">
        <v>367</v>
      </c>
      <c r="D10" s="1" t="s">
        <v>368</v>
      </c>
      <c r="E10" s="1" t="s">
        <v>369</v>
      </c>
      <c r="F10" s="64" t="s">
        <v>410</v>
      </c>
      <c r="G10" s="58" t="s">
        <v>9</v>
      </c>
      <c r="H10" s="58" t="s">
        <v>9</v>
      </c>
      <c r="I10" s="58" t="s">
        <v>9</v>
      </c>
      <c r="J10" s="58" t="s">
        <v>9</v>
      </c>
      <c r="K10" s="58" t="s">
        <v>9</v>
      </c>
      <c r="L10" s="32" t="str">
        <f t="shared" si="0"/>
        <v>De Materialidade</v>
      </c>
      <c r="M10" s="32" t="str">
        <f t="shared" si="0"/>
        <v>Materialidades</v>
      </c>
      <c r="N10" s="32" t="str">
        <f t="shared" si="0"/>
        <v>Materiais</v>
      </c>
      <c r="O10" s="32" t="str">
        <f t="shared" si="0"/>
        <v>Tubo Multicamada</v>
      </c>
      <c r="P10" s="65" t="s">
        <v>411</v>
      </c>
      <c r="Q10" s="29" t="s">
        <v>412</v>
      </c>
      <c r="R10" s="29" t="s">
        <v>413</v>
      </c>
      <c r="S10" s="29" t="s">
        <v>9</v>
      </c>
      <c r="T10" s="29" t="str">
        <f t="shared" si="1"/>
        <v>De Materialidade</v>
      </c>
      <c r="U10" s="29" t="str">
        <f t="shared" si="1"/>
        <v>Materialidades</v>
      </c>
      <c r="V10" s="29" t="str">
        <f t="shared" si="1"/>
        <v>Materiais</v>
      </c>
      <c r="W10" s="29" t="s">
        <v>152</v>
      </c>
      <c r="X10" s="57" t="str">
        <f t="shared" si="2"/>
        <v>Key-HIDR-10</v>
      </c>
      <c r="Y10" s="29" t="s">
        <v>374</v>
      </c>
      <c r="Z10" s="61" t="s">
        <v>9</v>
      </c>
      <c r="AA10" s="29" t="s">
        <v>375</v>
      </c>
      <c r="AB10" s="61" t="s">
        <v>9</v>
      </c>
      <c r="AC10" s="29" t="s">
        <v>400</v>
      </c>
      <c r="AD10" s="61" t="s">
        <v>9</v>
      </c>
    </row>
    <row r="11" spans="1:30" ht="6.65" customHeight="1" x14ac:dyDescent="0.4">
      <c r="A11" s="56">
        <v>11</v>
      </c>
      <c r="B11" s="1" t="s">
        <v>243</v>
      </c>
      <c r="C11" s="41" t="s">
        <v>244</v>
      </c>
      <c r="D11" s="41" t="s">
        <v>246</v>
      </c>
      <c r="E11" s="41" t="s">
        <v>254</v>
      </c>
      <c r="F11" s="41" t="s">
        <v>153</v>
      </c>
      <c r="G11" s="58" t="s">
        <v>9</v>
      </c>
      <c r="H11" s="58" t="s">
        <v>9</v>
      </c>
      <c r="I11" s="58" t="s">
        <v>9</v>
      </c>
      <c r="J11" s="58" t="s">
        <v>9</v>
      </c>
      <c r="K11" s="58" t="s">
        <v>9</v>
      </c>
      <c r="L11" s="32" t="str">
        <f t="shared" ref="L11:L12" si="3">CONCATENATE("", C11)</f>
        <v>Sistemas.Prediais</v>
      </c>
      <c r="M11" s="32" t="str">
        <f t="shared" ref="M11:M12" si="4">CONCATENATE("", D11)</f>
        <v>Sistemas.Hidrossanitários</v>
      </c>
      <c r="N11" s="32" t="str">
        <f t="shared" ref="N11:N12" si="5">(SUBSTITUTE(SUBSTITUTE(CONCATENATE("",E11),"."," ")," De "," de "))</f>
        <v>Sistemas Sanitários</v>
      </c>
      <c r="O11" s="29" t="str">
        <f t="shared" ref="O11:O12" si="6">IF(ISNUMBER(FIND("Ifc",F11)),CONCATENATE("Classe IFC:   ",F11),CONCATENATE("",F11))</f>
        <v>Sistema.ESG</v>
      </c>
      <c r="P11" s="51" t="s">
        <v>265</v>
      </c>
      <c r="Q11" s="51" t="s">
        <v>259</v>
      </c>
      <c r="R11" s="29" t="s">
        <v>297</v>
      </c>
      <c r="S11" s="29" t="s">
        <v>9</v>
      </c>
      <c r="T11" s="29" t="s">
        <v>151</v>
      </c>
      <c r="U11" s="29" t="s">
        <v>150</v>
      </c>
      <c r="V11" s="29" t="str">
        <f t="shared" ref="V11:V12" si="7">SUBSTITUTE(E11, "_", " ")</f>
        <v>Sistemas.Sanitários</v>
      </c>
      <c r="W11" s="29" t="s">
        <v>152</v>
      </c>
      <c r="X11" s="57" t="str">
        <f t="shared" ref="X11:X51" si="8">CONCATENATE("Key-HIDR-",A11)</f>
        <v>Key-HIDR-11</v>
      </c>
      <c r="Y11" s="28" t="s">
        <v>188</v>
      </c>
      <c r="Z11" s="61" t="s">
        <v>9</v>
      </c>
      <c r="AA11" s="28" t="s">
        <v>226</v>
      </c>
      <c r="AB11" s="61" t="s">
        <v>9</v>
      </c>
      <c r="AC11" s="29" t="s">
        <v>126</v>
      </c>
      <c r="AD11" s="61" t="s">
        <v>9</v>
      </c>
    </row>
    <row r="12" spans="1:30" ht="6.65" customHeight="1" x14ac:dyDescent="0.4">
      <c r="A12" s="56">
        <v>12</v>
      </c>
      <c r="B12" s="1" t="s">
        <v>243</v>
      </c>
      <c r="C12" s="41" t="s">
        <v>244</v>
      </c>
      <c r="D12" s="41" t="s">
        <v>246</v>
      </c>
      <c r="E12" s="41" t="s">
        <v>254</v>
      </c>
      <c r="F12" s="41" t="s">
        <v>256</v>
      </c>
      <c r="G12" s="58" t="s">
        <v>9</v>
      </c>
      <c r="H12" s="58" t="s">
        <v>9</v>
      </c>
      <c r="I12" s="58" t="s">
        <v>9</v>
      </c>
      <c r="J12" s="58" t="s">
        <v>9</v>
      </c>
      <c r="K12" s="58" t="s">
        <v>9</v>
      </c>
      <c r="L12" s="32" t="str">
        <f t="shared" si="3"/>
        <v>Sistemas.Prediais</v>
      </c>
      <c r="M12" s="32" t="str">
        <f t="shared" si="4"/>
        <v>Sistemas.Hidrossanitários</v>
      </c>
      <c r="N12" s="32" t="str">
        <f t="shared" si="5"/>
        <v>Sistemas Sanitários</v>
      </c>
      <c r="O12" s="29" t="str">
        <f t="shared" si="6"/>
        <v>Sistema.VEN</v>
      </c>
      <c r="P12" s="51" t="s">
        <v>264</v>
      </c>
      <c r="Q12" s="51" t="s">
        <v>258</v>
      </c>
      <c r="R12" s="29" t="s">
        <v>298</v>
      </c>
      <c r="S12" s="29" t="s">
        <v>9</v>
      </c>
      <c r="T12" s="29" t="s">
        <v>151</v>
      </c>
      <c r="U12" s="29" t="s">
        <v>150</v>
      </c>
      <c r="V12" s="29" t="str">
        <f t="shared" si="7"/>
        <v>Sistemas.Sanitários</v>
      </c>
      <c r="W12" s="29" t="s">
        <v>152</v>
      </c>
      <c r="X12" s="57" t="str">
        <f t="shared" ref="X12" si="9">CONCATENATE("Key-HIDR-",A12)</f>
        <v>Key-HIDR-12</v>
      </c>
      <c r="Y12" s="28" t="s">
        <v>188</v>
      </c>
      <c r="Z12" s="61" t="s">
        <v>9</v>
      </c>
      <c r="AA12" s="28" t="s">
        <v>257</v>
      </c>
      <c r="AB12" s="61" t="s">
        <v>9</v>
      </c>
      <c r="AC12" s="29" t="s">
        <v>126</v>
      </c>
      <c r="AD12" s="61" t="s">
        <v>9</v>
      </c>
    </row>
    <row r="13" spans="1:30" ht="6.65" customHeight="1" x14ac:dyDescent="0.4">
      <c r="A13" s="56">
        <v>13</v>
      </c>
      <c r="B13" s="1" t="s">
        <v>243</v>
      </c>
      <c r="C13" s="41" t="s">
        <v>244</v>
      </c>
      <c r="D13" s="41" t="s">
        <v>246</v>
      </c>
      <c r="E13" s="41" t="s">
        <v>255</v>
      </c>
      <c r="F13" s="41" t="s">
        <v>219</v>
      </c>
      <c r="G13" s="58" t="s">
        <v>9</v>
      </c>
      <c r="H13" s="58" t="s">
        <v>9</v>
      </c>
      <c r="I13" s="58" t="s">
        <v>9</v>
      </c>
      <c r="J13" s="58" t="s">
        <v>9</v>
      </c>
      <c r="K13" s="58" t="s">
        <v>9</v>
      </c>
      <c r="L13" s="32" t="str">
        <f t="shared" ref="L13:L23" si="10">CONCATENATE("", C13)</f>
        <v>Sistemas.Prediais</v>
      </c>
      <c r="M13" s="32" t="str">
        <f t="shared" ref="M13:M23" si="11">CONCATENATE("", D13)</f>
        <v>Sistemas.Hidrossanitários</v>
      </c>
      <c r="N13" s="32" t="str">
        <f t="shared" ref="N13:N23" si="12">(SUBSTITUTE(SUBSTITUTE(CONCATENATE("",E13),"."," ")," De "," de "))</f>
        <v>Sistemas Hidráulicos</v>
      </c>
      <c r="O13" s="29" t="str">
        <f t="shared" ref="O13:O51" si="13">IF(ISNUMBER(FIND("Ifc",F13)),CONCATENATE("Classe IFC:   ",F13),CONCATENATE("",F13))</f>
        <v>Sistema.AFR</v>
      </c>
      <c r="P13" s="51" t="s">
        <v>266</v>
      </c>
      <c r="Q13" s="51" t="s">
        <v>260</v>
      </c>
      <c r="R13" s="29" t="s">
        <v>299</v>
      </c>
      <c r="S13" s="29" t="s">
        <v>9</v>
      </c>
      <c r="T13" s="29" t="s">
        <v>151</v>
      </c>
      <c r="U13" s="29" t="s">
        <v>150</v>
      </c>
      <c r="V13" s="29" t="str">
        <f t="shared" ref="V13:V23" si="14">SUBSTITUTE(E13, "_", " ")</f>
        <v>Sistemas.Hidráulicos</v>
      </c>
      <c r="W13" s="29" t="s">
        <v>152</v>
      </c>
      <c r="X13" s="57" t="str">
        <f t="shared" si="8"/>
        <v>Key-HIDR-13</v>
      </c>
      <c r="Y13" s="28" t="s">
        <v>188</v>
      </c>
      <c r="Z13" s="61" t="s">
        <v>9</v>
      </c>
      <c r="AA13" s="28" t="s">
        <v>224</v>
      </c>
      <c r="AB13" s="61" t="s">
        <v>9</v>
      </c>
      <c r="AC13" s="29" t="s">
        <v>154</v>
      </c>
      <c r="AD13" s="61" t="s">
        <v>9</v>
      </c>
    </row>
    <row r="14" spans="1:30" ht="6.65" customHeight="1" x14ac:dyDescent="0.4">
      <c r="A14" s="56">
        <v>14</v>
      </c>
      <c r="B14" s="1" t="s">
        <v>243</v>
      </c>
      <c r="C14" s="41" t="s">
        <v>244</v>
      </c>
      <c r="D14" s="41" t="s">
        <v>246</v>
      </c>
      <c r="E14" s="41" t="s">
        <v>255</v>
      </c>
      <c r="F14" s="41" t="s">
        <v>220</v>
      </c>
      <c r="G14" s="58" t="s">
        <v>9</v>
      </c>
      <c r="H14" s="58" t="s">
        <v>9</v>
      </c>
      <c r="I14" s="58" t="s">
        <v>9</v>
      </c>
      <c r="J14" s="58" t="s">
        <v>9</v>
      </c>
      <c r="K14" s="58" t="s">
        <v>9</v>
      </c>
      <c r="L14" s="32" t="str">
        <f t="shared" si="10"/>
        <v>Sistemas.Prediais</v>
      </c>
      <c r="M14" s="32" t="str">
        <f t="shared" si="11"/>
        <v>Sistemas.Hidrossanitários</v>
      </c>
      <c r="N14" s="32" t="str">
        <f t="shared" si="12"/>
        <v>Sistemas Hidráulicos</v>
      </c>
      <c r="O14" s="29" t="str">
        <f t="shared" si="13"/>
        <v>Sistema.AQT</v>
      </c>
      <c r="P14" s="51" t="s">
        <v>267</v>
      </c>
      <c r="Q14" s="51" t="s">
        <v>261</v>
      </c>
      <c r="R14" s="29" t="s">
        <v>300</v>
      </c>
      <c r="S14" s="29" t="s">
        <v>9</v>
      </c>
      <c r="T14" s="29" t="s">
        <v>151</v>
      </c>
      <c r="U14" s="29" t="s">
        <v>150</v>
      </c>
      <c r="V14" s="29" t="str">
        <f t="shared" si="14"/>
        <v>Sistemas.Hidráulicos</v>
      </c>
      <c r="W14" s="29" t="s">
        <v>152</v>
      </c>
      <c r="X14" s="57" t="str">
        <f t="shared" si="8"/>
        <v>Key-HIDR-14</v>
      </c>
      <c r="Y14" s="28" t="s">
        <v>188</v>
      </c>
      <c r="Z14" s="61" t="s">
        <v>9</v>
      </c>
      <c r="AA14" s="28" t="s">
        <v>225</v>
      </c>
      <c r="AB14" s="61" t="s">
        <v>9</v>
      </c>
      <c r="AC14" s="29" t="s">
        <v>154</v>
      </c>
      <c r="AD14" s="61" t="s">
        <v>9</v>
      </c>
    </row>
    <row r="15" spans="1:30" ht="6.65" customHeight="1" x14ac:dyDescent="0.4">
      <c r="A15" s="56">
        <v>15</v>
      </c>
      <c r="B15" s="1" t="s">
        <v>243</v>
      </c>
      <c r="C15" s="41" t="s">
        <v>244</v>
      </c>
      <c r="D15" s="41" t="s">
        <v>246</v>
      </c>
      <c r="E15" s="41" t="s">
        <v>268</v>
      </c>
      <c r="F15" s="41" t="s">
        <v>262</v>
      </c>
      <c r="G15" s="58" t="s">
        <v>9</v>
      </c>
      <c r="H15" s="58" t="s">
        <v>9</v>
      </c>
      <c r="I15" s="58" t="s">
        <v>9</v>
      </c>
      <c r="J15" s="58" t="s">
        <v>9</v>
      </c>
      <c r="K15" s="58" t="s">
        <v>9</v>
      </c>
      <c r="L15" s="32" t="str">
        <f t="shared" si="10"/>
        <v>Sistemas.Prediais</v>
      </c>
      <c r="M15" s="32" t="str">
        <f t="shared" si="11"/>
        <v>Sistemas.Hidrossanitários</v>
      </c>
      <c r="N15" s="32" t="str">
        <f t="shared" si="12"/>
        <v>Sistemas Pluviais</v>
      </c>
      <c r="O15" s="29" t="str">
        <f t="shared" ref="O15" si="15">IF(ISNUMBER(FIND("Ifc",F15)),CONCATENATE("Classe IFC:   ",F15),CONCATENATE("",F15))</f>
        <v>Sistema.PLU</v>
      </c>
      <c r="P15" s="51" t="s">
        <v>263</v>
      </c>
      <c r="Q15" s="51" t="s">
        <v>263</v>
      </c>
      <c r="R15" s="29" t="s">
        <v>301</v>
      </c>
      <c r="S15" s="29" t="s">
        <v>9</v>
      </c>
      <c r="T15" s="29" t="s">
        <v>151</v>
      </c>
      <c r="U15" s="29" t="s">
        <v>150</v>
      </c>
      <c r="V15" s="29" t="str">
        <f t="shared" si="14"/>
        <v>Sistemas.Pluviais</v>
      </c>
      <c r="W15" s="29" t="s">
        <v>152</v>
      </c>
      <c r="X15" s="57" t="str">
        <f t="shared" ref="X15" si="16">CONCATENATE("Key-HIDR-",A15)</f>
        <v>Key-HIDR-15</v>
      </c>
      <c r="Y15" s="28" t="s">
        <v>188</v>
      </c>
      <c r="Z15" s="61" t="s">
        <v>9</v>
      </c>
      <c r="AA15" s="28" t="s">
        <v>257</v>
      </c>
      <c r="AB15" s="61" t="s">
        <v>9</v>
      </c>
      <c r="AC15" s="29" t="s">
        <v>126</v>
      </c>
      <c r="AD15" s="61" t="s">
        <v>9</v>
      </c>
    </row>
    <row r="16" spans="1:30" ht="6.65" customHeight="1" x14ac:dyDescent="0.4">
      <c r="A16" s="56">
        <v>16</v>
      </c>
      <c r="B16" s="1" t="s">
        <v>243</v>
      </c>
      <c r="C16" s="41" t="s">
        <v>244</v>
      </c>
      <c r="D16" s="1" t="s">
        <v>245</v>
      </c>
      <c r="E16" s="41" t="s">
        <v>218</v>
      </c>
      <c r="F16" s="41" t="s">
        <v>162</v>
      </c>
      <c r="G16" s="58" t="s">
        <v>9</v>
      </c>
      <c r="H16" s="58" t="s">
        <v>9</v>
      </c>
      <c r="I16" s="58" t="s">
        <v>9</v>
      </c>
      <c r="J16" s="58" t="s">
        <v>9</v>
      </c>
      <c r="K16" s="58" t="s">
        <v>9</v>
      </c>
      <c r="L16" s="32" t="str">
        <f t="shared" si="10"/>
        <v>Sistemas.Prediais</v>
      </c>
      <c r="M16" s="32" t="str">
        <f t="shared" si="11"/>
        <v>Elementos.Hidráulicos</v>
      </c>
      <c r="N16" s="32" t="str">
        <f t="shared" si="12"/>
        <v>Peças Hidráulicas</v>
      </c>
      <c r="O16" s="29" t="str">
        <f t="shared" si="13"/>
        <v>Torneira</v>
      </c>
      <c r="P16" s="51" t="s">
        <v>162</v>
      </c>
      <c r="Q16" s="29" t="s">
        <v>174</v>
      </c>
      <c r="R16" s="29" t="s">
        <v>302</v>
      </c>
      <c r="S16" s="29" t="s">
        <v>9</v>
      </c>
      <c r="T16" s="29" t="s">
        <v>151</v>
      </c>
      <c r="U16" s="29" t="s">
        <v>150</v>
      </c>
      <c r="V16" s="29" t="str">
        <f t="shared" si="14"/>
        <v>Peças.Hidráulicas</v>
      </c>
      <c r="W16" s="29" t="s">
        <v>152</v>
      </c>
      <c r="X16" s="57" t="str">
        <f t="shared" si="8"/>
        <v>Key-HIDR-16</v>
      </c>
      <c r="Y16" s="28" t="s">
        <v>181</v>
      </c>
      <c r="Z16" s="61" t="s">
        <v>9</v>
      </c>
      <c r="AA16" s="28" t="s">
        <v>183</v>
      </c>
      <c r="AB16" s="61" t="s">
        <v>9</v>
      </c>
      <c r="AC16" s="29" t="s">
        <v>154</v>
      </c>
      <c r="AD16" s="61" t="s">
        <v>9</v>
      </c>
    </row>
    <row r="17" spans="1:30" ht="6.65" customHeight="1" x14ac:dyDescent="0.4">
      <c r="A17" s="56">
        <v>17</v>
      </c>
      <c r="B17" s="1" t="s">
        <v>243</v>
      </c>
      <c r="C17" s="41" t="s">
        <v>244</v>
      </c>
      <c r="D17" s="1" t="s">
        <v>245</v>
      </c>
      <c r="E17" s="41" t="s">
        <v>218</v>
      </c>
      <c r="F17" s="41" t="s">
        <v>163</v>
      </c>
      <c r="G17" s="58" t="s">
        <v>9</v>
      </c>
      <c r="H17" s="58" t="s">
        <v>9</v>
      </c>
      <c r="I17" s="58" t="s">
        <v>9</v>
      </c>
      <c r="J17" s="58" t="s">
        <v>9</v>
      </c>
      <c r="K17" s="58" t="s">
        <v>9</v>
      </c>
      <c r="L17" s="32" t="str">
        <f t="shared" si="10"/>
        <v>Sistemas.Prediais</v>
      </c>
      <c r="M17" s="32" t="str">
        <f t="shared" si="11"/>
        <v>Elementos.Hidráulicos</v>
      </c>
      <c r="N17" s="32" t="str">
        <f t="shared" si="12"/>
        <v>Peças Hidráulicas</v>
      </c>
      <c r="O17" s="29" t="str">
        <f t="shared" si="13"/>
        <v>Misturador</v>
      </c>
      <c r="P17" s="51" t="s">
        <v>163</v>
      </c>
      <c r="Q17" s="29" t="s">
        <v>283</v>
      </c>
      <c r="R17" s="29" t="s">
        <v>303</v>
      </c>
      <c r="S17" s="29" t="s">
        <v>9</v>
      </c>
      <c r="T17" s="29" t="s">
        <v>151</v>
      </c>
      <c r="U17" s="29" t="s">
        <v>150</v>
      </c>
      <c r="V17" s="29" t="str">
        <f t="shared" si="14"/>
        <v>Peças.Hidráulicas</v>
      </c>
      <c r="W17" s="29" t="s">
        <v>152</v>
      </c>
      <c r="X17" s="57" t="str">
        <f t="shared" si="8"/>
        <v>Key-HIDR-17</v>
      </c>
      <c r="Y17" s="28" t="s">
        <v>181</v>
      </c>
      <c r="Z17" s="61" t="s">
        <v>9</v>
      </c>
      <c r="AA17" s="28" t="s">
        <v>183</v>
      </c>
      <c r="AB17" s="61" t="s">
        <v>9</v>
      </c>
      <c r="AC17" s="29" t="s">
        <v>154</v>
      </c>
      <c r="AD17" s="61" t="s">
        <v>9</v>
      </c>
    </row>
    <row r="18" spans="1:30" ht="6.65" customHeight="1" x14ac:dyDescent="0.4">
      <c r="A18" s="56">
        <v>18</v>
      </c>
      <c r="B18" s="1" t="s">
        <v>243</v>
      </c>
      <c r="C18" s="41" t="s">
        <v>244</v>
      </c>
      <c r="D18" s="1" t="s">
        <v>245</v>
      </c>
      <c r="E18" s="41" t="s">
        <v>218</v>
      </c>
      <c r="F18" s="41" t="s">
        <v>165</v>
      </c>
      <c r="G18" s="58" t="s">
        <v>9</v>
      </c>
      <c r="H18" s="58" t="s">
        <v>9</v>
      </c>
      <c r="I18" s="58" t="s">
        <v>9</v>
      </c>
      <c r="J18" s="58" t="s">
        <v>9</v>
      </c>
      <c r="K18" s="58" t="s">
        <v>9</v>
      </c>
      <c r="L18" s="32" t="str">
        <f t="shared" si="10"/>
        <v>Sistemas.Prediais</v>
      </c>
      <c r="M18" s="32" t="str">
        <f t="shared" si="11"/>
        <v>Elementos.Hidráulicos</v>
      </c>
      <c r="N18" s="32" t="str">
        <f t="shared" si="12"/>
        <v>Peças Hidráulicas</v>
      </c>
      <c r="O18" s="29" t="str">
        <f t="shared" si="13"/>
        <v>Registro</v>
      </c>
      <c r="P18" s="51" t="s">
        <v>165</v>
      </c>
      <c r="Q18" s="29" t="s">
        <v>165</v>
      </c>
      <c r="R18" s="29" t="s">
        <v>304</v>
      </c>
      <c r="S18" s="29" t="s">
        <v>9</v>
      </c>
      <c r="T18" s="29" t="s">
        <v>151</v>
      </c>
      <c r="U18" s="29" t="s">
        <v>150</v>
      </c>
      <c r="V18" s="29" t="str">
        <f t="shared" si="14"/>
        <v>Peças.Hidráulicas</v>
      </c>
      <c r="W18" s="29" t="s">
        <v>152</v>
      </c>
      <c r="X18" s="57" t="str">
        <f t="shared" si="8"/>
        <v>Key-HIDR-18</v>
      </c>
      <c r="Y18" s="28" t="s">
        <v>181</v>
      </c>
      <c r="Z18" s="61" t="s">
        <v>9</v>
      </c>
      <c r="AA18" s="28" t="s">
        <v>183</v>
      </c>
      <c r="AB18" s="61" t="s">
        <v>9</v>
      </c>
      <c r="AC18" s="29" t="s">
        <v>154</v>
      </c>
      <c r="AD18" s="61" t="s">
        <v>9</v>
      </c>
    </row>
    <row r="19" spans="1:30" ht="6.65" customHeight="1" x14ac:dyDescent="0.4">
      <c r="A19" s="56">
        <v>19</v>
      </c>
      <c r="B19" s="1" t="s">
        <v>243</v>
      </c>
      <c r="C19" s="41" t="s">
        <v>244</v>
      </c>
      <c r="D19" s="1" t="s">
        <v>245</v>
      </c>
      <c r="E19" s="41" t="s">
        <v>218</v>
      </c>
      <c r="F19" s="41" t="s">
        <v>164</v>
      </c>
      <c r="G19" s="58" t="s">
        <v>9</v>
      </c>
      <c r="H19" s="58" t="s">
        <v>9</v>
      </c>
      <c r="I19" s="58" t="s">
        <v>9</v>
      </c>
      <c r="J19" s="58" t="s">
        <v>9</v>
      </c>
      <c r="K19" s="58" t="s">
        <v>9</v>
      </c>
      <c r="L19" s="32" t="str">
        <f t="shared" si="10"/>
        <v>Sistemas.Prediais</v>
      </c>
      <c r="M19" s="32" t="str">
        <f t="shared" si="11"/>
        <v>Elementos.Hidráulicos</v>
      </c>
      <c r="N19" s="32" t="str">
        <f t="shared" si="12"/>
        <v>Peças Hidráulicas</v>
      </c>
      <c r="O19" s="29" t="str">
        <f t="shared" si="13"/>
        <v>Válvula</v>
      </c>
      <c r="P19" s="51" t="s">
        <v>164</v>
      </c>
      <c r="Q19" s="29" t="s">
        <v>164</v>
      </c>
      <c r="R19" s="29" t="s">
        <v>305</v>
      </c>
      <c r="S19" s="29" t="s">
        <v>9</v>
      </c>
      <c r="T19" s="29" t="s">
        <v>151</v>
      </c>
      <c r="U19" s="29" t="s">
        <v>150</v>
      </c>
      <c r="V19" s="29" t="str">
        <f t="shared" si="14"/>
        <v>Peças.Hidráulicas</v>
      </c>
      <c r="W19" s="29" t="s">
        <v>152</v>
      </c>
      <c r="X19" s="57" t="str">
        <f t="shared" si="8"/>
        <v>Key-HIDR-19</v>
      </c>
      <c r="Y19" s="28" t="s">
        <v>181</v>
      </c>
      <c r="Z19" s="61" t="s">
        <v>9</v>
      </c>
      <c r="AA19" s="28" t="s">
        <v>183</v>
      </c>
      <c r="AB19" s="61" t="s">
        <v>9</v>
      </c>
      <c r="AC19" s="29" t="s">
        <v>154</v>
      </c>
      <c r="AD19" s="61" t="s">
        <v>9</v>
      </c>
    </row>
    <row r="20" spans="1:30" ht="6.65" customHeight="1" x14ac:dyDescent="0.4">
      <c r="A20" s="56">
        <v>20</v>
      </c>
      <c r="B20" s="1" t="s">
        <v>243</v>
      </c>
      <c r="C20" s="41" t="s">
        <v>244</v>
      </c>
      <c r="D20" s="1" t="s">
        <v>245</v>
      </c>
      <c r="E20" s="41" t="s">
        <v>218</v>
      </c>
      <c r="F20" s="41" t="s">
        <v>161</v>
      </c>
      <c r="G20" s="58" t="s">
        <v>9</v>
      </c>
      <c r="H20" s="58" t="s">
        <v>9</v>
      </c>
      <c r="I20" s="58" t="s">
        <v>9</v>
      </c>
      <c r="J20" s="58" t="s">
        <v>9</v>
      </c>
      <c r="K20" s="58" t="s">
        <v>9</v>
      </c>
      <c r="L20" s="32" t="str">
        <f t="shared" ref="L20:L22" si="17">CONCATENATE("", C20)</f>
        <v>Sistemas.Prediais</v>
      </c>
      <c r="M20" s="32" t="str">
        <f t="shared" ref="M20:M22" si="18">CONCATENATE("", D20)</f>
        <v>Elementos.Hidráulicos</v>
      </c>
      <c r="N20" s="32" t="str">
        <f t="shared" ref="N20:N22" si="19">(SUBSTITUTE(SUBSTITUTE(CONCATENATE("",E20),"."," ")," De "," de "))</f>
        <v>Peças Hidráulicas</v>
      </c>
      <c r="O20" s="29" t="str">
        <f t="shared" si="13"/>
        <v>Chuveiro</v>
      </c>
      <c r="P20" s="51" t="s">
        <v>161</v>
      </c>
      <c r="Q20" s="29" t="s">
        <v>172</v>
      </c>
      <c r="R20" s="29" t="s">
        <v>306</v>
      </c>
      <c r="S20" s="29" t="s">
        <v>9</v>
      </c>
      <c r="T20" s="29" t="s">
        <v>151</v>
      </c>
      <c r="U20" s="29" t="s">
        <v>150</v>
      </c>
      <c r="V20" s="29" t="str">
        <f t="shared" ref="V20:V22" si="20">SUBSTITUTE(E20, "_", " ")</f>
        <v>Peças.Hidráulicas</v>
      </c>
      <c r="W20" s="29" t="s">
        <v>152</v>
      </c>
      <c r="X20" s="57" t="str">
        <f t="shared" si="8"/>
        <v>Key-HIDR-20</v>
      </c>
      <c r="Y20" s="28" t="s">
        <v>181</v>
      </c>
      <c r="Z20" s="61" t="s">
        <v>9</v>
      </c>
      <c r="AA20" s="28" t="s">
        <v>182</v>
      </c>
      <c r="AB20" s="61" t="s">
        <v>9</v>
      </c>
      <c r="AC20" s="29" t="s">
        <v>154</v>
      </c>
      <c r="AD20" s="61" t="s">
        <v>9</v>
      </c>
    </row>
    <row r="21" spans="1:30" ht="6.65" customHeight="1" x14ac:dyDescent="0.4">
      <c r="A21" s="56">
        <v>21</v>
      </c>
      <c r="B21" s="1" t="s">
        <v>243</v>
      </c>
      <c r="C21" s="41" t="s">
        <v>244</v>
      </c>
      <c r="D21" s="1" t="s">
        <v>245</v>
      </c>
      <c r="E21" s="41" t="s">
        <v>218</v>
      </c>
      <c r="F21" s="41" t="s">
        <v>172</v>
      </c>
      <c r="G21" s="58" t="s">
        <v>9</v>
      </c>
      <c r="H21" s="58" t="s">
        <v>9</v>
      </c>
      <c r="I21" s="58" t="s">
        <v>9</v>
      </c>
      <c r="J21" s="58" t="s">
        <v>9</v>
      </c>
      <c r="K21" s="58" t="s">
        <v>9</v>
      </c>
      <c r="L21" s="32" t="str">
        <f t="shared" si="17"/>
        <v>Sistemas.Prediais</v>
      </c>
      <c r="M21" s="32" t="str">
        <f t="shared" si="18"/>
        <v>Elementos.Hidráulicos</v>
      </c>
      <c r="N21" s="32" t="str">
        <f t="shared" si="19"/>
        <v>Peças Hidráulicas</v>
      </c>
      <c r="O21" s="29" t="str">
        <f t="shared" si="13"/>
        <v>Ducha</v>
      </c>
      <c r="P21" s="51" t="s">
        <v>173</v>
      </c>
      <c r="Q21" s="29" t="s">
        <v>173</v>
      </c>
      <c r="R21" s="29" t="s">
        <v>307</v>
      </c>
      <c r="S21" s="29" t="s">
        <v>9</v>
      </c>
      <c r="T21" s="29" t="s">
        <v>151</v>
      </c>
      <c r="U21" s="29" t="s">
        <v>150</v>
      </c>
      <c r="V21" s="29" t="str">
        <f t="shared" si="20"/>
        <v>Peças.Hidráulicas</v>
      </c>
      <c r="W21" s="29" t="s">
        <v>152</v>
      </c>
      <c r="X21" s="57" t="str">
        <f t="shared" si="8"/>
        <v>Key-HIDR-21</v>
      </c>
      <c r="Y21" s="28" t="s">
        <v>181</v>
      </c>
      <c r="Z21" s="61" t="s">
        <v>9</v>
      </c>
      <c r="AA21" s="28" t="s">
        <v>182</v>
      </c>
      <c r="AB21" s="61" t="s">
        <v>9</v>
      </c>
      <c r="AC21" s="29" t="s">
        <v>154</v>
      </c>
      <c r="AD21" s="61" t="s">
        <v>9</v>
      </c>
    </row>
    <row r="22" spans="1:30" ht="6.65" customHeight="1" x14ac:dyDescent="0.4">
      <c r="A22" s="56">
        <v>22</v>
      </c>
      <c r="B22" s="1" t="s">
        <v>243</v>
      </c>
      <c r="C22" s="41" t="s">
        <v>244</v>
      </c>
      <c r="D22" s="1" t="s">
        <v>245</v>
      </c>
      <c r="E22" s="41" t="s">
        <v>218</v>
      </c>
      <c r="F22" s="41" t="s">
        <v>230</v>
      </c>
      <c r="G22" s="58" t="s">
        <v>9</v>
      </c>
      <c r="H22" s="58" t="s">
        <v>9</v>
      </c>
      <c r="I22" s="58" t="s">
        <v>9</v>
      </c>
      <c r="J22" s="58" t="s">
        <v>9</v>
      </c>
      <c r="K22" s="58" t="s">
        <v>9</v>
      </c>
      <c r="L22" s="32" t="str">
        <f t="shared" si="17"/>
        <v>Sistemas.Prediais</v>
      </c>
      <c r="M22" s="32" t="str">
        <f t="shared" si="18"/>
        <v>Elementos.Hidráulicos</v>
      </c>
      <c r="N22" s="32" t="str">
        <f t="shared" si="19"/>
        <v>Peças Hidráulicas</v>
      </c>
      <c r="O22" s="29" t="str">
        <f t="shared" si="13"/>
        <v>Medidor.de.Água</v>
      </c>
      <c r="P22" s="51" t="s">
        <v>231</v>
      </c>
      <c r="Q22" s="51" t="s">
        <v>232</v>
      </c>
      <c r="R22" s="29" t="s">
        <v>233</v>
      </c>
      <c r="S22" s="29" t="s">
        <v>9</v>
      </c>
      <c r="T22" s="29" t="s">
        <v>151</v>
      </c>
      <c r="U22" s="29" t="s">
        <v>150</v>
      </c>
      <c r="V22" s="29" t="str">
        <f t="shared" si="20"/>
        <v>Peças.Hidráulicas</v>
      </c>
      <c r="W22" s="29" t="s">
        <v>152</v>
      </c>
      <c r="X22" s="57" t="str">
        <f t="shared" si="8"/>
        <v>Key-HIDR-22</v>
      </c>
      <c r="Y22" s="28" t="s">
        <v>240</v>
      </c>
      <c r="Z22" s="61" t="s">
        <v>9</v>
      </c>
      <c r="AA22" s="28" t="s">
        <v>229</v>
      </c>
      <c r="AB22" s="61" t="s">
        <v>9</v>
      </c>
      <c r="AC22" s="29" t="s">
        <v>154</v>
      </c>
      <c r="AD22" s="61" t="s">
        <v>9</v>
      </c>
    </row>
    <row r="23" spans="1:30" ht="6.65" customHeight="1" x14ac:dyDescent="0.4">
      <c r="A23" s="56">
        <v>23</v>
      </c>
      <c r="B23" s="1" t="s">
        <v>243</v>
      </c>
      <c r="C23" s="41" t="s">
        <v>244</v>
      </c>
      <c r="D23" s="1" t="s">
        <v>245</v>
      </c>
      <c r="E23" s="41" t="s">
        <v>218</v>
      </c>
      <c r="F23" s="41" t="s">
        <v>211</v>
      </c>
      <c r="G23" s="58" t="s">
        <v>9</v>
      </c>
      <c r="H23" s="58" t="s">
        <v>9</v>
      </c>
      <c r="I23" s="58" t="s">
        <v>9</v>
      </c>
      <c r="J23" s="58" t="s">
        <v>9</v>
      </c>
      <c r="K23" s="58" t="s">
        <v>9</v>
      </c>
      <c r="L23" s="32" t="str">
        <f t="shared" si="10"/>
        <v>Sistemas.Prediais</v>
      </c>
      <c r="M23" s="32" t="str">
        <f t="shared" si="11"/>
        <v>Elementos.Hidráulicos</v>
      </c>
      <c r="N23" s="32" t="str">
        <f t="shared" si="12"/>
        <v>Peças Hidráulicas</v>
      </c>
      <c r="O23" s="29" t="str">
        <f t="shared" si="13"/>
        <v>Acessório.Hidraúlico</v>
      </c>
      <c r="P23" s="51" t="s">
        <v>222</v>
      </c>
      <c r="Q23" s="29" t="s">
        <v>284</v>
      </c>
      <c r="R23" s="29" t="s">
        <v>308</v>
      </c>
      <c r="S23" s="29" t="s">
        <v>9</v>
      </c>
      <c r="T23" s="29" t="s">
        <v>151</v>
      </c>
      <c r="U23" s="29" t="s">
        <v>150</v>
      </c>
      <c r="V23" s="29" t="str">
        <f t="shared" si="14"/>
        <v>Peças.Hidráulicas</v>
      </c>
      <c r="W23" s="29" t="s">
        <v>152</v>
      </c>
      <c r="X23" s="57" t="str">
        <f t="shared" si="8"/>
        <v>Key-HIDR-23</v>
      </c>
      <c r="Y23" s="28" t="s">
        <v>235</v>
      </c>
      <c r="Z23" s="61" t="s">
        <v>9</v>
      </c>
      <c r="AA23" s="28" t="s">
        <v>234</v>
      </c>
      <c r="AB23" s="61" t="s">
        <v>9</v>
      </c>
      <c r="AC23" s="29" t="s">
        <v>154</v>
      </c>
      <c r="AD23" s="61" t="s">
        <v>9</v>
      </c>
    </row>
    <row r="24" spans="1:30" ht="6.65" customHeight="1" x14ac:dyDescent="0.4">
      <c r="A24" s="56">
        <v>24</v>
      </c>
      <c r="B24" s="1" t="s">
        <v>243</v>
      </c>
      <c r="C24" s="41" t="s">
        <v>244</v>
      </c>
      <c r="D24" s="1" t="s">
        <v>245</v>
      </c>
      <c r="E24" s="41" t="s">
        <v>212</v>
      </c>
      <c r="F24" s="41" t="s">
        <v>132</v>
      </c>
      <c r="G24" s="58" t="s">
        <v>9</v>
      </c>
      <c r="H24" s="58" t="s">
        <v>9</v>
      </c>
      <c r="I24" s="58" t="s">
        <v>9</v>
      </c>
      <c r="J24" s="58" t="s">
        <v>9</v>
      </c>
      <c r="K24" s="58" t="s">
        <v>9</v>
      </c>
      <c r="L24" s="32" t="str">
        <f t="shared" ref="L24:L43" si="21">CONCATENATE("", C24)</f>
        <v>Sistemas.Prediais</v>
      </c>
      <c r="M24" s="32" t="str">
        <f t="shared" ref="M24:M43" si="22">CONCATENATE("", D24)</f>
        <v>Elementos.Hidráulicos</v>
      </c>
      <c r="N24" s="32" t="str">
        <f t="shared" ref="N24:N43" si="23">(SUBSTITUTE(SUBSTITUTE(CONCATENATE("",E24),"."," ")," De "," de "))</f>
        <v>Tubulação Agua Fria</v>
      </c>
      <c r="O24" s="29" t="str">
        <f t="shared" si="13"/>
        <v>Cisterna.Superior</v>
      </c>
      <c r="P24" s="51" t="s">
        <v>138</v>
      </c>
      <c r="Q24" s="29" t="s">
        <v>138</v>
      </c>
      <c r="R24" s="29" t="s">
        <v>309</v>
      </c>
      <c r="S24" s="29" t="s">
        <v>9</v>
      </c>
      <c r="T24" s="29" t="s">
        <v>151</v>
      </c>
      <c r="U24" s="29" t="s">
        <v>150</v>
      </c>
      <c r="V24" s="29" t="str">
        <f t="shared" ref="V24:V43" si="24">SUBSTITUTE(E24, "_", " ")</f>
        <v>Tubulação.Agua.Fria</v>
      </c>
      <c r="W24" s="29" t="s">
        <v>152</v>
      </c>
      <c r="X24" s="57" t="str">
        <f t="shared" si="8"/>
        <v>Key-HIDR-24</v>
      </c>
      <c r="Y24" s="28" t="s">
        <v>247</v>
      </c>
      <c r="Z24" s="61" t="s">
        <v>9</v>
      </c>
      <c r="AA24" s="28" t="s">
        <v>184</v>
      </c>
      <c r="AB24" s="61" t="s">
        <v>9</v>
      </c>
      <c r="AC24" s="29" t="s">
        <v>154</v>
      </c>
      <c r="AD24" s="61" t="s">
        <v>9</v>
      </c>
    </row>
    <row r="25" spans="1:30" ht="6.65" customHeight="1" x14ac:dyDescent="0.4">
      <c r="A25" s="56">
        <v>25</v>
      </c>
      <c r="B25" s="1" t="s">
        <v>243</v>
      </c>
      <c r="C25" s="41" t="s">
        <v>244</v>
      </c>
      <c r="D25" s="1" t="s">
        <v>245</v>
      </c>
      <c r="E25" s="41" t="s">
        <v>212</v>
      </c>
      <c r="F25" s="41" t="s">
        <v>228</v>
      </c>
      <c r="G25" s="58" t="s">
        <v>9</v>
      </c>
      <c r="H25" s="58" t="s">
        <v>9</v>
      </c>
      <c r="I25" s="58" t="s">
        <v>9</v>
      </c>
      <c r="J25" s="58" t="s">
        <v>9</v>
      </c>
      <c r="K25" s="58" t="s">
        <v>9</v>
      </c>
      <c r="L25" s="32" t="str">
        <f t="shared" si="21"/>
        <v>Sistemas.Prediais</v>
      </c>
      <c r="M25" s="32" t="str">
        <f t="shared" si="22"/>
        <v>Elementos.Hidráulicos</v>
      </c>
      <c r="N25" s="32" t="str">
        <f t="shared" si="23"/>
        <v>Tubulação Agua Fria</v>
      </c>
      <c r="O25" s="29" t="str">
        <f t="shared" si="13"/>
        <v>Cisterna.Intermediária</v>
      </c>
      <c r="P25" s="51" t="s">
        <v>147</v>
      </c>
      <c r="Q25" s="29" t="s">
        <v>285</v>
      </c>
      <c r="R25" s="29" t="s">
        <v>310</v>
      </c>
      <c r="S25" s="29" t="s">
        <v>9</v>
      </c>
      <c r="T25" s="29" t="s">
        <v>151</v>
      </c>
      <c r="U25" s="29" t="s">
        <v>150</v>
      </c>
      <c r="V25" s="29" t="str">
        <f t="shared" si="24"/>
        <v>Tubulação.Agua.Fria</v>
      </c>
      <c r="W25" s="29" t="s">
        <v>152</v>
      </c>
      <c r="X25" s="57" t="str">
        <f t="shared" si="8"/>
        <v>Key-HIDR-25</v>
      </c>
      <c r="Y25" s="28" t="s">
        <v>247</v>
      </c>
      <c r="Z25" s="61" t="s">
        <v>9</v>
      </c>
      <c r="AA25" s="28" t="s">
        <v>184</v>
      </c>
      <c r="AB25" s="61" t="s">
        <v>9</v>
      </c>
      <c r="AC25" s="29" t="s">
        <v>154</v>
      </c>
      <c r="AD25" s="61" t="s">
        <v>9</v>
      </c>
    </row>
    <row r="26" spans="1:30" ht="6.65" customHeight="1" x14ac:dyDescent="0.4">
      <c r="A26" s="56">
        <v>26</v>
      </c>
      <c r="B26" s="1" t="s">
        <v>243</v>
      </c>
      <c r="C26" s="41" t="s">
        <v>244</v>
      </c>
      <c r="D26" s="1" t="s">
        <v>245</v>
      </c>
      <c r="E26" s="41" t="s">
        <v>212</v>
      </c>
      <c r="F26" s="41" t="s">
        <v>133</v>
      </c>
      <c r="G26" s="58" t="s">
        <v>9</v>
      </c>
      <c r="H26" s="58" t="s">
        <v>9</v>
      </c>
      <c r="I26" s="58" t="s">
        <v>9</v>
      </c>
      <c r="J26" s="58" t="s">
        <v>9</v>
      </c>
      <c r="K26" s="58" t="s">
        <v>9</v>
      </c>
      <c r="L26" s="32" t="str">
        <f t="shared" si="21"/>
        <v>Sistemas.Prediais</v>
      </c>
      <c r="M26" s="32" t="str">
        <f t="shared" si="22"/>
        <v>Elementos.Hidráulicos</v>
      </c>
      <c r="N26" s="32" t="str">
        <f t="shared" si="23"/>
        <v>Tubulação Agua Fria</v>
      </c>
      <c r="O26" s="29" t="str">
        <f t="shared" si="13"/>
        <v>Cisterna.Inferior</v>
      </c>
      <c r="P26" s="51" t="s">
        <v>139</v>
      </c>
      <c r="Q26" s="29" t="s">
        <v>139</v>
      </c>
      <c r="R26" s="29" t="s">
        <v>311</v>
      </c>
      <c r="S26" s="29" t="s">
        <v>9</v>
      </c>
      <c r="T26" s="29" t="s">
        <v>151</v>
      </c>
      <c r="U26" s="29" t="s">
        <v>150</v>
      </c>
      <c r="V26" s="29" t="str">
        <f t="shared" si="24"/>
        <v>Tubulação.Agua.Fria</v>
      </c>
      <c r="W26" s="29" t="s">
        <v>152</v>
      </c>
      <c r="X26" s="57" t="str">
        <f t="shared" si="8"/>
        <v>Key-HIDR-26</v>
      </c>
      <c r="Y26" s="28" t="s">
        <v>247</v>
      </c>
      <c r="Z26" s="61" t="s">
        <v>9</v>
      </c>
      <c r="AA26" s="28" t="s">
        <v>184</v>
      </c>
      <c r="AB26" s="61" t="s">
        <v>9</v>
      </c>
      <c r="AC26" s="29" t="s">
        <v>154</v>
      </c>
      <c r="AD26" s="61" t="s">
        <v>9</v>
      </c>
    </row>
    <row r="27" spans="1:30" ht="6.65" customHeight="1" x14ac:dyDescent="0.4">
      <c r="A27" s="56">
        <v>27</v>
      </c>
      <c r="B27" s="1" t="s">
        <v>243</v>
      </c>
      <c r="C27" s="41" t="s">
        <v>244</v>
      </c>
      <c r="D27" s="1" t="s">
        <v>245</v>
      </c>
      <c r="E27" s="41" t="s">
        <v>212</v>
      </c>
      <c r="F27" s="41" t="s">
        <v>137</v>
      </c>
      <c r="G27" s="58" t="s">
        <v>9</v>
      </c>
      <c r="H27" s="58" t="s">
        <v>9</v>
      </c>
      <c r="I27" s="58" t="s">
        <v>9</v>
      </c>
      <c r="J27" s="58" t="s">
        <v>9</v>
      </c>
      <c r="K27" s="58" t="s">
        <v>9</v>
      </c>
      <c r="L27" s="32" t="str">
        <f t="shared" si="21"/>
        <v>Sistemas.Prediais</v>
      </c>
      <c r="M27" s="32" t="str">
        <f t="shared" si="22"/>
        <v>Elementos.Hidráulicos</v>
      </c>
      <c r="N27" s="32" t="str">
        <f t="shared" si="23"/>
        <v>Tubulação Agua Fria</v>
      </c>
      <c r="O27" s="29" t="str">
        <f t="shared" si="13"/>
        <v>Tubulação.AF</v>
      </c>
      <c r="P27" s="51" t="s">
        <v>142</v>
      </c>
      <c r="Q27" s="29" t="s">
        <v>286</v>
      </c>
      <c r="R27" s="29" t="s">
        <v>312</v>
      </c>
      <c r="S27" s="29" t="s">
        <v>9</v>
      </c>
      <c r="T27" s="29" t="s">
        <v>151</v>
      </c>
      <c r="U27" s="29" t="s">
        <v>150</v>
      </c>
      <c r="V27" s="29" t="str">
        <f t="shared" si="24"/>
        <v>Tubulação.Agua.Fria</v>
      </c>
      <c r="W27" s="29" t="s">
        <v>152</v>
      </c>
      <c r="X27" s="57" t="str">
        <f t="shared" si="8"/>
        <v>Key-HIDR-27</v>
      </c>
      <c r="Y27" s="28" t="s">
        <v>247</v>
      </c>
      <c r="Z27" s="61" t="s">
        <v>9</v>
      </c>
      <c r="AA27" s="28" t="s">
        <v>248</v>
      </c>
      <c r="AB27" s="61" t="s">
        <v>9</v>
      </c>
      <c r="AC27" s="29" t="s">
        <v>154</v>
      </c>
      <c r="AD27" s="61" t="s">
        <v>9</v>
      </c>
    </row>
    <row r="28" spans="1:30" ht="6.65" customHeight="1" x14ac:dyDescent="0.4">
      <c r="A28" s="56">
        <v>28</v>
      </c>
      <c r="B28" s="1" t="s">
        <v>243</v>
      </c>
      <c r="C28" s="41" t="s">
        <v>244</v>
      </c>
      <c r="D28" s="1" t="s">
        <v>245</v>
      </c>
      <c r="E28" s="41" t="s">
        <v>213</v>
      </c>
      <c r="F28" s="41" t="s">
        <v>140</v>
      </c>
      <c r="G28" s="58" t="s">
        <v>9</v>
      </c>
      <c r="H28" s="58" t="s">
        <v>9</v>
      </c>
      <c r="I28" s="58" t="s">
        <v>9</v>
      </c>
      <c r="J28" s="58" t="s">
        <v>9</v>
      </c>
      <c r="K28" s="58" t="s">
        <v>9</v>
      </c>
      <c r="L28" s="32" t="str">
        <f t="shared" si="21"/>
        <v>Sistemas.Prediais</v>
      </c>
      <c r="M28" s="32" t="str">
        <f t="shared" si="22"/>
        <v>Elementos.Hidráulicos</v>
      </c>
      <c r="N28" s="32" t="str">
        <f t="shared" si="23"/>
        <v>Tubulação Agua Quente</v>
      </c>
      <c r="O28" s="29" t="str">
        <f t="shared" si="13"/>
        <v>Aquecedor.de.Agua</v>
      </c>
      <c r="P28" s="51" t="s">
        <v>141</v>
      </c>
      <c r="Q28" s="29" t="s">
        <v>146</v>
      </c>
      <c r="R28" s="29" t="s">
        <v>313</v>
      </c>
      <c r="S28" s="29" t="s">
        <v>9</v>
      </c>
      <c r="T28" s="29" t="s">
        <v>151</v>
      </c>
      <c r="U28" s="29" t="s">
        <v>150</v>
      </c>
      <c r="V28" s="29" t="str">
        <f t="shared" si="24"/>
        <v>Tubulação.Agua.Quente</v>
      </c>
      <c r="W28" s="29" t="s">
        <v>152</v>
      </c>
      <c r="X28" s="57" t="str">
        <f t="shared" si="8"/>
        <v>Key-HIDR-28</v>
      </c>
      <c r="Y28" s="28" t="s">
        <v>181</v>
      </c>
      <c r="Z28" s="61" t="s">
        <v>9</v>
      </c>
      <c r="AA28" s="28" t="s">
        <v>185</v>
      </c>
      <c r="AB28" s="61" t="s">
        <v>9</v>
      </c>
      <c r="AC28" s="29" t="s">
        <v>154</v>
      </c>
      <c r="AD28" s="61" t="s">
        <v>9</v>
      </c>
    </row>
    <row r="29" spans="1:30" ht="6.65" customHeight="1" x14ac:dyDescent="0.4">
      <c r="A29" s="56">
        <v>29</v>
      </c>
      <c r="B29" s="1" t="s">
        <v>243</v>
      </c>
      <c r="C29" s="41" t="s">
        <v>244</v>
      </c>
      <c r="D29" s="1" t="s">
        <v>245</v>
      </c>
      <c r="E29" s="41" t="s">
        <v>213</v>
      </c>
      <c r="F29" s="41" t="s">
        <v>134</v>
      </c>
      <c r="G29" s="58" t="s">
        <v>9</v>
      </c>
      <c r="H29" s="58" t="s">
        <v>9</v>
      </c>
      <c r="I29" s="58" t="s">
        <v>9</v>
      </c>
      <c r="J29" s="58" t="s">
        <v>9</v>
      </c>
      <c r="K29" s="58" t="s">
        <v>9</v>
      </c>
      <c r="L29" s="32" t="str">
        <f t="shared" si="21"/>
        <v>Sistemas.Prediais</v>
      </c>
      <c r="M29" s="32" t="str">
        <f t="shared" si="22"/>
        <v>Elementos.Hidráulicos</v>
      </c>
      <c r="N29" s="32" t="str">
        <f t="shared" si="23"/>
        <v>Tubulação Agua Quente</v>
      </c>
      <c r="O29" s="29" t="str">
        <f t="shared" si="13"/>
        <v>Boiler</v>
      </c>
      <c r="P29" s="51" t="s">
        <v>134</v>
      </c>
      <c r="Q29" s="29" t="s">
        <v>134</v>
      </c>
      <c r="R29" s="29" t="s">
        <v>134</v>
      </c>
      <c r="S29" s="29" t="s">
        <v>9</v>
      </c>
      <c r="T29" s="29" t="s">
        <v>151</v>
      </c>
      <c r="U29" s="29" t="s">
        <v>150</v>
      </c>
      <c r="V29" s="29" t="str">
        <f t="shared" si="24"/>
        <v>Tubulação.Agua.Quente</v>
      </c>
      <c r="W29" s="29" t="s">
        <v>152</v>
      </c>
      <c r="X29" s="57" t="str">
        <f t="shared" si="8"/>
        <v>Key-HIDR-29</v>
      </c>
      <c r="Y29" s="28" t="s">
        <v>181</v>
      </c>
      <c r="Z29" s="61" t="s">
        <v>9</v>
      </c>
      <c r="AA29" s="28" t="s">
        <v>185</v>
      </c>
      <c r="AB29" s="61" t="s">
        <v>9</v>
      </c>
      <c r="AC29" s="29" t="s">
        <v>154</v>
      </c>
      <c r="AD29" s="61" t="s">
        <v>9</v>
      </c>
    </row>
    <row r="30" spans="1:30" ht="6.65" customHeight="1" x14ac:dyDescent="0.4">
      <c r="A30" s="56">
        <v>30</v>
      </c>
      <c r="B30" s="1" t="s">
        <v>243</v>
      </c>
      <c r="C30" s="41" t="s">
        <v>244</v>
      </c>
      <c r="D30" s="1" t="s">
        <v>245</v>
      </c>
      <c r="E30" s="41" t="s">
        <v>213</v>
      </c>
      <c r="F30" s="41" t="s">
        <v>135</v>
      </c>
      <c r="G30" s="58" t="s">
        <v>9</v>
      </c>
      <c r="H30" s="58" t="s">
        <v>9</v>
      </c>
      <c r="I30" s="58" t="s">
        <v>9</v>
      </c>
      <c r="J30" s="58" t="s">
        <v>9</v>
      </c>
      <c r="K30" s="58" t="s">
        <v>9</v>
      </c>
      <c r="L30" s="32" t="str">
        <f t="shared" si="21"/>
        <v>Sistemas.Prediais</v>
      </c>
      <c r="M30" s="32" t="str">
        <f t="shared" si="22"/>
        <v>Elementos.Hidráulicos</v>
      </c>
      <c r="N30" s="32" t="str">
        <f t="shared" si="23"/>
        <v>Tubulação Agua Quente</v>
      </c>
      <c r="O30" s="29" t="str">
        <f t="shared" si="13"/>
        <v>Caldeira</v>
      </c>
      <c r="P30" s="51" t="s">
        <v>135</v>
      </c>
      <c r="Q30" s="29" t="s">
        <v>287</v>
      </c>
      <c r="R30" s="29" t="s">
        <v>134</v>
      </c>
      <c r="S30" s="29" t="s">
        <v>9</v>
      </c>
      <c r="T30" s="29" t="s">
        <v>151</v>
      </c>
      <c r="U30" s="29" t="s">
        <v>150</v>
      </c>
      <c r="V30" s="29" t="str">
        <f t="shared" si="24"/>
        <v>Tubulação.Agua.Quente</v>
      </c>
      <c r="W30" s="29" t="s">
        <v>152</v>
      </c>
      <c r="X30" s="57" t="str">
        <f t="shared" si="8"/>
        <v>Key-HIDR-30</v>
      </c>
      <c r="Y30" s="28" t="s">
        <v>181</v>
      </c>
      <c r="Z30" s="61" t="s">
        <v>9</v>
      </c>
      <c r="AA30" s="28" t="s">
        <v>186</v>
      </c>
      <c r="AB30" s="61" t="s">
        <v>9</v>
      </c>
      <c r="AC30" s="29" t="s">
        <v>154</v>
      </c>
      <c r="AD30" s="61" t="s">
        <v>9</v>
      </c>
    </row>
    <row r="31" spans="1:30" ht="6.65" customHeight="1" x14ac:dyDescent="0.4">
      <c r="A31" s="56">
        <v>31</v>
      </c>
      <c r="B31" s="1" t="s">
        <v>243</v>
      </c>
      <c r="C31" s="41" t="s">
        <v>244</v>
      </c>
      <c r="D31" s="1" t="s">
        <v>245</v>
      </c>
      <c r="E31" s="41" t="s">
        <v>213</v>
      </c>
      <c r="F31" s="41" t="s">
        <v>136</v>
      </c>
      <c r="G31" s="58" t="s">
        <v>9</v>
      </c>
      <c r="H31" s="58" t="s">
        <v>9</v>
      </c>
      <c r="I31" s="58" t="s">
        <v>9</v>
      </c>
      <c r="J31" s="58" t="s">
        <v>9</v>
      </c>
      <c r="K31" s="58" t="s">
        <v>9</v>
      </c>
      <c r="L31" s="32" t="str">
        <f t="shared" si="21"/>
        <v>Sistemas.Prediais</v>
      </c>
      <c r="M31" s="32" t="str">
        <f t="shared" si="22"/>
        <v>Elementos.Hidráulicos</v>
      </c>
      <c r="N31" s="32" t="str">
        <f t="shared" si="23"/>
        <v>Tubulação Agua Quente</v>
      </c>
      <c r="O31" s="29" t="str">
        <f t="shared" si="13"/>
        <v>Tubulação.AQ</v>
      </c>
      <c r="P31" s="51" t="s">
        <v>143</v>
      </c>
      <c r="Q31" s="29" t="s">
        <v>288</v>
      </c>
      <c r="R31" s="29" t="s">
        <v>314</v>
      </c>
      <c r="S31" s="29" t="s">
        <v>9</v>
      </c>
      <c r="T31" s="29" t="s">
        <v>151</v>
      </c>
      <c r="U31" s="29" t="s">
        <v>150</v>
      </c>
      <c r="V31" s="29" t="str">
        <f t="shared" si="24"/>
        <v>Tubulação.Agua.Quente</v>
      </c>
      <c r="W31" s="29" t="s">
        <v>152</v>
      </c>
      <c r="X31" s="57" t="str">
        <f t="shared" si="8"/>
        <v>Key-HIDR-31</v>
      </c>
      <c r="Y31" s="28" t="s">
        <v>247</v>
      </c>
      <c r="Z31" s="61" t="s">
        <v>9</v>
      </c>
      <c r="AA31" s="28" t="s">
        <v>248</v>
      </c>
      <c r="AB31" s="61" t="s">
        <v>9</v>
      </c>
      <c r="AC31" s="29" t="s">
        <v>154</v>
      </c>
      <c r="AD31" s="61" t="s">
        <v>9</v>
      </c>
    </row>
    <row r="32" spans="1:30" ht="6.65" customHeight="1" x14ac:dyDescent="0.4">
      <c r="A32" s="56">
        <v>32</v>
      </c>
      <c r="B32" s="1" t="s">
        <v>243</v>
      </c>
      <c r="C32" s="41" t="s">
        <v>244</v>
      </c>
      <c r="D32" s="1" t="s">
        <v>245</v>
      </c>
      <c r="E32" s="41" t="s">
        <v>213</v>
      </c>
      <c r="F32" s="41" t="s">
        <v>131</v>
      </c>
      <c r="G32" s="58" t="s">
        <v>9</v>
      </c>
      <c r="H32" s="58" t="s">
        <v>9</v>
      </c>
      <c r="I32" s="58" t="s">
        <v>9</v>
      </c>
      <c r="J32" s="58" t="s">
        <v>9</v>
      </c>
      <c r="K32" s="58" t="s">
        <v>9</v>
      </c>
      <c r="L32" s="32" t="str">
        <f t="shared" si="21"/>
        <v>Sistemas.Prediais</v>
      </c>
      <c r="M32" s="32" t="str">
        <f t="shared" si="22"/>
        <v>Elementos.Hidráulicos</v>
      </c>
      <c r="N32" s="32" t="str">
        <f t="shared" si="23"/>
        <v>Tubulação Agua Quente</v>
      </c>
      <c r="O32" s="29" t="str">
        <f t="shared" si="13"/>
        <v>Tubulação.Reuso</v>
      </c>
      <c r="P32" s="51" t="s">
        <v>144</v>
      </c>
      <c r="Q32" s="51" t="s">
        <v>145</v>
      </c>
      <c r="R32" s="29" t="s">
        <v>315</v>
      </c>
      <c r="S32" s="29" t="s">
        <v>9</v>
      </c>
      <c r="T32" s="29" t="s">
        <v>151</v>
      </c>
      <c r="U32" s="29" t="s">
        <v>150</v>
      </c>
      <c r="V32" s="29" t="str">
        <f t="shared" si="24"/>
        <v>Tubulação.Agua.Quente</v>
      </c>
      <c r="W32" s="29" t="s">
        <v>152</v>
      </c>
      <c r="X32" s="57" t="str">
        <f t="shared" si="8"/>
        <v>Key-HIDR-32</v>
      </c>
      <c r="Y32" s="28" t="s">
        <v>247</v>
      </c>
      <c r="Z32" s="61" t="s">
        <v>9</v>
      </c>
      <c r="AA32" s="28" t="s">
        <v>248</v>
      </c>
      <c r="AB32" s="61" t="s">
        <v>9</v>
      </c>
      <c r="AC32" s="29" t="s">
        <v>154</v>
      </c>
      <c r="AD32" s="61" t="s">
        <v>9</v>
      </c>
    </row>
    <row r="33" spans="1:30" ht="6.65" customHeight="1" x14ac:dyDescent="0.4">
      <c r="A33" s="56">
        <v>33</v>
      </c>
      <c r="B33" s="1" t="s">
        <v>243</v>
      </c>
      <c r="C33" s="41" t="s">
        <v>244</v>
      </c>
      <c r="D33" s="1" t="s">
        <v>245</v>
      </c>
      <c r="E33" s="41" t="s">
        <v>214</v>
      </c>
      <c r="F33" s="41" t="s">
        <v>168</v>
      </c>
      <c r="G33" s="58" t="s">
        <v>9</v>
      </c>
      <c r="H33" s="58" t="s">
        <v>9</v>
      </c>
      <c r="I33" s="58" t="s">
        <v>9</v>
      </c>
      <c r="J33" s="58" t="s">
        <v>9</v>
      </c>
      <c r="K33" s="58" t="s">
        <v>9</v>
      </c>
      <c r="L33" s="32" t="str">
        <f t="shared" si="21"/>
        <v>Sistemas.Prediais</v>
      </c>
      <c r="M33" s="32" t="str">
        <f t="shared" si="22"/>
        <v>Elementos.Hidráulicos</v>
      </c>
      <c r="N33" s="32" t="str">
        <f t="shared" si="23"/>
        <v>Peças Sanitárias</v>
      </c>
      <c r="O33" s="29" t="str">
        <f t="shared" si="13"/>
        <v>Vaso.Sanitário</v>
      </c>
      <c r="P33" s="51" t="s">
        <v>175</v>
      </c>
      <c r="Q33" s="29" t="s">
        <v>178</v>
      </c>
      <c r="R33" s="29" t="s">
        <v>316</v>
      </c>
      <c r="S33" s="29" t="s">
        <v>9</v>
      </c>
      <c r="T33" s="29" t="s">
        <v>151</v>
      </c>
      <c r="U33" s="29" t="s">
        <v>150</v>
      </c>
      <c r="V33" s="29" t="str">
        <f t="shared" si="24"/>
        <v>Peças.Sanitárias</v>
      </c>
      <c r="W33" s="29" t="s">
        <v>152</v>
      </c>
      <c r="X33" s="57" t="str">
        <f t="shared" si="8"/>
        <v>Key-HIDR-33</v>
      </c>
      <c r="Y33" s="28" t="s">
        <v>181</v>
      </c>
      <c r="Z33" s="61" t="s">
        <v>9</v>
      </c>
      <c r="AA33" s="28" t="s">
        <v>182</v>
      </c>
      <c r="AB33" s="61" t="s">
        <v>9</v>
      </c>
      <c r="AC33" s="29" t="s">
        <v>154</v>
      </c>
      <c r="AD33" s="61" t="s">
        <v>9</v>
      </c>
    </row>
    <row r="34" spans="1:30" ht="6.65" customHeight="1" x14ac:dyDescent="0.4">
      <c r="A34" s="56">
        <v>34</v>
      </c>
      <c r="B34" s="1" t="s">
        <v>243</v>
      </c>
      <c r="C34" s="41" t="s">
        <v>244</v>
      </c>
      <c r="D34" s="1" t="s">
        <v>245</v>
      </c>
      <c r="E34" s="41" t="s">
        <v>214</v>
      </c>
      <c r="F34" s="41" t="s">
        <v>167</v>
      </c>
      <c r="G34" s="58" t="s">
        <v>9</v>
      </c>
      <c r="H34" s="58" t="s">
        <v>9</v>
      </c>
      <c r="I34" s="58" t="s">
        <v>9</v>
      </c>
      <c r="J34" s="58" t="s">
        <v>9</v>
      </c>
      <c r="K34" s="58" t="s">
        <v>9</v>
      </c>
      <c r="L34" s="32" t="str">
        <f t="shared" si="21"/>
        <v>Sistemas.Prediais</v>
      </c>
      <c r="M34" s="32" t="str">
        <f t="shared" si="22"/>
        <v>Elementos.Hidráulicos</v>
      </c>
      <c r="N34" s="32" t="str">
        <f t="shared" si="23"/>
        <v>Peças Sanitárias</v>
      </c>
      <c r="O34" s="29" t="str">
        <f t="shared" si="13"/>
        <v>Bidet</v>
      </c>
      <c r="P34" s="51" t="s">
        <v>167</v>
      </c>
      <c r="Q34" s="29" t="s">
        <v>289</v>
      </c>
      <c r="R34" s="29" t="s">
        <v>167</v>
      </c>
      <c r="S34" s="29" t="s">
        <v>9</v>
      </c>
      <c r="T34" s="29" t="s">
        <v>151</v>
      </c>
      <c r="U34" s="29" t="s">
        <v>150</v>
      </c>
      <c r="V34" s="29" t="str">
        <f t="shared" si="24"/>
        <v>Peças.Sanitárias</v>
      </c>
      <c r="W34" s="29" t="s">
        <v>152</v>
      </c>
      <c r="X34" s="57" t="str">
        <f t="shared" si="8"/>
        <v>Key-HIDR-34</v>
      </c>
      <c r="Y34" s="28" t="s">
        <v>181</v>
      </c>
      <c r="Z34" s="61" t="s">
        <v>9</v>
      </c>
      <c r="AA34" s="28" t="s">
        <v>182</v>
      </c>
      <c r="AB34" s="61" t="s">
        <v>9</v>
      </c>
      <c r="AC34" s="29" t="s">
        <v>154</v>
      </c>
      <c r="AD34" s="61" t="s">
        <v>9</v>
      </c>
    </row>
    <row r="35" spans="1:30" ht="6.65" customHeight="1" x14ac:dyDescent="0.4">
      <c r="A35" s="56">
        <v>35</v>
      </c>
      <c r="B35" s="1" t="s">
        <v>243</v>
      </c>
      <c r="C35" s="41" t="s">
        <v>244</v>
      </c>
      <c r="D35" s="1" t="s">
        <v>245</v>
      </c>
      <c r="E35" s="41" t="s">
        <v>214</v>
      </c>
      <c r="F35" s="41" t="s">
        <v>170</v>
      </c>
      <c r="G35" s="58" t="s">
        <v>9</v>
      </c>
      <c r="H35" s="58" t="s">
        <v>9</v>
      </c>
      <c r="I35" s="58" t="s">
        <v>9</v>
      </c>
      <c r="J35" s="58" t="s">
        <v>9</v>
      </c>
      <c r="K35" s="58" t="s">
        <v>9</v>
      </c>
      <c r="L35" s="32" t="str">
        <f t="shared" si="21"/>
        <v>Sistemas.Prediais</v>
      </c>
      <c r="M35" s="32" t="str">
        <f t="shared" si="22"/>
        <v>Elementos.Hidráulicos</v>
      </c>
      <c r="N35" s="32" t="str">
        <f t="shared" si="23"/>
        <v>Peças Sanitárias</v>
      </c>
      <c r="O35" s="29" t="str">
        <f t="shared" si="13"/>
        <v>Pia.Sanitária</v>
      </c>
      <c r="P35" s="51" t="s">
        <v>176</v>
      </c>
      <c r="Q35" s="29" t="s">
        <v>180</v>
      </c>
      <c r="R35" s="29" t="s">
        <v>317</v>
      </c>
      <c r="S35" s="29" t="s">
        <v>9</v>
      </c>
      <c r="T35" s="29" t="s">
        <v>151</v>
      </c>
      <c r="U35" s="29" t="s">
        <v>150</v>
      </c>
      <c r="V35" s="29" t="str">
        <f t="shared" si="24"/>
        <v>Peças.Sanitárias</v>
      </c>
      <c r="W35" s="29" t="s">
        <v>152</v>
      </c>
      <c r="X35" s="57" t="str">
        <f t="shared" si="8"/>
        <v>Key-HIDR-35</v>
      </c>
      <c r="Y35" s="28" t="s">
        <v>181</v>
      </c>
      <c r="Z35" s="61" t="s">
        <v>9</v>
      </c>
      <c r="AA35" s="28" t="s">
        <v>182</v>
      </c>
      <c r="AB35" s="61" t="s">
        <v>9</v>
      </c>
      <c r="AC35" s="29" t="s">
        <v>154</v>
      </c>
      <c r="AD35" s="61" t="s">
        <v>9</v>
      </c>
    </row>
    <row r="36" spans="1:30" ht="6.65" customHeight="1" x14ac:dyDescent="0.4">
      <c r="A36" s="56">
        <v>36</v>
      </c>
      <c r="B36" s="1" t="s">
        <v>243</v>
      </c>
      <c r="C36" s="41" t="s">
        <v>244</v>
      </c>
      <c r="D36" s="1" t="s">
        <v>245</v>
      </c>
      <c r="E36" s="41" t="s">
        <v>214</v>
      </c>
      <c r="F36" s="41" t="s">
        <v>166</v>
      </c>
      <c r="G36" s="58" t="s">
        <v>9</v>
      </c>
      <c r="H36" s="58" t="s">
        <v>9</v>
      </c>
      <c r="I36" s="58" t="s">
        <v>9</v>
      </c>
      <c r="J36" s="58" t="s">
        <v>9</v>
      </c>
      <c r="K36" s="58" t="s">
        <v>9</v>
      </c>
      <c r="L36" s="32" t="str">
        <f t="shared" si="21"/>
        <v>Sistemas.Prediais</v>
      </c>
      <c r="M36" s="32" t="str">
        <f t="shared" si="22"/>
        <v>Elementos.Hidráulicos</v>
      </c>
      <c r="N36" s="32" t="str">
        <f t="shared" si="23"/>
        <v>Peças Sanitárias</v>
      </c>
      <c r="O36" s="29" t="str">
        <f t="shared" si="13"/>
        <v>Lavatório</v>
      </c>
      <c r="P36" s="51" t="s">
        <v>166</v>
      </c>
      <c r="Q36" s="29" t="s">
        <v>290</v>
      </c>
      <c r="R36" s="29" t="s">
        <v>318</v>
      </c>
      <c r="S36" s="29" t="s">
        <v>9</v>
      </c>
      <c r="T36" s="29" t="s">
        <v>151</v>
      </c>
      <c r="U36" s="29" t="s">
        <v>150</v>
      </c>
      <c r="V36" s="29" t="str">
        <f t="shared" si="24"/>
        <v>Peças.Sanitárias</v>
      </c>
      <c r="W36" s="29" t="s">
        <v>152</v>
      </c>
      <c r="X36" s="57" t="str">
        <f t="shared" si="8"/>
        <v>Key-HIDR-36</v>
      </c>
      <c r="Y36" s="28" t="s">
        <v>181</v>
      </c>
      <c r="Z36" s="61" t="s">
        <v>9</v>
      </c>
      <c r="AA36" s="28" t="s">
        <v>182</v>
      </c>
      <c r="AB36" s="61" t="s">
        <v>9</v>
      </c>
      <c r="AC36" s="29" t="s">
        <v>154</v>
      </c>
      <c r="AD36" s="61" t="s">
        <v>9</v>
      </c>
    </row>
    <row r="37" spans="1:30" ht="6.65" customHeight="1" x14ac:dyDescent="0.4">
      <c r="A37" s="56">
        <v>37</v>
      </c>
      <c r="B37" s="1" t="s">
        <v>243</v>
      </c>
      <c r="C37" s="41" t="s">
        <v>244</v>
      </c>
      <c r="D37" s="1" t="s">
        <v>245</v>
      </c>
      <c r="E37" s="41" t="s">
        <v>214</v>
      </c>
      <c r="F37" s="41" t="s">
        <v>169</v>
      </c>
      <c r="G37" s="58" t="s">
        <v>9</v>
      </c>
      <c r="H37" s="58" t="s">
        <v>9</v>
      </c>
      <c r="I37" s="58" t="s">
        <v>9</v>
      </c>
      <c r="J37" s="58" t="s">
        <v>9</v>
      </c>
      <c r="K37" s="58" t="s">
        <v>9</v>
      </c>
      <c r="L37" s="32" t="str">
        <f t="shared" ref="L37" si="25">CONCATENATE("", C37)</f>
        <v>Sistemas.Prediais</v>
      </c>
      <c r="M37" s="32" t="str">
        <f t="shared" ref="M37" si="26">CONCATENATE("", D37)</f>
        <v>Elementos.Hidráulicos</v>
      </c>
      <c r="N37" s="32" t="str">
        <f t="shared" ref="N37" si="27">(SUBSTITUTE(SUBSTITUTE(CONCATENATE("",E37),"."," ")," De "," de "))</f>
        <v>Peças Sanitárias</v>
      </c>
      <c r="O37" s="29" t="str">
        <f t="shared" si="13"/>
        <v>Cuba.Sanitária</v>
      </c>
      <c r="P37" s="51" t="s">
        <v>177</v>
      </c>
      <c r="Q37" s="29" t="s">
        <v>179</v>
      </c>
      <c r="R37" s="29" t="s">
        <v>319</v>
      </c>
      <c r="S37" s="29" t="s">
        <v>9</v>
      </c>
      <c r="T37" s="29" t="s">
        <v>151</v>
      </c>
      <c r="U37" s="29" t="s">
        <v>150</v>
      </c>
      <c r="V37" s="29" t="str">
        <f t="shared" ref="V37" si="28">SUBSTITUTE(E37, "_", " ")</f>
        <v>Peças.Sanitárias</v>
      </c>
      <c r="W37" s="29" t="s">
        <v>152</v>
      </c>
      <c r="X37" s="57" t="str">
        <f t="shared" si="8"/>
        <v>Key-HIDR-37</v>
      </c>
      <c r="Y37" s="28" t="s">
        <v>181</v>
      </c>
      <c r="Z37" s="61" t="s">
        <v>9</v>
      </c>
      <c r="AA37" s="28" t="s">
        <v>182</v>
      </c>
      <c r="AB37" s="61" t="s">
        <v>9</v>
      </c>
      <c r="AC37" s="29" t="s">
        <v>154</v>
      </c>
      <c r="AD37" s="61" t="s">
        <v>9</v>
      </c>
    </row>
    <row r="38" spans="1:30" ht="6.65" customHeight="1" x14ac:dyDescent="0.4">
      <c r="A38" s="56">
        <v>38</v>
      </c>
      <c r="B38" s="1" t="s">
        <v>243</v>
      </c>
      <c r="C38" s="41" t="s">
        <v>244</v>
      </c>
      <c r="D38" s="1" t="s">
        <v>245</v>
      </c>
      <c r="E38" s="41" t="s">
        <v>214</v>
      </c>
      <c r="F38" s="41" t="s">
        <v>171</v>
      </c>
      <c r="G38" s="58" t="s">
        <v>9</v>
      </c>
      <c r="H38" s="58" t="s">
        <v>9</v>
      </c>
      <c r="I38" s="58" t="s">
        <v>9</v>
      </c>
      <c r="J38" s="58" t="s">
        <v>9</v>
      </c>
      <c r="K38" s="58" t="s">
        <v>9</v>
      </c>
      <c r="L38" s="32" t="str">
        <f t="shared" si="21"/>
        <v>Sistemas.Prediais</v>
      </c>
      <c r="M38" s="32" t="str">
        <f t="shared" si="22"/>
        <v>Elementos.Hidráulicos</v>
      </c>
      <c r="N38" s="32" t="str">
        <f t="shared" si="23"/>
        <v>Peças Sanitárias</v>
      </c>
      <c r="O38" s="29" t="str">
        <f t="shared" si="13"/>
        <v>Banheira</v>
      </c>
      <c r="P38" s="51" t="s">
        <v>171</v>
      </c>
      <c r="Q38" s="29" t="s">
        <v>291</v>
      </c>
      <c r="R38" s="29" t="s">
        <v>320</v>
      </c>
      <c r="S38" s="29" t="s">
        <v>9</v>
      </c>
      <c r="T38" s="29" t="s">
        <v>151</v>
      </c>
      <c r="U38" s="29" t="s">
        <v>150</v>
      </c>
      <c r="V38" s="29" t="str">
        <f t="shared" si="24"/>
        <v>Peças.Sanitárias</v>
      </c>
      <c r="W38" s="29" t="s">
        <v>152</v>
      </c>
      <c r="X38" s="57" t="str">
        <f t="shared" si="8"/>
        <v>Key-HIDR-38</v>
      </c>
      <c r="Y38" s="28" t="s">
        <v>181</v>
      </c>
      <c r="Z38" s="61" t="s">
        <v>9</v>
      </c>
      <c r="AA38" s="28" t="s">
        <v>182</v>
      </c>
      <c r="AB38" s="61" t="s">
        <v>9</v>
      </c>
      <c r="AC38" s="29" t="s">
        <v>154</v>
      </c>
      <c r="AD38" s="61" t="s">
        <v>9</v>
      </c>
    </row>
    <row r="39" spans="1:30" ht="6.65" customHeight="1" x14ac:dyDescent="0.4">
      <c r="A39" s="56">
        <v>39</v>
      </c>
      <c r="B39" s="1" t="s">
        <v>243</v>
      </c>
      <c r="C39" s="41" t="s">
        <v>244</v>
      </c>
      <c r="D39" s="1" t="s">
        <v>245</v>
      </c>
      <c r="E39" s="41" t="s">
        <v>215</v>
      </c>
      <c r="F39" s="41" t="s">
        <v>107</v>
      </c>
      <c r="G39" s="58" t="s">
        <v>9</v>
      </c>
      <c r="H39" s="58" t="s">
        <v>9</v>
      </c>
      <c r="I39" s="58" t="s">
        <v>9</v>
      </c>
      <c r="J39" s="58" t="s">
        <v>9</v>
      </c>
      <c r="K39" s="58" t="s">
        <v>9</v>
      </c>
      <c r="L39" s="32" t="str">
        <f t="shared" ref="L39" si="29">CONCATENATE("", C39)</f>
        <v>Sistemas.Prediais</v>
      </c>
      <c r="M39" s="32" t="str">
        <f t="shared" ref="M39" si="30">CONCATENATE("", D39)</f>
        <v>Elementos.Hidráulicos</v>
      </c>
      <c r="N39" s="32" t="str">
        <f t="shared" ref="N39" si="31">(SUBSTITUTE(SUBSTITUTE(CONCATENATE("",E39),"."," ")," De "," de "))</f>
        <v>Esgoto Coletores</v>
      </c>
      <c r="O39" s="29" t="str">
        <f t="shared" si="13"/>
        <v>Ventilação.Esgoto</v>
      </c>
      <c r="P39" s="51" t="s">
        <v>148</v>
      </c>
      <c r="Q39" s="51" t="s">
        <v>149</v>
      </c>
      <c r="R39" s="29" t="s">
        <v>321</v>
      </c>
      <c r="S39" s="29" t="s">
        <v>9</v>
      </c>
      <c r="T39" s="29" t="s">
        <v>151</v>
      </c>
      <c r="U39" s="29" t="s">
        <v>150</v>
      </c>
      <c r="V39" s="29" t="str">
        <f t="shared" ref="V39" si="32">SUBSTITUTE(E39, "_", " ")</f>
        <v>Esgoto.Coletores</v>
      </c>
      <c r="W39" s="29" t="s">
        <v>152</v>
      </c>
      <c r="X39" s="57" t="str">
        <f t="shared" si="8"/>
        <v>Key-HIDR-39</v>
      </c>
      <c r="Y39" s="28" t="s">
        <v>247</v>
      </c>
      <c r="Z39" s="61" t="s">
        <v>9</v>
      </c>
      <c r="AA39" s="28" t="s">
        <v>248</v>
      </c>
      <c r="AB39" s="61" t="s">
        <v>9</v>
      </c>
      <c r="AC39" s="29" t="s">
        <v>126</v>
      </c>
      <c r="AD39" s="61" t="s">
        <v>9</v>
      </c>
    </row>
    <row r="40" spans="1:30" ht="6.65" customHeight="1" x14ac:dyDescent="0.4">
      <c r="A40" s="56">
        <v>40</v>
      </c>
      <c r="B40" s="1" t="s">
        <v>243</v>
      </c>
      <c r="C40" s="41" t="s">
        <v>244</v>
      </c>
      <c r="D40" s="1" t="s">
        <v>245</v>
      </c>
      <c r="E40" s="41" t="s">
        <v>215</v>
      </c>
      <c r="F40" s="41" t="s">
        <v>160</v>
      </c>
      <c r="G40" s="58" t="s">
        <v>9</v>
      </c>
      <c r="H40" s="58" t="s">
        <v>9</v>
      </c>
      <c r="I40" s="58" t="s">
        <v>9</v>
      </c>
      <c r="J40" s="58" t="s">
        <v>9</v>
      </c>
      <c r="K40" s="58" t="s">
        <v>9</v>
      </c>
      <c r="L40" s="32" t="str">
        <f t="shared" si="21"/>
        <v>Sistemas.Prediais</v>
      </c>
      <c r="M40" s="32" t="str">
        <f t="shared" si="22"/>
        <v>Elementos.Hidráulicos</v>
      </c>
      <c r="N40" s="32" t="str">
        <f t="shared" si="23"/>
        <v>Esgoto Coletores</v>
      </c>
      <c r="O40" s="29" t="str">
        <f t="shared" si="13"/>
        <v>Ralo.Seco</v>
      </c>
      <c r="P40" s="51" t="s">
        <v>109</v>
      </c>
      <c r="Q40" s="29" t="s">
        <v>119</v>
      </c>
      <c r="R40" s="29" t="s">
        <v>322</v>
      </c>
      <c r="S40" s="29" t="s">
        <v>9</v>
      </c>
      <c r="T40" s="29" t="s">
        <v>151</v>
      </c>
      <c r="U40" s="29" t="s">
        <v>150</v>
      </c>
      <c r="V40" s="29" t="str">
        <f t="shared" si="24"/>
        <v>Esgoto.Coletores</v>
      </c>
      <c r="W40" s="29" t="s">
        <v>152</v>
      </c>
      <c r="X40" s="57" t="str">
        <f t="shared" si="8"/>
        <v>Key-HIDR-40</v>
      </c>
      <c r="Y40" s="28" t="s">
        <v>247</v>
      </c>
      <c r="Z40" s="61" t="s">
        <v>9</v>
      </c>
      <c r="AA40" s="28" t="s">
        <v>248</v>
      </c>
      <c r="AB40" s="61" t="s">
        <v>9</v>
      </c>
      <c r="AC40" s="29" t="s">
        <v>126</v>
      </c>
      <c r="AD40" s="61" t="s">
        <v>9</v>
      </c>
    </row>
    <row r="41" spans="1:30" ht="6.65" customHeight="1" x14ac:dyDescent="0.4">
      <c r="A41" s="56">
        <v>41</v>
      </c>
      <c r="B41" s="1" t="s">
        <v>243</v>
      </c>
      <c r="C41" s="41" t="s">
        <v>244</v>
      </c>
      <c r="D41" s="1" t="s">
        <v>245</v>
      </c>
      <c r="E41" s="41" t="s">
        <v>215</v>
      </c>
      <c r="F41" s="41" t="s">
        <v>159</v>
      </c>
      <c r="G41" s="58" t="s">
        <v>9</v>
      </c>
      <c r="H41" s="58" t="s">
        <v>9</v>
      </c>
      <c r="I41" s="58" t="s">
        <v>9</v>
      </c>
      <c r="J41" s="58" t="s">
        <v>9</v>
      </c>
      <c r="K41" s="58" t="s">
        <v>9</v>
      </c>
      <c r="L41" s="32" t="str">
        <f t="shared" si="21"/>
        <v>Sistemas.Prediais</v>
      </c>
      <c r="M41" s="32" t="str">
        <f t="shared" si="22"/>
        <v>Elementos.Hidráulicos</v>
      </c>
      <c r="N41" s="32" t="str">
        <f t="shared" si="23"/>
        <v>Esgoto Coletores</v>
      </c>
      <c r="O41" s="29" t="str">
        <f t="shared" si="13"/>
        <v>Ralo.Sifonado</v>
      </c>
      <c r="P41" s="51" t="s">
        <v>108</v>
      </c>
      <c r="Q41" s="29" t="s">
        <v>120</v>
      </c>
      <c r="R41" s="29" t="s">
        <v>323</v>
      </c>
      <c r="S41" s="29" t="s">
        <v>9</v>
      </c>
      <c r="T41" s="29" t="s">
        <v>151</v>
      </c>
      <c r="U41" s="29" t="s">
        <v>150</v>
      </c>
      <c r="V41" s="29" t="str">
        <f t="shared" si="24"/>
        <v>Esgoto.Coletores</v>
      </c>
      <c r="W41" s="29" t="s">
        <v>152</v>
      </c>
      <c r="X41" s="57" t="str">
        <f t="shared" si="8"/>
        <v>Key-HIDR-41</v>
      </c>
      <c r="Y41" s="28" t="s">
        <v>247</v>
      </c>
      <c r="Z41" s="61" t="s">
        <v>9</v>
      </c>
      <c r="AA41" s="28" t="s">
        <v>248</v>
      </c>
      <c r="AB41" s="61" t="s">
        <v>9</v>
      </c>
      <c r="AC41" s="29" t="s">
        <v>126</v>
      </c>
      <c r="AD41" s="61" t="s">
        <v>9</v>
      </c>
    </row>
    <row r="42" spans="1:30" ht="6.65" customHeight="1" x14ac:dyDescent="0.4">
      <c r="A42" s="56">
        <v>42</v>
      </c>
      <c r="B42" s="1" t="s">
        <v>243</v>
      </c>
      <c r="C42" s="41" t="s">
        <v>244</v>
      </c>
      <c r="D42" s="1" t="s">
        <v>245</v>
      </c>
      <c r="E42" s="41" t="s">
        <v>215</v>
      </c>
      <c r="F42" s="41" t="s">
        <v>100</v>
      </c>
      <c r="G42" s="58" t="s">
        <v>9</v>
      </c>
      <c r="H42" s="58" t="s">
        <v>9</v>
      </c>
      <c r="I42" s="58" t="s">
        <v>9</v>
      </c>
      <c r="J42" s="58" t="s">
        <v>9</v>
      </c>
      <c r="K42" s="58" t="s">
        <v>9</v>
      </c>
      <c r="L42" s="32" t="str">
        <f t="shared" si="21"/>
        <v>Sistemas.Prediais</v>
      </c>
      <c r="M42" s="32" t="str">
        <f t="shared" si="22"/>
        <v>Elementos.Hidráulicos</v>
      </c>
      <c r="N42" s="32" t="str">
        <f t="shared" si="23"/>
        <v>Esgoto Coletores</v>
      </c>
      <c r="O42" s="29" t="str">
        <f t="shared" si="13"/>
        <v>Coletor.Andar</v>
      </c>
      <c r="P42" s="51" t="s">
        <v>110</v>
      </c>
      <c r="Q42" s="29" t="s">
        <v>237</v>
      </c>
      <c r="R42" s="29" t="s">
        <v>324</v>
      </c>
      <c r="S42" s="29" t="s">
        <v>9</v>
      </c>
      <c r="T42" s="29" t="s">
        <v>151</v>
      </c>
      <c r="U42" s="29" t="s">
        <v>150</v>
      </c>
      <c r="V42" s="29" t="str">
        <f t="shared" si="24"/>
        <v>Esgoto.Coletores</v>
      </c>
      <c r="W42" s="29" t="s">
        <v>152</v>
      </c>
      <c r="X42" s="57" t="str">
        <f t="shared" si="8"/>
        <v>Key-HIDR-42</v>
      </c>
      <c r="Y42" s="28" t="s">
        <v>247</v>
      </c>
      <c r="Z42" s="61" t="s">
        <v>9</v>
      </c>
      <c r="AA42" s="28" t="s">
        <v>248</v>
      </c>
      <c r="AB42" s="61" t="s">
        <v>9</v>
      </c>
      <c r="AC42" s="29" t="s">
        <v>126</v>
      </c>
      <c r="AD42" s="61" t="s">
        <v>9</v>
      </c>
    </row>
    <row r="43" spans="1:30" ht="6.65" customHeight="1" x14ac:dyDescent="0.4">
      <c r="A43" s="56">
        <v>43</v>
      </c>
      <c r="B43" s="1" t="s">
        <v>243</v>
      </c>
      <c r="C43" s="41" t="s">
        <v>244</v>
      </c>
      <c r="D43" s="1" t="s">
        <v>245</v>
      </c>
      <c r="E43" s="41" t="s">
        <v>215</v>
      </c>
      <c r="F43" s="41" t="s">
        <v>99</v>
      </c>
      <c r="G43" s="58" t="s">
        <v>9</v>
      </c>
      <c r="H43" s="58" t="s">
        <v>9</v>
      </c>
      <c r="I43" s="58" t="s">
        <v>9</v>
      </c>
      <c r="J43" s="58" t="s">
        <v>9</v>
      </c>
      <c r="K43" s="58" t="s">
        <v>9</v>
      </c>
      <c r="L43" s="32" t="str">
        <f t="shared" si="21"/>
        <v>Sistemas.Prediais</v>
      </c>
      <c r="M43" s="32" t="str">
        <f t="shared" si="22"/>
        <v>Elementos.Hidráulicos</v>
      </c>
      <c r="N43" s="32" t="str">
        <f t="shared" si="23"/>
        <v>Esgoto Coletores</v>
      </c>
      <c r="O43" s="29" t="str">
        <f t="shared" si="13"/>
        <v>Coletor.Predial</v>
      </c>
      <c r="P43" s="51" t="s">
        <v>111</v>
      </c>
      <c r="Q43" s="29" t="s">
        <v>238</v>
      </c>
      <c r="R43" s="29" t="s">
        <v>325</v>
      </c>
      <c r="S43" s="29" t="s">
        <v>9</v>
      </c>
      <c r="T43" s="29" t="s">
        <v>151</v>
      </c>
      <c r="U43" s="29" t="s">
        <v>150</v>
      </c>
      <c r="V43" s="29" t="str">
        <f t="shared" si="24"/>
        <v>Esgoto.Coletores</v>
      </c>
      <c r="W43" s="29" t="s">
        <v>152</v>
      </c>
      <c r="X43" s="57" t="str">
        <f t="shared" si="8"/>
        <v>Key-HIDR-43</v>
      </c>
      <c r="Y43" s="28" t="s">
        <v>247</v>
      </c>
      <c r="Z43" s="61" t="s">
        <v>9</v>
      </c>
      <c r="AA43" s="28" t="s">
        <v>248</v>
      </c>
      <c r="AB43" s="61" t="s">
        <v>9</v>
      </c>
      <c r="AC43" s="29" t="s">
        <v>126</v>
      </c>
      <c r="AD43" s="61" t="s">
        <v>9</v>
      </c>
    </row>
    <row r="44" spans="1:30" ht="6.65" customHeight="1" x14ac:dyDescent="0.4">
      <c r="A44" s="56">
        <v>44</v>
      </c>
      <c r="B44" s="1" t="s">
        <v>243</v>
      </c>
      <c r="C44" s="41" t="s">
        <v>244</v>
      </c>
      <c r="D44" s="1" t="s">
        <v>245</v>
      </c>
      <c r="E44" s="41" t="s">
        <v>215</v>
      </c>
      <c r="F44" s="41" t="s">
        <v>101</v>
      </c>
      <c r="G44" s="58" t="s">
        <v>9</v>
      </c>
      <c r="H44" s="58" t="s">
        <v>9</v>
      </c>
      <c r="I44" s="58" t="s">
        <v>9</v>
      </c>
      <c r="J44" s="58" t="s">
        <v>9</v>
      </c>
      <c r="K44" s="58" t="s">
        <v>9</v>
      </c>
      <c r="L44" s="32" t="str">
        <f t="shared" ref="L44" si="33">CONCATENATE("", C44)</f>
        <v>Sistemas.Prediais</v>
      </c>
      <c r="M44" s="32" t="str">
        <f t="shared" ref="M44" si="34">CONCATENATE("", D44)</f>
        <v>Elementos.Hidráulicos</v>
      </c>
      <c r="N44" s="32" t="str">
        <f t="shared" ref="N44" si="35">(SUBSTITUTE(SUBSTITUTE(CONCATENATE("",E44),"."," ")," De "," de "))</f>
        <v>Esgoto Coletores</v>
      </c>
      <c r="O44" s="29" t="str">
        <f t="shared" si="13"/>
        <v>Tubo.de.Queda</v>
      </c>
      <c r="P44" s="51" t="s">
        <v>112</v>
      </c>
      <c r="Q44" s="29" t="s">
        <v>239</v>
      </c>
      <c r="R44" s="29" t="s">
        <v>326</v>
      </c>
      <c r="S44" s="29" t="s">
        <v>9</v>
      </c>
      <c r="T44" s="29" t="s">
        <v>151</v>
      </c>
      <c r="U44" s="29" t="s">
        <v>150</v>
      </c>
      <c r="V44" s="29" t="str">
        <f t="shared" ref="V44" si="36">SUBSTITUTE(E44, "_", " ")</f>
        <v>Esgoto.Coletores</v>
      </c>
      <c r="W44" s="29" t="s">
        <v>152</v>
      </c>
      <c r="X44" s="57" t="str">
        <f t="shared" si="8"/>
        <v>Key-HIDR-44</v>
      </c>
      <c r="Y44" s="28" t="s">
        <v>247</v>
      </c>
      <c r="Z44" s="61" t="s">
        <v>9</v>
      </c>
      <c r="AA44" s="28" t="s">
        <v>248</v>
      </c>
      <c r="AB44" s="61" t="s">
        <v>9</v>
      </c>
      <c r="AC44" s="29" t="s">
        <v>126</v>
      </c>
      <c r="AD44" s="61" t="s">
        <v>9</v>
      </c>
    </row>
    <row r="45" spans="1:30" ht="6.65" customHeight="1" x14ac:dyDescent="0.4">
      <c r="A45" s="56">
        <v>45</v>
      </c>
      <c r="B45" s="1" t="s">
        <v>243</v>
      </c>
      <c r="C45" s="41" t="s">
        <v>244</v>
      </c>
      <c r="D45" s="1" t="s">
        <v>245</v>
      </c>
      <c r="E45" s="41" t="s">
        <v>215</v>
      </c>
      <c r="F45" s="41" t="s">
        <v>210</v>
      </c>
      <c r="G45" s="58" t="s">
        <v>9</v>
      </c>
      <c r="H45" s="58" t="s">
        <v>9</v>
      </c>
      <c r="I45" s="58" t="s">
        <v>9</v>
      </c>
      <c r="J45" s="58" t="s">
        <v>9</v>
      </c>
      <c r="K45" s="58" t="s">
        <v>9</v>
      </c>
      <c r="L45" s="32" t="str">
        <f t="shared" ref="L45" si="37">CONCATENATE("", C45)</f>
        <v>Sistemas.Prediais</v>
      </c>
      <c r="M45" s="32" t="str">
        <f t="shared" ref="M45" si="38">CONCATENATE("", D45)</f>
        <v>Elementos.Hidráulicos</v>
      </c>
      <c r="N45" s="32" t="str">
        <f t="shared" ref="N45" si="39">(SUBSTITUTE(SUBSTITUTE(CONCATENATE("",E45),"."," ")," De "," de "))</f>
        <v>Esgoto Coletores</v>
      </c>
      <c r="O45" s="29" t="str">
        <f t="shared" si="13"/>
        <v>Fecho.Hidráulico</v>
      </c>
      <c r="P45" s="51" t="s">
        <v>113</v>
      </c>
      <c r="Q45" s="29" t="s">
        <v>121</v>
      </c>
      <c r="R45" s="29" t="s">
        <v>327</v>
      </c>
      <c r="S45" s="29" t="s">
        <v>9</v>
      </c>
      <c r="T45" s="29" t="s">
        <v>151</v>
      </c>
      <c r="U45" s="29" t="s">
        <v>150</v>
      </c>
      <c r="V45" s="29" t="str">
        <f t="shared" ref="V45" si="40">SUBSTITUTE(E45, "_", " ")</f>
        <v>Esgoto.Coletores</v>
      </c>
      <c r="W45" s="29" t="s">
        <v>152</v>
      </c>
      <c r="X45" s="57" t="str">
        <f t="shared" si="8"/>
        <v>Key-HIDR-45</v>
      </c>
      <c r="Y45" s="28" t="s">
        <v>247</v>
      </c>
      <c r="Z45" s="61" t="s">
        <v>9</v>
      </c>
      <c r="AA45" s="28" t="s">
        <v>248</v>
      </c>
      <c r="AB45" s="61" t="s">
        <v>9</v>
      </c>
      <c r="AC45" s="29" t="s">
        <v>126</v>
      </c>
      <c r="AD45" s="61" t="s">
        <v>9</v>
      </c>
    </row>
    <row r="46" spans="1:30" ht="6.65" customHeight="1" x14ac:dyDescent="0.4">
      <c r="A46" s="56">
        <v>46</v>
      </c>
      <c r="B46" s="1" t="s">
        <v>243</v>
      </c>
      <c r="C46" s="41" t="s">
        <v>244</v>
      </c>
      <c r="D46" s="1" t="s">
        <v>245</v>
      </c>
      <c r="E46" s="41" t="s">
        <v>216</v>
      </c>
      <c r="F46" s="41" t="s">
        <v>105</v>
      </c>
      <c r="G46" s="58" t="s">
        <v>9</v>
      </c>
      <c r="H46" s="58" t="s">
        <v>9</v>
      </c>
      <c r="I46" s="58" t="s">
        <v>9</v>
      </c>
      <c r="J46" s="58" t="s">
        <v>9</v>
      </c>
      <c r="K46" s="58" t="s">
        <v>9</v>
      </c>
      <c r="L46" s="32" t="str">
        <f t="shared" ref="L46:L50" si="41">CONCATENATE("", C46)</f>
        <v>Sistemas.Prediais</v>
      </c>
      <c r="M46" s="32" t="str">
        <f t="shared" ref="M46:M50" si="42">CONCATENATE("", D46)</f>
        <v>Elementos.Hidráulicos</v>
      </c>
      <c r="N46" s="32" t="str">
        <f t="shared" ref="N46:N50" si="43">(SUBSTITUTE(SUBSTITUTE(CONCATENATE("",E46),"."," ")," De "," de "))</f>
        <v>Esgoto Visitas</v>
      </c>
      <c r="O46" s="29" t="str">
        <f t="shared" si="13"/>
        <v>Caixa.de.Areia</v>
      </c>
      <c r="P46" s="51" t="s">
        <v>114</v>
      </c>
      <c r="Q46" s="29" t="s">
        <v>122</v>
      </c>
      <c r="R46" s="29" t="s">
        <v>328</v>
      </c>
      <c r="S46" s="29" t="s">
        <v>9</v>
      </c>
      <c r="T46" s="29" t="s">
        <v>151</v>
      </c>
      <c r="U46" s="29" t="s">
        <v>150</v>
      </c>
      <c r="V46" s="29" t="str">
        <f t="shared" ref="V46:V50" si="44">SUBSTITUTE(E46, "_", " ")</f>
        <v>Esgoto.Visitas</v>
      </c>
      <c r="W46" s="29" t="s">
        <v>152</v>
      </c>
      <c r="X46" s="57" t="str">
        <f t="shared" si="8"/>
        <v>Key-HIDR-46</v>
      </c>
      <c r="Y46" s="28" t="s">
        <v>247</v>
      </c>
      <c r="Z46" s="61" t="s">
        <v>9</v>
      </c>
      <c r="AA46" s="28" t="s">
        <v>248</v>
      </c>
      <c r="AB46" s="61" t="s">
        <v>9</v>
      </c>
      <c r="AC46" s="29" t="s">
        <v>126</v>
      </c>
      <c r="AD46" s="61" t="s">
        <v>9</v>
      </c>
    </row>
    <row r="47" spans="1:30" ht="6.65" customHeight="1" x14ac:dyDescent="0.4">
      <c r="A47" s="56">
        <v>47</v>
      </c>
      <c r="B47" s="1" t="s">
        <v>243</v>
      </c>
      <c r="C47" s="41" t="s">
        <v>244</v>
      </c>
      <c r="D47" s="1" t="s">
        <v>245</v>
      </c>
      <c r="E47" s="41" t="s">
        <v>216</v>
      </c>
      <c r="F47" s="41" t="s">
        <v>104</v>
      </c>
      <c r="G47" s="58" t="s">
        <v>9</v>
      </c>
      <c r="H47" s="58" t="s">
        <v>9</v>
      </c>
      <c r="I47" s="58" t="s">
        <v>9</v>
      </c>
      <c r="J47" s="58" t="s">
        <v>9</v>
      </c>
      <c r="K47" s="58" t="s">
        <v>9</v>
      </c>
      <c r="L47" s="32" t="str">
        <f t="shared" si="41"/>
        <v>Sistemas.Prediais</v>
      </c>
      <c r="M47" s="32" t="str">
        <f t="shared" si="42"/>
        <v>Elementos.Hidráulicos</v>
      </c>
      <c r="N47" s="32" t="str">
        <f t="shared" si="43"/>
        <v>Esgoto Visitas</v>
      </c>
      <c r="O47" s="29" t="str">
        <f t="shared" si="13"/>
        <v>Caixa.de.Gordura</v>
      </c>
      <c r="P47" s="51" t="s">
        <v>115</v>
      </c>
      <c r="Q47" s="29" t="s">
        <v>123</v>
      </c>
      <c r="R47" s="29" t="s">
        <v>329</v>
      </c>
      <c r="S47" s="29" t="s">
        <v>9</v>
      </c>
      <c r="T47" s="29" t="s">
        <v>151</v>
      </c>
      <c r="U47" s="29" t="s">
        <v>150</v>
      </c>
      <c r="V47" s="29" t="str">
        <f t="shared" si="44"/>
        <v>Esgoto.Visitas</v>
      </c>
      <c r="W47" s="29" t="s">
        <v>152</v>
      </c>
      <c r="X47" s="57" t="str">
        <f t="shared" si="8"/>
        <v>Key-HIDR-47</v>
      </c>
      <c r="Y47" s="28" t="s">
        <v>247</v>
      </c>
      <c r="Z47" s="61" t="s">
        <v>9</v>
      </c>
      <c r="AA47" s="28" t="s">
        <v>248</v>
      </c>
      <c r="AB47" s="61" t="s">
        <v>9</v>
      </c>
      <c r="AC47" s="29" t="s">
        <v>126</v>
      </c>
      <c r="AD47" s="61" t="s">
        <v>9</v>
      </c>
    </row>
    <row r="48" spans="1:30" ht="6.65" customHeight="1" x14ac:dyDescent="0.4">
      <c r="A48" s="56">
        <v>48</v>
      </c>
      <c r="B48" s="1" t="s">
        <v>243</v>
      </c>
      <c r="C48" s="41" t="s">
        <v>244</v>
      </c>
      <c r="D48" s="1" t="s">
        <v>245</v>
      </c>
      <c r="E48" s="41" t="s">
        <v>216</v>
      </c>
      <c r="F48" s="41" t="s">
        <v>102</v>
      </c>
      <c r="G48" s="58" t="s">
        <v>9</v>
      </c>
      <c r="H48" s="58" t="s">
        <v>9</v>
      </c>
      <c r="I48" s="58" t="s">
        <v>9</v>
      </c>
      <c r="J48" s="58" t="s">
        <v>9</v>
      </c>
      <c r="K48" s="58" t="s">
        <v>9</v>
      </c>
      <c r="L48" s="32" t="str">
        <f t="shared" ref="L48:L49" si="45">CONCATENATE("", C48)</f>
        <v>Sistemas.Prediais</v>
      </c>
      <c r="M48" s="32" t="str">
        <f t="shared" ref="M48:M49" si="46">CONCATENATE("", D48)</f>
        <v>Elementos.Hidráulicos</v>
      </c>
      <c r="N48" s="32" t="str">
        <f t="shared" ref="N48:N49" si="47">(SUBSTITUTE(SUBSTITUTE(CONCATENATE("",E48),"."," ")," De "," de "))</f>
        <v>Esgoto Visitas</v>
      </c>
      <c r="O48" s="29" t="str">
        <f t="shared" si="13"/>
        <v>Caixa.de.Inspeção</v>
      </c>
      <c r="P48" s="51" t="s">
        <v>116</v>
      </c>
      <c r="Q48" s="29" t="s">
        <v>236</v>
      </c>
      <c r="R48" s="29" t="s">
        <v>330</v>
      </c>
      <c r="S48" s="29" t="s">
        <v>9</v>
      </c>
      <c r="T48" s="29" t="s">
        <v>151</v>
      </c>
      <c r="U48" s="29" t="s">
        <v>150</v>
      </c>
      <c r="V48" s="29" t="str">
        <f t="shared" ref="V48:V49" si="48">SUBSTITUTE(E48, "_", " ")</f>
        <v>Esgoto.Visitas</v>
      </c>
      <c r="W48" s="29" t="s">
        <v>152</v>
      </c>
      <c r="X48" s="57" t="str">
        <f t="shared" si="8"/>
        <v>Key-HIDR-48</v>
      </c>
      <c r="Y48" s="28" t="s">
        <v>247</v>
      </c>
      <c r="Z48" s="61" t="s">
        <v>9</v>
      </c>
      <c r="AA48" s="28" t="s">
        <v>248</v>
      </c>
      <c r="AB48" s="61" t="s">
        <v>9</v>
      </c>
      <c r="AC48" s="29" t="s">
        <v>126</v>
      </c>
      <c r="AD48" s="61" t="s">
        <v>9</v>
      </c>
    </row>
    <row r="49" spans="1:30" ht="6.65" customHeight="1" x14ac:dyDescent="0.4">
      <c r="A49" s="56">
        <v>49</v>
      </c>
      <c r="B49" s="1" t="s">
        <v>243</v>
      </c>
      <c r="C49" s="41" t="s">
        <v>244</v>
      </c>
      <c r="D49" s="1" t="s">
        <v>245</v>
      </c>
      <c r="E49" s="41" t="s">
        <v>216</v>
      </c>
      <c r="F49" s="41" t="s">
        <v>106</v>
      </c>
      <c r="G49" s="58" t="s">
        <v>9</v>
      </c>
      <c r="H49" s="58" t="s">
        <v>9</v>
      </c>
      <c r="I49" s="58" t="s">
        <v>9</v>
      </c>
      <c r="J49" s="58" t="s">
        <v>9</v>
      </c>
      <c r="K49" s="58" t="s">
        <v>9</v>
      </c>
      <c r="L49" s="32" t="str">
        <f t="shared" si="45"/>
        <v>Sistemas.Prediais</v>
      </c>
      <c r="M49" s="32" t="str">
        <f t="shared" si="46"/>
        <v>Elementos.Hidráulicos</v>
      </c>
      <c r="N49" s="32" t="str">
        <f t="shared" si="47"/>
        <v>Esgoto Visitas</v>
      </c>
      <c r="O49" s="29" t="str">
        <f t="shared" si="13"/>
        <v>Caixa.Sifonada</v>
      </c>
      <c r="P49" s="51" t="s">
        <v>117</v>
      </c>
      <c r="Q49" s="29" t="s">
        <v>124</v>
      </c>
      <c r="R49" s="29" t="s">
        <v>331</v>
      </c>
      <c r="S49" s="29" t="s">
        <v>9</v>
      </c>
      <c r="T49" s="29" t="s">
        <v>151</v>
      </c>
      <c r="U49" s="29" t="s">
        <v>150</v>
      </c>
      <c r="V49" s="29" t="str">
        <f t="shared" si="48"/>
        <v>Esgoto.Visitas</v>
      </c>
      <c r="W49" s="29" t="s">
        <v>152</v>
      </c>
      <c r="X49" s="57" t="str">
        <f t="shared" si="8"/>
        <v>Key-HIDR-49</v>
      </c>
      <c r="Y49" s="28" t="s">
        <v>247</v>
      </c>
      <c r="Z49" s="61" t="s">
        <v>9</v>
      </c>
      <c r="AA49" s="28" t="s">
        <v>248</v>
      </c>
      <c r="AB49" s="61" t="s">
        <v>9</v>
      </c>
      <c r="AC49" s="29" t="s">
        <v>126</v>
      </c>
      <c r="AD49" s="61" t="s">
        <v>9</v>
      </c>
    </row>
    <row r="50" spans="1:30" ht="6.65" customHeight="1" x14ac:dyDescent="0.4">
      <c r="A50" s="56">
        <v>50</v>
      </c>
      <c r="B50" s="1" t="s">
        <v>243</v>
      </c>
      <c r="C50" s="41" t="s">
        <v>244</v>
      </c>
      <c r="D50" s="1" t="s">
        <v>245</v>
      </c>
      <c r="E50" s="41" t="s">
        <v>216</v>
      </c>
      <c r="F50" s="41" t="s">
        <v>103</v>
      </c>
      <c r="G50" s="58" t="s">
        <v>9</v>
      </c>
      <c r="H50" s="58" t="s">
        <v>9</v>
      </c>
      <c r="I50" s="58" t="s">
        <v>9</v>
      </c>
      <c r="J50" s="58" t="s">
        <v>9</v>
      </c>
      <c r="K50" s="58" t="s">
        <v>9</v>
      </c>
      <c r="L50" s="32" t="str">
        <f t="shared" si="41"/>
        <v>Sistemas.Prediais</v>
      </c>
      <c r="M50" s="32" t="str">
        <f t="shared" si="42"/>
        <v>Elementos.Hidráulicos</v>
      </c>
      <c r="N50" s="32" t="str">
        <f t="shared" si="43"/>
        <v>Esgoto Visitas</v>
      </c>
      <c r="O50" s="29" t="str">
        <f t="shared" si="13"/>
        <v>Poço.de.Visita</v>
      </c>
      <c r="P50" s="51" t="s">
        <v>118</v>
      </c>
      <c r="Q50" s="29" t="s">
        <v>125</v>
      </c>
      <c r="R50" s="29" t="s">
        <v>330</v>
      </c>
      <c r="S50" s="29" t="s">
        <v>9</v>
      </c>
      <c r="T50" s="29" t="s">
        <v>151</v>
      </c>
      <c r="U50" s="29" t="s">
        <v>150</v>
      </c>
      <c r="V50" s="29" t="str">
        <f t="shared" si="44"/>
        <v>Esgoto.Visitas</v>
      </c>
      <c r="W50" s="29" t="s">
        <v>152</v>
      </c>
      <c r="X50" s="57" t="str">
        <f t="shared" si="8"/>
        <v>Key-HIDR-50</v>
      </c>
      <c r="Y50" s="28" t="s">
        <v>247</v>
      </c>
      <c r="Z50" s="61" t="s">
        <v>9</v>
      </c>
      <c r="AA50" s="28" t="s">
        <v>248</v>
      </c>
      <c r="AB50" s="61" t="s">
        <v>9</v>
      </c>
      <c r="AC50" s="29" t="s">
        <v>126</v>
      </c>
      <c r="AD50" s="61" t="s">
        <v>9</v>
      </c>
    </row>
    <row r="51" spans="1:30" ht="6.65" customHeight="1" x14ac:dyDescent="0.4">
      <c r="A51" s="56">
        <v>51</v>
      </c>
      <c r="B51" s="1" t="s">
        <v>243</v>
      </c>
      <c r="C51" s="41" t="s">
        <v>244</v>
      </c>
      <c r="D51" s="1" t="s">
        <v>245</v>
      </c>
      <c r="E51" s="41" t="s">
        <v>217</v>
      </c>
      <c r="F51" s="41" t="s">
        <v>155</v>
      </c>
      <c r="G51" s="58" t="s">
        <v>9</v>
      </c>
      <c r="H51" s="58" t="s">
        <v>9</v>
      </c>
      <c r="I51" s="58" t="s">
        <v>9</v>
      </c>
      <c r="J51" s="58" t="s">
        <v>9</v>
      </c>
      <c r="K51" s="58" t="s">
        <v>9</v>
      </c>
      <c r="L51" s="32" t="str">
        <f t="shared" ref="L51" si="49">CONCATENATE("", C51)</f>
        <v>Sistemas.Prediais</v>
      </c>
      <c r="M51" s="32" t="str">
        <f t="shared" ref="M51" si="50">CONCATENATE("", D51)</f>
        <v>Elementos.Hidráulicos</v>
      </c>
      <c r="N51" s="32" t="str">
        <f t="shared" ref="N51" si="51">(SUBSTITUTE(SUBSTITUTE(CONCATENATE("",E51),"."," ")," De "," de "))</f>
        <v>Esgoto Acessórios</v>
      </c>
      <c r="O51" s="29" t="str">
        <f t="shared" si="13"/>
        <v>Acessório.Sanitário</v>
      </c>
      <c r="P51" s="51" t="s">
        <v>223</v>
      </c>
      <c r="Q51" s="51" t="s">
        <v>156</v>
      </c>
      <c r="R51" s="29" t="s">
        <v>332</v>
      </c>
      <c r="S51" s="29" t="s">
        <v>9</v>
      </c>
      <c r="T51" s="29" t="s">
        <v>151</v>
      </c>
      <c r="U51" s="29" t="s">
        <v>150</v>
      </c>
      <c r="V51" s="29" t="str">
        <f t="shared" ref="V51" si="52">SUBSTITUTE(E51, "_", " ")</f>
        <v>Esgoto.Acessórios</v>
      </c>
      <c r="W51" s="29" t="s">
        <v>152</v>
      </c>
      <c r="X51" s="57" t="str">
        <f t="shared" si="8"/>
        <v>Key-HIDR-51</v>
      </c>
      <c r="Y51" s="28" t="s">
        <v>235</v>
      </c>
      <c r="Z51" s="61" t="s">
        <v>9</v>
      </c>
      <c r="AA51" s="28" t="s">
        <v>234</v>
      </c>
      <c r="AB51" s="61" t="s">
        <v>9</v>
      </c>
      <c r="AC51" s="29" t="s">
        <v>126</v>
      </c>
      <c r="AD51" s="61" t="s">
        <v>9</v>
      </c>
    </row>
    <row r="52" spans="1:30" ht="6.65" customHeight="1" x14ac:dyDescent="0.4">
      <c r="A52" s="56">
        <v>52</v>
      </c>
      <c r="B52" s="1" t="s">
        <v>269</v>
      </c>
      <c r="C52" s="41" t="s">
        <v>270</v>
      </c>
      <c r="D52" s="1" t="s">
        <v>275</v>
      </c>
      <c r="E52" s="41" t="s">
        <v>276</v>
      </c>
      <c r="F52" s="41" t="s">
        <v>271</v>
      </c>
      <c r="G52" s="58" t="s">
        <v>9</v>
      </c>
      <c r="H52" s="58" t="s">
        <v>9</v>
      </c>
      <c r="I52" s="58" t="s">
        <v>9</v>
      </c>
      <c r="J52" s="58" t="s">
        <v>9</v>
      </c>
      <c r="K52" s="58" t="s">
        <v>9</v>
      </c>
      <c r="L52" s="32" t="str">
        <f t="shared" ref="L52" si="53">CONCATENATE("", C52)</f>
        <v>De.Tubulações</v>
      </c>
      <c r="M52" s="32" t="str">
        <f t="shared" ref="M52" si="54">CONCATENATE("", D52)</f>
        <v>Elementos.de.Instalações</v>
      </c>
      <c r="N52" s="32" t="str">
        <f t="shared" ref="N52" si="55">(SUBSTITUTE(SUBSTITUTE(CONCATENATE("",E52),"."," ")," De "," de "))</f>
        <v>Instalação De</v>
      </c>
      <c r="O52" s="29" t="str">
        <f t="shared" ref="O52" si="56">IF(ISNUMBER(FIND("Ifc",F52)),CONCATENATE("Classe IFC:   ",F52),CONCATENATE("",F52))</f>
        <v>Esgoto</v>
      </c>
      <c r="P52" s="51" t="s">
        <v>279</v>
      </c>
      <c r="Q52" s="51" t="s">
        <v>292</v>
      </c>
      <c r="R52" s="29" t="s">
        <v>333</v>
      </c>
      <c r="S52" s="29" t="s">
        <v>9</v>
      </c>
      <c r="T52" s="29" t="s">
        <v>151</v>
      </c>
      <c r="U52" s="29" t="s">
        <v>150</v>
      </c>
      <c r="V52" s="29" t="str">
        <f t="shared" ref="V52" si="57">SUBSTITUTE(E52, "_", " ")</f>
        <v>Instalação.De</v>
      </c>
      <c r="W52" s="29" t="s">
        <v>152</v>
      </c>
      <c r="X52" s="57" t="str">
        <f t="shared" ref="X52" si="58">CONCATENATE("Key-HIDR-",A52)</f>
        <v>Key-HIDR-52</v>
      </c>
      <c r="Y52" s="28" t="s">
        <v>247</v>
      </c>
      <c r="Z52" s="61" t="s">
        <v>9</v>
      </c>
      <c r="AA52" s="28" t="s">
        <v>248</v>
      </c>
      <c r="AB52" s="61" t="s">
        <v>9</v>
      </c>
      <c r="AC52" s="29" t="s">
        <v>126</v>
      </c>
      <c r="AD52" s="61" t="s">
        <v>9</v>
      </c>
    </row>
    <row r="53" spans="1:30" ht="6.65" customHeight="1" x14ac:dyDescent="0.4">
      <c r="A53" s="56">
        <v>53</v>
      </c>
      <c r="B53" s="1" t="s">
        <v>269</v>
      </c>
      <c r="C53" s="41" t="s">
        <v>270</v>
      </c>
      <c r="D53" s="1" t="s">
        <v>275</v>
      </c>
      <c r="E53" s="41" t="s">
        <v>276</v>
      </c>
      <c r="F53" s="41" t="s">
        <v>272</v>
      </c>
      <c r="G53" s="58" t="s">
        <v>9</v>
      </c>
      <c r="H53" s="58" t="s">
        <v>9</v>
      </c>
      <c r="I53" s="58" t="s">
        <v>9</v>
      </c>
      <c r="J53" s="58" t="s">
        <v>9</v>
      </c>
      <c r="K53" s="58" t="s">
        <v>9</v>
      </c>
      <c r="L53" s="32" t="str">
        <f t="shared" ref="L53:L55" si="59">CONCATENATE("", C53)</f>
        <v>De.Tubulações</v>
      </c>
      <c r="M53" s="32" t="str">
        <f t="shared" ref="M53:M55" si="60">CONCATENATE("", D53)</f>
        <v>Elementos.de.Instalações</v>
      </c>
      <c r="N53" s="32" t="str">
        <f t="shared" ref="N53:N55" si="61">(SUBSTITUTE(SUBSTITUTE(CONCATENATE("",E53),"."," ")," De "," de "))</f>
        <v>Instalação De</v>
      </c>
      <c r="O53" s="29" t="str">
        <f t="shared" ref="O53:O55" si="62">IF(ISNUMBER(FIND("Ifc",F53)),CONCATENATE("Classe IFC:   ",F53),CONCATENATE("",F53))</f>
        <v>AF</v>
      </c>
      <c r="P53" s="51" t="s">
        <v>280</v>
      </c>
      <c r="Q53" s="51" t="s">
        <v>293</v>
      </c>
      <c r="R53" s="29" t="s">
        <v>334</v>
      </c>
      <c r="S53" s="29" t="s">
        <v>9</v>
      </c>
      <c r="T53" s="29" t="s">
        <v>151</v>
      </c>
      <c r="U53" s="29" t="s">
        <v>150</v>
      </c>
      <c r="V53" s="29" t="str">
        <f t="shared" ref="V53:V55" si="63">SUBSTITUTE(E53, "_", " ")</f>
        <v>Instalação.De</v>
      </c>
      <c r="W53" s="29" t="s">
        <v>152</v>
      </c>
      <c r="X53" s="57" t="str">
        <f t="shared" ref="X53:X61" si="64">CONCATENATE("Key-HIDR-",A53)</f>
        <v>Key-HIDR-53</v>
      </c>
      <c r="Y53" s="28" t="s">
        <v>247</v>
      </c>
      <c r="Z53" s="61" t="s">
        <v>9</v>
      </c>
      <c r="AA53" s="28" t="s">
        <v>248</v>
      </c>
      <c r="AB53" s="61" t="s">
        <v>9</v>
      </c>
      <c r="AC53" s="29" t="s">
        <v>154</v>
      </c>
      <c r="AD53" s="61" t="s">
        <v>9</v>
      </c>
    </row>
    <row r="54" spans="1:30" ht="6.65" customHeight="1" x14ac:dyDescent="0.4">
      <c r="A54" s="56">
        <v>54</v>
      </c>
      <c r="B54" s="1" t="s">
        <v>269</v>
      </c>
      <c r="C54" s="41" t="s">
        <v>270</v>
      </c>
      <c r="D54" s="1" t="s">
        <v>275</v>
      </c>
      <c r="E54" s="41" t="s">
        <v>276</v>
      </c>
      <c r="F54" s="41" t="s">
        <v>273</v>
      </c>
      <c r="G54" s="58" t="s">
        <v>9</v>
      </c>
      <c r="H54" s="58" t="s">
        <v>9</v>
      </c>
      <c r="I54" s="58" t="s">
        <v>9</v>
      </c>
      <c r="J54" s="58" t="s">
        <v>9</v>
      </c>
      <c r="K54" s="58" t="s">
        <v>9</v>
      </c>
      <c r="L54" s="32" t="str">
        <f t="shared" si="59"/>
        <v>De.Tubulações</v>
      </c>
      <c r="M54" s="32" t="str">
        <f t="shared" si="60"/>
        <v>Elementos.de.Instalações</v>
      </c>
      <c r="N54" s="32" t="str">
        <f t="shared" si="61"/>
        <v>Instalação De</v>
      </c>
      <c r="O54" s="29" t="str">
        <f t="shared" si="62"/>
        <v>AQ</v>
      </c>
      <c r="P54" s="51" t="s">
        <v>281</v>
      </c>
      <c r="Q54" s="51" t="s">
        <v>294</v>
      </c>
      <c r="R54" s="29" t="s">
        <v>335</v>
      </c>
      <c r="S54" s="29" t="s">
        <v>9</v>
      </c>
      <c r="T54" s="29" t="s">
        <v>151</v>
      </c>
      <c r="U54" s="29" t="s">
        <v>150</v>
      </c>
      <c r="V54" s="29" t="str">
        <f t="shared" si="63"/>
        <v>Instalação.De</v>
      </c>
      <c r="W54" s="29" t="s">
        <v>152</v>
      </c>
      <c r="X54" s="57" t="str">
        <f t="shared" si="64"/>
        <v>Key-HIDR-54</v>
      </c>
      <c r="Y54" s="28" t="s">
        <v>247</v>
      </c>
      <c r="Z54" s="61" t="s">
        <v>9</v>
      </c>
      <c r="AA54" s="28" t="s">
        <v>248</v>
      </c>
      <c r="AB54" s="61" t="s">
        <v>9</v>
      </c>
      <c r="AC54" s="29" t="s">
        <v>154</v>
      </c>
      <c r="AD54" s="61" t="s">
        <v>9</v>
      </c>
    </row>
    <row r="55" spans="1:30" ht="6.65" customHeight="1" x14ac:dyDescent="0.4">
      <c r="A55" s="56">
        <v>55</v>
      </c>
      <c r="B55" s="1" t="s">
        <v>269</v>
      </c>
      <c r="C55" s="41" t="s">
        <v>270</v>
      </c>
      <c r="D55" s="1" t="s">
        <v>275</v>
      </c>
      <c r="E55" s="41" t="s">
        <v>276</v>
      </c>
      <c r="F55" s="41" t="s">
        <v>274</v>
      </c>
      <c r="G55" s="58" t="s">
        <v>9</v>
      </c>
      <c r="H55" s="58" t="s">
        <v>9</v>
      </c>
      <c r="I55" s="58" t="s">
        <v>9</v>
      </c>
      <c r="J55" s="58" t="s">
        <v>9</v>
      </c>
      <c r="K55" s="58" t="s">
        <v>9</v>
      </c>
      <c r="L55" s="32" t="str">
        <f t="shared" si="59"/>
        <v>De.Tubulações</v>
      </c>
      <c r="M55" s="32" t="str">
        <f t="shared" si="60"/>
        <v>Elementos.de.Instalações</v>
      </c>
      <c r="N55" s="32" t="str">
        <f t="shared" si="61"/>
        <v>Instalação De</v>
      </c>
      <c r="O55" s="29" t="str">
        <f t="shared" si="62"/>
        <v>Pluvial</v>
      </c>
      <c r="P55" s="51" t="s">
        <v>282</v>
      </c>
      <c r="Q55" s="51" t="s">
        <v>295</v>
      </c>
      <c r="R55" s="29" t="s">
        <v>336</v>
      </c>
      <c r="S55" s="29" t="s">
        <v>9</v>
      </c>
      <c r="T55" s="29" t="s">
        <v>151</v>
      </c>
      <c r="U55" s="29" t="s">
        <v>150</v>
      </c>
      <c r="V55" s="29" t="str">
        <f t="shared" si="63"/>
        <v>Instalação.De</v>
      </c>
      <c r="W55" s="29" t="s">
        <v>152</v>
      </c>
      <c r="X55" s="57" t="str">
        <f t="shared" si="64"/>
        <v>Key-HIDR-55</v>
      </c>
      <c r="Y55" s="28" t="s">
        <v>247</v>
      </c>
      <c r="Z55" s="61" t="s">
        <v>9</v>
      </c>
      <c r="AA55" s="28" t="s">
        <v>248</v>
      </c>
      <c r="AB55" s="61" t="s">
        <v>9</v>
      </c>
      <c r="AC55" s="29" t="s">
        <v>126</v>
      </c>
      <c r="AD55" s="61" t="s">
        <v>9</v>
      </c>
    </row>
    <row r="56" spans="1:30" ht="6.65" customHeight="1" x14ac:dyDescent="0.4">
      <c r="A56" s="56">
        <v>56</v>
      </c>
      <c r="B56" s="1" t="s">
        <v>269</v>
      </c>
      <c r="C56" s="41" t="s">
        <v>270</v>
      </c>
      <c r="D56" s="1" t="s">
        <v>275</v>
      </c>
      <c r="E56" s="41" t="s">
        <v>276</v>
      </c>
      <c r="F56" s="41" t="s">
        <v>277</v>
      </c>
      <c r="G56" s="58" t="s">
        <v>9</v>
      </c>
      <c r="H56" s="58" t="s">
        <v>9</v>
      </c>
      <c r="I56" s="58" t="s">
        <v>9</v>
      </c>
      <c r="J56" s="58" t="s">
        <v>9</v>
      </c>
      <c r="K56" s="58" t="s">
        <v>9</v>
      </c>
      <c r="L56" s="32" t="str">
        <f t="shared" ref="L56" si="65">CONCATENATE("", C56)</f>
        <v>De.Tubulações</v>
      </c>
      <c r="M56" s="32" t="str">
        <f t="shared" ref="M56" si="66">CONCATENATE("", D56)</f>
        <v>Elementos.de.Instalações</v>
      </c>
      <c r="N56" s="32" t="str">
        <f t="shared" ref="N56" si="67">(SUBSTITUTE(SUBSTITUTE(CONCATENATE("",E56),"."," ")," De "," de "))</f>
        <v>Instalação De</v>
      </c>
      <c r="O56" s="29" t="str">
        <f t="shared" ref="O56" si="68">IF(ISNUMBER(FIND("Ifc",F56)),CONCATENATE("Classe IFC:   ",F56),CONCATENATE("",F56))</f>
        <v>Ventilação</v>
      </c>
      <c r="P56" s="51" t="s">
        <v>278</v>
      </c>
      <c r="Q56" s="51" t="s">
        <v>296</v>
      </c>
      <c r="R56" s="29" t="s">
        <v>337</v>
      </c>
      <c r="S56" s="29" t="s">
        <v>9</v>
      </c>
      <c r="T56" s="29" t="s">
        <v>151</v>
      </c>
      <c r="U56" s="29" t="s">
        <v>150</v>
      </c>
      <c r="V56" s="29" t="str">
        <f t="shared" ref="V56" si="69">SUBSTITUTE(E56, "_", " ")</f>
        <v>Instalação.De</v>
      </c>
      <c r="W56" s="29" t="s">
        <v>152</v>
      </c>
      <c r="X56" s="57" t="str">
        <f t="shared" si="64"/>
        <v>Key-HIDR-56</v>
      </c>
      <c r="Y56" s="28" t="s">
        <v>247</v>
      </c>
      <c r="Z56" s="61" t="s">
        <v>9</v>
      </c>
      <c r="AA56" s="28" t="s">
        <v>248</v>
      </c>
      <c r="AB56" s="61" t="s">
        <v>9</v>
      </c>
      <c r="AC56" s="29" t="s">
        <v>126</v>
      </c>
      <c r="AD56" s="61" t="s">
        <v>9</v>
      </c>
    </row>
    <row r="57" spans="1:30" s="62" customFormat="1" ht="6.75" customHeight="1" x14ac:dyDescent="0.25">
      <c r="A57" s="56">
        <v>57</v>
      </c>
      <c r="B57" s="1" t="s">
        <v>269</v>
      </c>
      <c r="C57" s="63" t="s">
        <v>342</v>
      </c>
      <c r="D57" s="63" t="s">
        <v>344</v>
      </c>
      <c r="E57" s="63" t="s">
        <v>343</v>
      </c>
      <c r="F57" s="63" t="s">
        <v>345</v>
      </c>
      <c r="G57" s="58" t="s">
        <v>9</v>
      </c>
      <c r="H57" s="58" t="s">
        <v>9</v>
      </c>
      <c r="I57" s="58" t="s">
        <v>9</v>
      </c>
      <c r="J57" s="58" t="s">
        <v>9</v>
      </c>
      <c r="K57" s="58" t="s">
        <v>9</v>
      </c>
      <c r="L57" s="32" t="str">
        <f t="shared" ref="L57:O61" si="70">SUBSTITUTE(CONCATENATE("", C57), ".", " ")</f>
        <v>De API</v>
      </c>
      <c r="M57" s="32" t="str">
        <f t="shared" si="70"/>
        <v>Macros</v>
      </c>
      <c r="N57" s="32" t="str">
        <f t="shared" si="70"/>
        <v>Métodos</v>
      </c>
      <c r="O57" s="32" t="str">
        <f t="shared" si="70"/>
        <v>Função Auxiliar</v>
      </c>
      <c r="P57" s="29" t="s">
        <v>346</v>
      </c>
      <c r="Q57" s="29" t="s">
        <v>347</v>
      </c>
      <c r="R57" s="29" t="s">
        <v>348</v>
      </c>
      <c r="S57" s="29" t="s">
        <v>9</v>
      </c>
      <c r="T57" s="29" t="str">
        <f t="shared" ref="T57:V61" si="71">SUBSTITUTE(C57, ".", " ")</f>
        <v>De API</v>
      </c>
      <c r="U57" s="29" t="str">
        <f t="shared" si="71"/>
        <v>Macros</v>
      </c>
      <c r="V57" s="60" t="str">
        <f t="shared" si="71"/>
        <v>Métodos</v>
      </c>
      <c r="W57" s="29" t="s">
        <v>152</v>
      </c>
      <c r="X57" s="57" t="str">
        <f t="shared" si="64"/>
        <v>Key-HIDR-57</v>
      </c>
      <c r="Y57" s="61" t="s">
        <v>9</v>
      </c>
      <c r="Z57" s="61" t="s">
        <v>9</v>
      </c>
      <c r="AA57" s="61" t="s">
        <v>9</v>
      </c>
      <c r="AB57" s="61" t="s">
        <v>9</v>
      </c>
      <c r="AC57" s="61" t="s">
        <v>9</v>
      </c>
      <c r="AD57" s="61" t="s">
        <v>9</v>
      </c>
    </row>
    <row r="58" spans="1:30" s="62" customFormat="1" ht="6.75" customHeight="1" x14ac:dyDescent="0.25">
      <c r="A58" s="56">
        <v>58</v>
      </c>
      <c r="B58" s="1" t="s">
        <v>269</v>
      </c>
      <c r="C58" s="63" t="s">
        <v>342</v>
      </c>
      <c r="D58" s="63" t="s">
        <v>344</v>
      </c>
      <c r="E58" s="63" t="s">
        <v>343</v>
      </c>
      <c r="F58" s="63" t="s">
        <v>349</v>
      </c>
      <c r="G58" s="58" t="s">
        <v>9</v>
      </c>
      <c r="H58" s="58" t="s">
        <v>9</v>
      </c>
      <c r="I58" s="58" t="s">
        <v>9</v>
      </c>
      <c r="J58" s="58" t="s">
        <v>9</v>
      </c>
      <c r="K58" s="58" t="s">
        <v>9</v>
      </c>
      <c r="L58" s="32" t="str">
        <f t="shared" si="70"/>
        <v>De API</v>
      </c>
      <c r="M58" s="32" t="str">
        <f t="shared" si="70"/>
        <v>Macros</v>
      </c>
      <c r="N58" s="32" t="str">
        <f t="shared" si="70"/>
        <v>Métodos</v>
      </c>
      <c r="O58" s="32" t="str">
        <f t="shared" si="70"/>
        <v>Função Global</v>
      </c>
      <c r="P58" s="29" t="s">
        <v>350</v>
      </c>
      <c r="Q58" s="29" t="s">
        <v>351</v>
      </c>
      <c r="R58" s="29" t="s">
        <v>352</v>
      </c>
      <c r="S58" s="29" t="s">
        <v>9</v>
      </c>
      <c r="T58" s="29" t="str">
        <f t="shared" si="71"/>
        <v>De API</v>
      </c>
      <c r="U58" s="29" t="str">
        <f t="shared" si="71"/>
        <v>Macros</v>
      </c>
      <c r="V58" s="60" t="str">
        <f t="shared" si="71"/>
        <v>Métodos</v>
      </c>
      <c r="W58" s="29" t="s">
        <v>152</v>
      </c>
      <c r="X58" s="57" t="str">
        <f t="shared" si="64"/>
        <v>Key-HIDR-58</v>
      </c>
      <c r="Y58" s="61" t="s">
        <v>9</v>
      </c>
      <c r="Z58" s="61" t="s">
        <v>9</v>
      </c>
      <c r="AA58" s="61" t="s">
        <v>9</v>
      </c>
      <c r="AB58" s="61" t="s">
        <v>9</v>
      </c>
      <c r="AC58" s="61" t="s">
        <v>9</v>
      </c>
      <c r="AD58" s="61" t="s">
        <v>9</v>
      </c>
    </row>
    <row r="59" spans="1:30" s="62" customFormat="1" ht="6.75" customHeight="1" x14ac:dyDescent="0.25">
      <c r="A59" s="56">
        <v>59</v>
      </c>
      <c r="B59" s="1" t="s">
        <v>269</v>
      </c>
      <c r="C59" s="63" t="s">
        <v>342</v>
      </c>
      <c r="D59" s="63" t="s">
        <v>344</v>
      </c>
      <c r="E59" s="63" t="s">
        <v>343</v>
      </c>
      <c r="F59" s="63" t="s">
        <v>353</v>
      </c>
      <c r="G59" s="58" t="s">
        <v>9</v>
      </c>
      <c r="H59" s="58" t="s">
        <v>9</v>
      </c>
      <c r="I59" s="58" t="s">
        <v>9</v>
      </c>
      <c r="J59" s="58" t="s">
        <v>9</v>
      </c>
      <c r="K59" s="58" t="s">
        <v>9</v>
      </c>
      <c r="L59" s="32" t="str">
        <f t="shared" si="70"/>
        <v>De API</v>
      </c>
      <c r="M59" s="32" t="str">
        <f t="shared" si="70"/>
        <v>Macros</v>
      </c>
      <c r="N59" s="32" t="str">
        <f t="shared" si="70"/>
        <v>Métodos</v>
      </c>
      <c r="O59" s="32" t="str">
        <f t="shared" si="70"/>
        <v>Função Local</v>
      </c>
      <c r="P59" s="29" t="s">
        <v>354</v>
      </c>
      <c r="Q59" s="29" t="s">
        <v>355</v>
      </c>
      <c r="R59" s="29" t="s">
        <v>356</v>
      </c>
      <c r="S59" s="29" t="s">
        <v>9</v>
      </c>
      <c r="T59" s="29" t="str">
        <f t="shared" si="71"/>
        <v>De API</v>
      </c>
      <c r="U59" s="29" t="str">
        <f t="shared" si="71"/>
        <v>Macros</v>
      </c>
      <c r="V59" s="60" t="str">
        <f t="shared" si="71"/>
        <v>Métodos</v>
      </c>
      <c r="W59" s="29" t="s">
        <v>152</v>
      </c>
      <c r="X59" s="57" t="str">
        <f t="shared" si="64"/>
        <v>Key-HIDR-59</v>
      </c>
      <c r="Y59" s="61" t="s">
        <v>9</v>
      </c>
      <c r="Z59" s="61" t="s">
        <v>9</v>
      </c>
      <c r="AA59" s="61" t="s">
        <v>9</v>
      </c>
      <c r="AB59" s="61" t="s">
        <v>9</v>
      </c>
      <c r="AC59" s="61" t="s">
        <v>9</v>
      </c>
      <c r="AD59" s="61" t="s">
        <v>9</v>
      </c>
    </row>
    <row r="60" spans="1:30" s="62" customFormat="1" ht="6.75" customHeight="1" x14ac:dyDescent="0.25">
      <c r="A60" s="56">
        <v>60</v>
      </c>
      <c r="B60" s="1" t="s">
        <v>269</v>
      </c>
      <c r="C60" s="63" t="s">
        <v>342</v>
      </c>
      <c r="D60" s="63" t="s">
        <v>344</v>
      </c>
      <c r="E60" s="63" t="s">
        <v>343</v>
      </c>
      <c r="F60" s="63" t="s">
        <v>357</v>
      </c>
      <c r="G60" s="58" t="s">
        <v>9</v>
      </c>
      <c r="H60" s="58" t="s">
        <v>9</v>
      </c>
      <c r="I60" s="58" t="s">
        <v>9</v>
      </c>
      <c r="J60" s="58" t="s">
        <v>9</v>
      </c>
      <c r="K60" s="58" t="s">
        <v>9</v>
      </c>
      <c r="L60" s="32" t="str">
        <f t="shared" si="70"/>
        <v>De API</v>
      </c>
      <c r="M60" s="32" t="str">
        <f t="shared" si="70"/>
        <v>Macros</v>
      </c>
      <c r="N60" s="32" t="str">
        <f t="shared" si="70"/>
        <v>Métodos</v>
      </c>
      <c r="O60" s="32" t="str">
        <f t="shared" si="70"/>
        <v>Função Filtro</v>
      </c>
      <c r="P60" s="29" t="s">
        <v>358</v>
      </c>
      <c r="Q60" s="29" t="s">
        <v>359</v>
      </c>
      <c r="R60" s="29" t="s">
        <v>360</v>
      </c>
      <c r="S60" s="29" t="s">
        <v>9</v>
      </c>
      <c r="T60" s="29" t="str">
        <f t="shared" si="71"/>
        <v>De API</v>
      </c>
      <c r="U60" s="29" t="str">
        <f t="shared" si="71"/>
        <v>Macros</v>
      </c>
      <c r="V60" s="60" t="str">
        <f t="shared" si="71"/>
        <v>Métodos</v>
      </c>
      <c r="W60" s="29" t="s">
        <v>152</v>
      </c>
      <c r="X60" s="57" t="str">
        <f t="shared" si="64"/>
        <v>Key-HIDR-60</v>
      </c>
      <c r="Y60" s="61" t="s">
        <v>9</v>
      </c>
      <c r="Z60" s="61" t="s">
        <v>9</v>
      </c>
      <c r="AA60" s="61" t="s">
        <v>9</v>
      </c>
      <c r="AB60" s="61" t="s">
        <v>9</v>
      </c>
      <c r="AC60" s="61" t="s">
        <v>9</v>
      </c>
      <c r="AD60" s="61" t="s">
        <v>9</v>
      </c>
    </row>
    <row r="61" spans="1:30" s="62" customFormat="1" ht="6.75" customHeight="1" x14ac:dyDescent="0.25">
      <c r="A61" s="56">
        <v>61</v>
      </c>
      <c r="B61" s="1" t="s">
        <v>269</v>
      </c>
      <c r="C61" s="63" t="s">
        <v>342</v>
      </c>
      <c r="D61" s="63" t="s">
        <v>344</v>
      </c>
      <c r="E61" s="63" t="s">
        <v>361</v>
      </c>
      <c r="F61" s="63" t="s">
        <v>362</v>
      </c>
      <c r="G61" s="58" t="s">
        <v>9</v>
      </c>
      <c r="H61" s="58" t="s">
        <v>9</v>
      </c>
      <c r="I61" s="58" t="s">
        <v>9</v>
      </c>
      <c r="J61" s="58" t="s">
        <v>9</v>
      </c>
      <c r="K61" s="58" t="s">
        <v>9</v>
      </c>
      <c r="L61" s="32" t="str">
        <f t="shared" si="70"/>
        <v>De API</v>
      </c>
      <c r="M61" s="32" t="str">
        <f t="shared" si="70"/>
        <v>Macros</v>
      </c>
      <c r="N61" s="32" t="str">
        <f t="shared" si="70"/>
        <v>Códigos Visuais</v>
      </c>
      <c r="O61" s="32" t="str">
        <f t="shared" si="70"/>
        <v>Bloco de Código</v>
      </c>
      <c r="P61" s="29" t="s">
        <v>363</v>
      </c>
      <c r="Q61" s="29" t="s">
        <v>364</v>
      </c>
      <c r="R61" s="29" t="s">
        <v>365</v>
      </c>
      <c r="S61" s="29" t="s">
        <v>9</v>
      </c>
      <c r="T61" s="29" t="str">
        <f t="shared" si="71"/>
        <v>De API</v>
      </c>
      <c r="U61" s="29" t="str">
        <f t="shared" si="71"/>
        <v>Macros</v>
      </c>
      <c r="V61" s="60" t="str">
        <f t="shared" si="71"/>
        <v>Códigos Visuais</v>
      </c>
      <c r="W61" s="29" t="s">
        <v>152</v>
      </c>
      <c r="X61" s="57" t="str">
        <f t="shared" si="64"/>
        <v>Key-HIDR-61</v>
      </c>
      <c r="Y61" s="61" t="s">
        <v>9</v>
      </c>
      <c r="Z61" s="61" t="s">
        <v>9</v>
      </c>
      <c r="AA61" s="61" t="s">
        <v>9</v>
      </c>
      <c r="AB61" s="61" t="s">
        <v>9</v>
      </c>
      <c r="AC61" s="61" t="s">
        <v>9</v>
      </c>
      <c r="AD61" s="61" t="s">
        <v>9</v>
      </c>
    </row>
  </sheetData>
  <sortState xmlns:xlrd2="http://schemas.microsoft.com/office/spreadsheetml/2017/richdata2" ref="A13:AC942">
    <sortCondition ref="F13:F942"/>
  </sortState>
  <phoneticPr fontId="1" type="noConversion"/>
  <conditionalFormatting sqref="A2:B61">
    <cfRule type="cellIs" dxfId="46" priority="1" operator="equal">
      <formula>"null"</formula>
    </cfRule>
  </conditionalFormatting>
  <conditionalFormatting sqref="E61:F61">
    <cfRule type="duplicateValues" dxfId="45" priority="19"/>
  </conditionalFormatting>
  <conditionalFormatting sqref="F1">
    <cfRule type="duplicateValues" dxfId="44" priority="1529"/>
  </conditionalFormatting>
  <conditionalFormatting sqref="F2:F7">
    <cfRule type="duplicateValues" dxfId="43" priority="8"/>
    <cfRule type="duplicateValues" dxfId="42" priority="9"/>
    <cfRule type="duplicateValues" dxfId="41" priority="10"/>
    <cfRule type="duplicateValues" dxfId="40" priority="11"/>
    <cfRule type="duplicateValues" dxfId="39" priority="12"/>
  </conditionalFormatting>
  <conditionalFormatting sqref="F8:F9">
    <cfRule type="duplicateValues" dxfId="38" priority="3"/>
    <cfRule type="duplicateValues" dxfId="37" priority="4"/>
    <cfRule type="duplicateValues" dxfId="36" priority="5"/>
    <cfRule type="duplicateValues" dxfId="35" priority="6"/>
    <cfRule type="duplicateValues" dxfId="34" priority="7"/>
  </conditionalFormatting>
  <conditionalFormatting sqref="F10">
    <cfRule type="duplicateValues" dxfId="33" priority="13"/>
    <cfRule type="duplicateValues" dxfId="32" priority="14"/>
    <cfRule type="duplicateValues" dxfId="31" priority="15"/>
    <cfRule type="duplicateValues" dxfId="30" priority="16"/>
    <cfRule type="duplicateValues" dxfId="29" priority="17"/>
  </conditionalFormatting>
  <conditionalFormatting sqref="F22">
    <cfRule type="duplicateValues" dxfId="28" priority="59"/>
  </conditionalFormatting>
  <conditionalFormatting sqref="F41">
    <cfRule type="duplicateValues" dxfId="27" priority="79"/>
  </conditionalFormatting>
  <conditionalFormatting sqref="F44 F23:F39 F46:F56 F1 F62:F1048576 F11:F21">
    <cfRule type="duplicateValues" dxfId="26" priority="81"/>
  </conditionalFormatting>
  <conditionalFormatting sqref="F57:F60">
    <cfRule type="duplicateValues" dxfId="25" priority="20"/>
  </conditionalFormatting>
  <conditionalFormatting sqref="F62:F1048576 F1 F11:F56">
    <cfRule type="duplicateValues" dxfId="24" priority="57"/>
  </conditionalFormatting>
  <conditionalFormatting sqref="F62:F1048576">
    <cfRule type="duplicateValues" dxfId="23" priority="286"/>
    <cfRule type="duplicateValues" dxfId="22" priority="288"/>
    <cfRule type="duplicateValues" dxfId="21" priority="1501"/>
    <cfRule type="duplicateValues" dxfId="20" priority="1522"/>
  </conditionalFormatting>
  <conditionalFormatting sqref="F1:O1 A1:D1">
    <cfRule type="cellIs" dxfId="19" priority="93" operator="equal">
      <formula>"null"</formula>
    </cfRule>
  </conditionalFormatting>
  <conditionalFormatting sqref="P11:P15">
    <cfRule type="duplicateValues" dxfId="18" priority="1554"/>
  </conditionalFormatting>
  <conditionalFormatting sqref="P16:P21 P23:P32">
    <cfRule type="duplicateValues" dxfId="17" priority="1542"/>
  </conditionalFormatting>
  <conditionalFormatting sqref="P33:P38">
    <cfRule type="duplicateValues" dxfId="16" priority="62"/>
  </conditionalFormatting>
  <conditionalFormatting sqref="P39">
    <cfRule type="duplicateValues" dxfId="15" priority="1535"/>
  </conditionalFormatting>
  <conditionalFormatting sqref="Q11:Q14">
    <cfRule type="duplicateValues" dxfId="14" priority="63"/>
  </conditionalFormatting>
  <conditionalFormatting sqref="Q15">
    <cfRule type="duplicateValues" dxfId="13" priority="34"/>
  </conditionalFormatting>
  <conditionalFormatting sqref="Q32">
    <cfRule type="duplicateValues" dxfId="12" priority="65"/>
  </conditionalFormatting>
  <conditionalFormatting sqref="Q39">
    <cfRule type="duplicateValues" dxfId="11" priority="1536"/>
  </conditionalFormatting>
  <conditionalFormatting sqref="Q1:Z1">
    <cfRule type="cellIs" dxfId="10" priority="32" operator="equal">
      <formula>"null"</formula>
    </cfRule>
  </conditionalFormatting>
  <conditionalFormatting sqref="Y2:Y10 AA2:AA10 AC2:AC10 R2:R56">
    <cfRule type="cellIs" dxfId="9" priority="2" operator="equal">
      <formula>"null"</formula>
    </cfRule>
  </conditionalFormatting>
  <conditionalFormatting sqref="AB1:AD1">
    <cfRule type="cellIs" dxfId="8" priority="58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2"/>
  <sheetViews>
    <sheetView zoomScale="180" zoomScaleNormal="180" workbookViewId="0">
      <selection activeCell="A3" sqref="A3:XFD3"/>
    </sheetView>
  </sheetViews>
  <sheetFormatPr defaultColWidth="11.15234375" defaultRowHeight="7.75" x14ac:dyDescent="0.2"/>
  <cols>
    <col min="1" max="1" width="2.84375" style="9" customWidth="1"/>
    <col min="2" max="10" width="6.53515625" style="10" customWidth="1"/>
    <col min="11" max="21" width="6.53515625" style="8" customWidth="1"/>
    <col min="22" max="16384" width="11.15234375" style="8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</sheetData>
  <conditionalFormatting sqref="A1:XFD1048576">
    <cfRule type="cellIs" dxfId="7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19"/>
  <sheetViews>
    <sheetView zoomScale="190" zoomScaleNormal="190" workbookViewId="0">
      <pane ySplit="1" topLeftCell="A2" activePane="bottomLeft" state="frozen"/>
      <selection pane="bottomLeft" activeCell="A2" sqref="A2"/>
    </sheetView>
  </sheetViews>
  <sheetFormatPr defaultColWidth="11.53515625" defaultRowHeight="7.95" customHeight="1" x14ac:dyDescent="0.4"/>
  <cols>
    <col min="1" max="1" width="2.53515625" bestFit="1" customWidth="1"/>
    <col min="2" max="2" width="9.3046875" bestFit="1" customWidth="1"/>
    <col min="3" max="3" width="13.3046875" bestFit="1" customWidth="1"/>
    <col min="4" max="4" width="8.69140625" bestFit="1" customWidth="1"/>
    <col min="5" max="5" width="7.84375" customWidth="1"/>
    <col min="6" max="6" width="6" bestFit="1" customWidth="1"/>
    <col min="7" max="7" width="60.15234375" customWidth="1"/>
    <col min="8" max="8" width="6" bestFit="1" customWidth="1"/>
    <col min="9" max="9" width="19.3828125" customWidth="1"/>
    <col min="10" max="10" width="8.3046875" bestFit="1" customWidth="1"/>
    <col min="11" max="11" width="4.84375" bestFit="1" customWidth="1"/>
    <col min="12" max="12" width="8.3828125" bestFit="1" customWidth="1"/>
    <col min="13" max="13" width="24" bestFit="1" customWidth="1"/>
    <col min="14" max="14" width="8.3828125" bestFit="1" customWidth="1"/>
    <col min="15" max="15" width="23.84375" bestFit="1" customWidth="1"/>
    <col min="16" max="16" width="5.69140625" bestFit="1" customWidth="1"/>
    <col min="17" max="17" width="19.69140625" bestFit="1" customWidth="1"/>
    <col min="18" max="18" width="7.3046875" bestFit="1" customWidth="1"/>
    <col min="19" max="19" width="8.3828125" bestFit="1" customWidth="1"/>
  </cols>
  <sheetData>
    <row r="1" spans="1:19" ht="14.7" customHeight="1" x14ac:dyDescent="0.4">
      <c r="A1" s="16" t="s">
        <v>10</v>
      </c>
      <c r="B1" s="17" t="s">
        <v>73</v>
      </c>
      <c r="C1" s="17" t="s">
        <v>74</v>
      </c>
      <c r="D1" s="18" t="s">
        <v>75</v>
      </c>
      <c r="E1" s="18" t="s">
        <v>78</v>
      </c>
      <c r="F1" s="18" t="s">
        <v>75</v>
      </c>
      <c r="G1" s="18" t="s">
        <v>78</v>
      </c>
      <c r="H1" s="47" t="s">
        <v>76</v>
      </c>
      <c r="I1" s="18" t="s">
        <v>78</v>
      </c>
      <c r="J1" s="18" t="s">
        <v>75</v>
      </c>
      <c r="K1" s="18" t="s">
        <v>78</v>
      </c>
      <c r="L1" s="18" t="s">
        <v>75</v>
      </c>
      <c r="M1" s="18" t="s">
        <v>78</v>
      </c>
      <c r="N1" s="18" t="s">
        <v>75</v>
      </c>
      <c r="O1" s="18" t="s">
        <v>78</v>
      </c>
      <c r="P1" s="18" t="s">
        <v>75</v>
      </c>
      <c r="Q1" s="18" t="s">
        <v>78</v>
      </c>
      <c r="R1" s="18" t="s">
        <v>75</v>
      </c>
      <c r="S1" s="18" t="s">
        <v>78</v>
      </c>
    </row>
    <row r="2" spans="1:19" ht="7.95" customHeight="1" x14ac:dyDescent="0.4">
      <c r="A2" s="19">
        <v>1</v>
      </c>
      <c r="B2" s="20" t="s">
        <v>94</v>
      </c>
      <c r="C2" s="41" t="s">
        <v>244</v>
      </c>
      <c r="D2" s="49" t="s">
        <v>9</v>
      </c>
      <c r="E2" s="50" t="s">
        <v>9</v>
      </c>
      <c r="F2" s="21" t="s">
        <v>77</v>
      </c>
      <c r="G2" s="22" t="s">
        <v>249</v>
      </c>
      <c r="H2" s="48" t="s">
        <v>9</v>
      </c>
      <c r="I2" s="23" t="s">
        <v>9</v>
      </c>
      <c r="J2" s="48" t="s">
        <v>9</v>
      </c>
      <c r="K2" s="23" t="s">
        <v>9</v>
      </c>
      <c r="L2" s="48" t="s">
        <v>9</v>
      </c>
      <c r="M2" s="23" t="s">
        <v>9</v>
      </c>
      <c r="N2" s="48" t="s">
        <v>9</v>
      </c>
      <c r="O2" s="23" t="s">
        <v>9</v>
      </c>
      <c r="P2" s="48" t="s">
        <v>9</v>
      </c>
      <c r="Q2" s="23" t="s">
        <v>9</v>
      </c>
      <c r="R2" s="48" t="s">
        <v>9</v>
      </c>
      <c r="S2" s="23" t="s">
        <v>9</v>
      </c>
    </row>
    <row r="3" spans="1:19" ht="7.95" customHeight="1" x14ac:dyDescent="0.4">
      <c r="A3" s="19">
        <v>2</v>
      </c>
      <c r="B3" s="20" t="s">
        <v>208</v>
      </c>
      <c r="C3" s="41" t="s">
        <v>153</v>
      </c>
      <c r="D3" s="49" t="s">
        <v>82</v>
      </c>
      <c r="E3" s="33" t="s">
        <v>94</v>
      </c>
      <c r="F3" s="21" t="s">
        <v>77</v>
      </c>
      <c r="G3" s="22" t="s">
        <v>250</v>
      </c>
      <c r="H3" s="48" t="s">
        <v>77</v>
      </c>
      <c r="I3" s="23" t="s">
        <v>130</v>
      </c>
      <c r="J3" s="48" t="s">
        <v>9</v>
      </c>
      <c r="K3" s="23" t="s">
        <v>9</v>
      </c>
      <c r="L3" s="48" t="s">
        <v>9</v>
      </c>
      <c r="M3" s="23" t="s">
        <v>9</v>
      </c>
      <c r="N3" s="48" t="s">
        <v>9</v>
      </c>
      <c r="O3" s="23" t="s">
        <v>227</v>
      </c>
      <c r="P3" s="48" t="s">
        <v>9</v>
      </c>
      <c r="Q3" s="23" t="s">
        <v>9</v>
      </c>
      <c r="R3" s="48" t="s">
        <v>9</v>
      </c>
      <c r="S3" s="23" t="s">
        <v>9</v>
      </c>
    </row>
    <row r="4" spans="1:19" ht="7.95" customHeight="1" x14ac:dyDescent="0.4">
      <c r="A4" s="19">
        <v>3</v>
      </c>
      <c r="B4" s="20" t="s">
        <v>209</v>
      </c>
      <c r="C4" s="41" t="s">
        <v>219</v>
      </c>
      <c r="D4" s="49" t="s">
        <v>82</v>
      </c>
      <c r="E4" s="33" t="s">
        <v>94</v>
      </c>
      <c r="F4" s="21" t="s">
        <v>77</v>
      </c>
      <c r="G4" s="22" t="s">
        <v>251</v>
      </c>
      <c r="H4" s="48" t="s">
        <v>77</v>
      </c>
      <c r="I4" s="23" t="s">
        <v>130</v>
      </c>
      <c r="J4" s="48" t="s">
        <v>9</v>
      </c>
      <c r="K4" s="23" t="s">
        <v>9</v>
      </c>
      <c r="L4" s="48" t="s">
        <v>9</v>
      </c>
      <c r="M4" s="23" t="s">
        <v>9</v>
      </c>
      <c r="N4" s="48" t="s">
        <v>9</v>
      </c>
      <c r="O4" s="23" t="s">
        <v>227</v>
      </c>
      <c r="P4" s="48" t="s">
        <v>9</v>
      </c>
      <c r="Q4" s="23" t="s">
        <v>9</v>
      </c>
      <c r="R4" s="48" t="s">
        <v>9</v>
      </c>
      <c r="S4" s="23" t="s">
        <v>9</v>
      </c>
    </row>
    <row r="5" spans="1:19" ht="7.95" customHeight="1" x14ac:dyDescent="0.4">
      <c r="A5" s="19">
        <v>4</v>
      </c>
      <c r="B5" s="20" t="s">
        <v>221</v>
      </c>
      <c r="C5" s="41" t="s">
        <v>220</v>
      </c>
      <c r="D5" s="49" t="s">
        <v>82</v>
      </c>
      <c r="E5" s="33" t="s">
        <v>94</v>
      </c>
      <c r="F5" s="21" t="s">
        <v>77</v>
      </c>
      <c r="G5" s="22" t="s">
        <v>251</v>
      </c>
      <c r="H5" s="48" t="s">
        <v>77</v>
      </c>
      <c r="I5" s="23" t="s">
        <v>130</v>
      </c>
      <c r="J5" s="48" t="s">
        <v>9</v>
      </c>
      <c r="K5" s="23" t="s">
        <v>9</v>
      </c>
      <c r="L5" s="48" t="s">
        <v>9</v>
      </c>
      <c r="M5" s="23" t="s">
        <v>9</v>
      </c>
      <c r="N5" s="48" t="s">
        <v>9</v>
      </c>
      <c r="O5" s="23" t="s">
        <v>227</v>
      </c>
      <c r="P5" s="48" t="s">
        <v>9</v>
      </c>
      <c r="Q5" s="23" t="s">
        <v>9</v>
      </c>
      <c r="R5" s="48" t="s">
        <v>9</v>
      </c>
      <c r="S5" s="23" t="s">
        <v>9</v>
      </c>
    </row>
    <row r="6" spans="1:19" ht="7.95" customHeight="1" x14ac:dyDescent="0.4">
      <c r="A6" s="19">
        <v>5</v>
      </c>
      <c r="B6" s="46" t="s">
        <v>190</v>
      </c>
      <c r="C6" s="41" t="s">
        <v>159</v>
      </c>
      <c r="D6" s="49" t="s">
        <v>129</v>
      </c>
      <c r="E6" s="33" t="s">
        <v>208</v>
      </c>
      <c r="F6" s="21" t="s">
        <v>77</v>
      </c>
      <c r="G6" s="22" t="s">
        <v>157</v>
      </c>
      <c r="H6" s="48" t="s">
        <v>9</v>
      </c>
      <c r="I6" s="23" t="s">
        <v>9</v>
      </c>
      <c r="J6" s="48" t="s">
        <v>241</v>
      </c>
      <c r="K6" s="23" t="s">
        <v>127</v>
      </c>
      <c r="L6" s="48" t="s">
        <v>242</v>
      </c>
      <c r="M6" s="23" t="s">
        <v>96</v>
      </c>
      <c r="N6" s="48" t="s">
        <v>98</v>
      </c>
      <c r="O6" s="23" t="s">
        <v>252</v>
      </c>
      <c r="P6" s="48" t="s">
        <v>97</v>
      </c>
      <c r="Q6" s="23" t="s">
        <v>253</v>
      </c>
      <c r="R6" s="48" t="s">
        <v>95</v>
      </c>
      <c r="S6" s="23" t="s">
        <v>128</v>
      </c>
    </row>
    <row r="7" spans="1:19" ht="7.95" customHeight="1" x14ac:dyDescent="0.4">
      <c r="A7" s="19">
        <v>6</v>
      </c>
      <c r="B7" s="46" t="s">
        <v>191</v>
      </c>
      <c r="C7" s="41" t="s">
        <v>159</v>
      </c>
      <c r="D7" s="49" t="s">
        <v>129</v>
      </c>
      <c r="E7" s="33" t="s">
        <v>208</v>
      </c>
      <c r="F7" s="21" t="s">
        <v>77</v>
      </c>
      <c r="G7" s="22" t="s">
        <v>157</v>
      </c>
      <c r="H7" s="48" t="s">
        <v>9</v>
      </c>
      <c r="I7" s="23" t="s">
        <v>9</v>
      </c>
      <c r="J7" s="48" t="s">
        <v>241</v>
      </c>
      <c r="K7" s="23" t="s">
        <v>127</v>
      </c>
      <c r="L7" s="48" t="s">
        <v>242</v>
      </c>
      <c r="M7" s="23" t="s">
        <v>96</v>
      </c>
      <c r="N7" s="48" t="s">
        <v>98</v>
      </c>
      <c r="O7" s="23" t="s">
        <v>252</v>
      </c>
      <c r="P7" s="48" t="s">
        <v>97</v>
      </c>
      <c r="Q7" s="23" t="s">
        <v>253</v>
      </c>
      <c r="R7" s="48" t="s">
        <v>95</v>
      </c>
      <c r="S7" s="23" t="s">
        <v>128</v>
      </c>
    </row>
    <row r="8" spans="1:19" ht="7.95" customHeight="1" x14ac:dyDescent="0.4">
      <c r="A8" s="19">
        <v>7</v>
      </c>
      <c r="B8" s="46" t="s">
        <v>192</v>
      </c>
      <c r="C8" s="41" t="s">
        <v>212</v>
      </c>
      <c r="D8" s="49" t="s">
        <v>129</v>
      </c>
      <c r="E8" s="33" t="s">
        <v>209</v>
      </c>
      <c r="F8" s="21" t="s">
        <v>77</v>
      </c>
      <c r="G8" s="22" t="s">
        <v>158</v>
      </c>
      <c r="H8" s="48" t="s">
        <v>9</v>
      </c>
      <c r="I8" s="23" t="s">
        <v>9</v>
      </c>
      <c r="J8" s="48" t="s">
        <v>241</v>
      </c>
      <c r="K8" s="23" t="s">
        <v>127</v>
      </c>
      <c r="L8" s="48" t="s">
        <v>242</v>
      </c>
      <c r="M8" s="23" t="s">
        <v>96</v>
      </c>
      <c r="N8" s="48" t="s">
        <v>98</v>
      </c>
      <c r="O8" s="23" t="s">
        <v>252</v>
      </c>
      <c r="P8" s="48" t="s">
        <v>97</v>
      </c>
      <c r="Q8" s="23" t="s">
        <v>253</v>
      </c>
      <c r="R8" s="48" t="s">
        <v>95</v>
      </c>
      <c r="S8" s="23" t="s">
        <v>189</v>
      </c>
    </row>
    <row r="9" spans="1:19" ht="7.95" customHeight="1" x14ac:dyDescent="0.4">
      <c r="A9" s="19">
        <v>8</v>
      </c>
      <c r="B9" s="46" t="s">
        <v>193</v>
      </c>
      <c r="C9" s="41" t="s">
        <v>212</v>
      </c>
      <c r="D9" s="49" t="s">
        <v>129</v>
      </c>
      <c r="E9" s="33" t="s">
        <v>209</v>
      </c>
      <c r="F9" s="21" t="s">
        <v>77</v>
      </c>
      <c r="G9" s="22" t="s">
        <v>158</v>
      </c>
      <c r="H9" s="48" t="s">
        <v>9</v>
      </c>
      <c r="I9" s="23" t="s">
        <v>9</v>
      </c>
      <c r="J9" s="48" t="s">
        <v>241</v>
      </c>
      <c r="K9" s="23" t="s">
        <v>127</v>
      </c>
      <c r="L9" s="48" t="s">
        <v>242</v>
      </c>
      <c r="M9" s="23" t="s">
        <v>96</v>
      </c>
      <c r="N9" s="48" t="s">
        <v>98</v>
      </c>
      <c r="O9" s="23" t="s">
        <v>252</v>
      </c>
      <c r="P9" s="48" t="s">
        <v>97</v>
      </c>
      <c r="Q9" s="23" t="s">
        <v>253</v>
      </c>
      <c r="R9" s="48" t="s">
        <v>95</v>
      </c>
      <c r="S9" s="23" t="s">
        <v>189</v>
      </c>
    </row>
    <row r="10" spans="1:19" ht="7.95" customHeight="1" x14ac:dyDescent="0.4">
      <c r="A10" s="19">
        <v>9</v>
      </c>
      <c r="B10" s="46" t="s">
        <v>194</v>
      </c>
      <c r="C10" s="41" t="s">
        <v>212</v>
      </c>
      <c r="D10" s="49" t="s">
        <v>129</v>
      </c>
      <c r="E10" s="33" t="s">
        <v>209</v>
      </c>
      <c r="F10" s="21" t="s">
        <v>77</v>
      </c>
      <c r="G10" s="22" t="s">
        <v>158</v>
      </c>
      <c r="H10" s="48" t="s">
        <v>9</v>
      </c>
      <c r="I10" s="23" t="s">
        <v>9</v>
      </c>
      <c r="J10" s="48" t="s">
        <v>241</v>
      </c>
      <c r="K10" s="23" t="s">
        <v>127</v>
      </c>
      <c r="L10" s="48" t="s">
        <v>242</v>
      </c>
      <c r="M10" s="23" t="s">
        <v>96</v>
      </c>
      <c r="N10" s="48" t="s">
        <v>98</v>
      </c>
      <c r="O10" s="23" t="s">
        <v>252</v>
      </c>
      <c r="P10" s="48" t="s">
        <v>97</v>
      </c>
      <c r="Q10" s="23" t="s">
        <v>253</v>
      </c>
      <c r="R10" s="48" t="s">
        <v>95</v>
      </c>
      <c r="S10" s="23" t="s">
        <v>189</v>
      </c>
    </row>
    <row r="11" spans="1:19" ht="7.95" customHeight="1" x14ac:dyDescent="0.4">
      <c r="A11" s="19">
        <v>10</v>
      </c>
      <c r="B11" s="46" t="s">
        <v>195</v>
      </c>
      <c r="C11" s="41" t="s">
        <v>212</v>
      </c>
      <c r="D11" s="49" t="s">
        <v>129</v>
      </c>
      <c r="E11" s="33" t="s">
        <v>209</v>
      </c>
      <c r="F11" s="21" t="s">
        <v>77</v>
      </c>
      <c r="G11" s="22" t="s">
        <v>158</v>
      </c>
      <c r="H11" s="48" t="s">
        <v>9</v>
      </c>
      <c r="I11" s="23" t="s">
        <v>9</v>
      </c>
      <c r="J11" s="48" t="s">
        <v>241</v>
      </c>
      <c r="K11" s="23" t="s">
        <v>127</v>
      </c>
      <c r="L11" s="48" t="s">
        <v>242</v>
      </c>
      <c r="M11" s="23" t="s">
        <v>96</v>
      </c>
      <c r="N11" s="48" t="s">
        <v>98</v>
      </c>
      <c r="O11" s="23" t="s">
        <v>252</v>
      </c>
      <c r="P11" s="48" t="s">
        <v>97</v>
      </c>
      <c r="Q11" s="23" t="s">
        <v>253</v>
      </c>
      <c r="R11" s="48" t="s">
        <v>95</v>
      </c>
      <c r="S11" s="23" t="s">
        <v>189</v>
      </c>
    </row>
    <row r="12" spans="1:19" ht="7.95" customHeight="1" x14ac:dyDescent="0.4">
      <c r="A12" s="19">
        <v>11</v>
      </c>
      <c r="B12" s="46" t="s">
        <v>196</v>
      </c>
      <c r="C12" s="41" t="s">
        <v>212</v>
      </c>
      <c r="D12" s="49" t="s">
        <v>129</v>
      </c>
      <c r="E12" s="33" t="s">
        <v>209</v>
      </c>
      <c r="F12" s="21" t="s">
        <v>77</v>
      </c>
      <c r="G12" s="22" t="s">
        <v>158</v>
      </c>
      <c r="H12" s="48" t="s">
        <v>9</v>
      </c>
      <c r="I12" s="23" t="s">
        <v>9</v>
      </c>
      <c r="J12" s="48" t="s">
        <v>241</v>
      </c>
      <c r="K12" s="23" t="s">
        <v>127</v>
      </c>
      <c r="L12" s="48" t="s">
        <v>242</v>
      </c>
      <c r="M12" s="23" t="s">
        <v>96</v>
      </c>
      <c r="N12" s="48" t="s">
        <v>98</v>
      </c>
      <c r="O12" s="23" t="s">
        <v>252</v>
      </c>
      <c r="P12" s="48" t="s">
        <v>97</v>
      </c>
      <c r="Q12" s="23" t="s">
        <v>253</v>
      </c>
      <c r="R12" s="48" t="s">
        <v>95</v>
      </c>
      <c r="S12" s="23" t="s">
        <v>189</v>
      </c>
    </row>
    <row r="13" spans="1:19" ht="7.95" customHeight="1" x14ac:dyDescent="0.4">
      <c r="A13" s="19">
        <v>12</v>
      </c>
      <c r="B13" s="46" t="s">
        <v>197</v>
      </c>
      <c r="C13" s="41" t="s">
        <v>212</v>
      </c>
      <c r="D13" s="49" t="s">
        <v>129</v>
      </c>
      <c r="E13" s="33" t="s">
        <v>209</v>
      </c>
      <c r="F13" s="21" t="s">
        <v>77</v>
      </c>
      <c r="G13" s="22" t="s">
        <v>158</v>
      </c>
      <c r="H13" s="48" t="s">
        <v>9</v>
      </c>
      <c r="I13" s="23" t="s">
        <v>9</v>
      </c>
      <c r="J13" s="48" t="s">
        <v>241</v>
      </c>
      <c r="K13" s="23" t="s">
        <v>127</v>
      </c>
      <c r="L13" s="48" t="s">
        <v>242</v>
      </c>
      <c r="M13" s="23" t="s">
        <v>96</v>
      </c>
      <c r="N13" s="48" t="s">
        <v>98</v>
      </c>
      <c r="O13" s="23" t="s">
        <v>252</v>
      </c>
      <c r="P13" s="48" t="s">
        <v>97</v>
      </c>
      <c r="Q13" s="23" t="s">
        <v>253</v>
      </c>
      <c r="R13" s="48" t="s">
        <v>95</v>
      </c>
      <c r="S13" s="23" t="s">
        <v>189</v>
      </c>
    </row>
    <row r="14" spans="1:19" ht="7.95" customHeight="1" x14ac:dyDescent="0.4">
      <c r="A14" s="19">
        <v>13</v>
      </c>
      <c r="B14" s="46" t="s">
        <v>198</v>
      </c>
      <c r="C14" s="41" t="s">
        <v>213</v>
      </c>
      <c r="D14" s="49" t="s">
        <v>129</v>
      </c>
      <c r="E14" s="33" t="s">
        <v>221</v>
      </c>
      <c r="F14" s="21" t="s">
        <v>77</v>
      </c>
      <c r="G14" s="22" t="s">
        <v>187</v>
      </c>
      <c r="H14" s="48" t="s">
        <v>9</v>
      </c>
      <c r="I14" s="23" t="s">
        <v>9</v>
      </c>
      <c r="J14" s="48" t="s">
        <v>241</v>
      </c>
      <c r="K14" s="23" t="s">
        <v>127</v>
      </c>
      <c r="L14" s="48" t="s">
        <v>242</v>
      </c>
      <c r="M14" s="23" t="s">
        <v>96</v>
      </c>
      <c r="N14" s="48" t="s">
        <v>98</v>
      </c>
      <c r="O14" s="23" t="s">
        <v>252</v>
      </c>
      <c r="P14" s="48" t="s">
        <v>97</v>
      </c>
      <c r="Q14" s="23" t="s">
        <v>253</v>
      </c>
      <c r="R14" s="48" t="s">
        <v>95</v>
      </c>
      <c r="S14" s="23" t="s">
        <v>189</v>
      </c>
    </row>
    <row r="15" spans="1:19" ht="7.95" customHeight="1" x14ac:dyDescent="0.4">
      <c r="A15" s="19">
        <v>14</v>
      </c>
      <c r="B15" s="46" t="s">
        <v>199</v>
      </c>
      <c r="C15" s="41" t="s">
        <v>213</v>
      </c>
      <c r="D15" s="49" t="s">
        <v>129</v>
      </c>
      <c r="E15" s="33" t="s">
        <v>221</v>
      </c>
      <c r="F15" s="21" t="s">
        <v>77</v>
      </c>
      <c r="G15" s="22" t="s">
        <v>187</v>
      </c>
      <c r="H15" s="48" t="s">
        <v>9</v>
      </c>
      <c r="I15" s="23" t="s">
        <v>9</v>
      </c>
      <c r="J15" s="48" t="s">
        <v>241</v>
      </c>
      <c r="K15" s="23" t="s">
        <v>127</v>
      </c>
      <c r="L15" s="48" t="s">
        <v>242</v>
      </c>
      <c r="M15" s="23" t="s">
        <v>96</v>
      </c>
      <c r="N15" s="48" t="s">
        <v>98</v>
      </c>
      <c r="O15" s="23" t="s">
        <v>252</v>
      </c>
      <c r="P15" s="48" t="s">
        <v>97</v>
      </c>
      <c r="Q15" s="23" t="s">
        <v>253</v>
      </c>
      <c r="R15" s="48" t="s">
        <v>95</v>
      </c>
      <c r="S15" s="23" t="s">
        <v>189</v>
      </c>
    </row>
    <row r="16" spans="1:19" ht="7.95" customHeight="1" x14ac:dyDescent="0.4">
      <c r="A16" s="19">
        <v>15</v>
      </c>
      <c r="B16" s="46" t="s">
        <v>200</v>
      </c>
      <c r="C16" s="41" t="s">
        <v>213</v>
      </c>
      <c r="D16" s="49" t="s">
        <v>129</v>
      </c>
      <c r="E16" s="33" t="s">
        <v>221</v>
      </c>
      <c r="F16" s="21" t="s">
        <v>77</v>
      </c>
      <c r="G16" s="22" t="s">
        <v>187</v>
      </c>
      <c r="H16" s="48" t="s">
        <v>9</v>
      </c>
      <c r="I16" s="23" t="s">
        <v>9</v>
      </c>
      <c r="J16" s="48" t="s">
        <v>241</v>
      </c>
      <c r="K16" s="23" t="s">
        <v>127</v>
      </c>
      <c r="L16" s="48" t="s">
        <v>242</v>
      </c>
      <c r="M16" s="23" t="s">
        <v>96</v>
      </c>
      <c r="N16" s="48" t="s">
        <v>98</v>
      </c>
      <c r="O16" s="23" t="s">
        <v>252</v>
      </c>
      <c r="P16" s="48" t="s">
        <v>97</v>
      </c>
      <c r="Q16" s="23" t="s">
        <v>253</v>
      </c>
      <c r="R16" s="48" t="s">
        <v>95</v>
      </c>
      <c r="S16" s="23" t="s">
        <v>189</v>
      </c>
    </row>
    <row r="17" spans="1:19" ht="7.95" customHeight="1" x14ac:dyDescent="0.4">
      <c r="A17" s="19">
        <v>16</v>
      </c>
      <c r="B17" s="46" t="s">
        <v>201</v>
      </c>
      <c r="C17" s="41" t="s">
        <v>213</v>
      </c>
      <c r="D17" s="49" t="s">
        <v>129</v>
      </c>
      <c r="E17" s="33" t="s">
        <v>221</v>
      </c>
      <c r="F17" s="21" t="s">
        <v>77</v>
      </c>
      <c r="G17" s="22" t="s">
        <v>187</v>
      </c>
      <c r="H17" s="48" t="s">
        <v>9</v>
      </c>
      <c r="I17" s="23" t="s">
        <v>9</v>
      </c>
      <c r="J17" s="48" t="s">
        <v>241</v>
      </c>
      <c r="K17" s="23" t="s">
        <v>127</v>
      </c>
      <c r="L17" s="48" t="s">
        <v>242</v>
      </c>
      <c r="M17" s="23" t="s">
        <v>96</v>
      </c>
      <c r="N17" s="48" t="s">
        <v>98</v>
      </c>
      <c r="O17" s="23" t="s">
        <v>252</v>
      </c>
      <c r="P17" s="48" t="s">
        <v>97</v>
      </c>
      <c r="Q17" s="23" t="s">
        <v>253</v>
      </c>
      <c r="R17" s="48" t="s">
        <v>95</v>
      </c>
      <c r="S17" s="23" t="s">
        <v>189</v>
      </c>
    </row>
    <row r="18" spans="1:19" ht="7.95" customHeight="1" x14ac:dyDescent="0.4">
      <c r="A18" s="19">
        <v>17</v>
      </c>
      <c r="B18" s="46" t="s">
        <v>202</v>
      </c>
      <c r="C18" s="41" t="s">
        <v>213</v>
      </c>
      <c r="D18" s="49" t="s">
        <v>129</v>
      </c>
      <c r="E18" s="33" t="s">
        <v>221</v>
      </c>
      <c r="F18" s="21" t="s">
        <v>77</v>
      </c>
      <c r="G18" s="22" t="s">
        <v>187</v>
      </c>
      <c r="H18" s="48" t="s">
        <v>9</v>
      </c>
      <c r="I18" s="23" t="s">
        <v>9</v>
      </c>
      <c r="J18" s="48" t="s">
        <v>241</v>
      </c>
      <c r="K18" s="23" t="s">
        <v>127</v>
      </c>
      <c r="L18" s="48" t="s">
        <v>242</v>
      </c>
      <c r="M18" s="23" t="s">
        <v>96</v>
      </c>
      <c r="N18" s="48" t="s">
        <v>98</v>
      </c>
      <c r="O18" s="23" t="s">
        <v>252</v>
      </c>
      <c r="P18" s="48" t="s">
        <v>97</v>
      </c>
      <c r="Q18" s="23" t="s">
        <v>253</v>
      </c>
      <c r="R18" s="48" t="s">
        <v>95</v>
      </c>
      <c r="S18" s="23" t="s">
        <v>189</v>
      </c>
    </row>
    <row r="19" spans="1:19" ht="7.95" customHeight="1" x14ac:dyDescent="0.4">
      <c r="A19" s="19">
        <v>18</v>
      </c>
      <c r="B19" s="46" t="s">
        <v>203</v>
      </c>
      <c r="C19" s="41" t="s">
        <v>213</v>
      </c>
      <c r="D19" s="49" t="s">
        <v>129</v>
      </c>
      <c r="E19" s="33" t="s">
        <v>221</v>
      </c>
      <c r="F19" s="21" t="s">
        <v>77</v>
      </c>
      <c r="G19" s="22" t="s">
        <v>187</v>
      </c>
      <c r="H19" s="48" t="s">
        <v>9</v>
      </c>
      <c r="I19" s="23" t="s">
        <v>9</v>
      </c>
      <c r="J19" s="48" t="s">
        <v>241</v>
      </c>
      <c r="K19" s="23" t="s">
        <v>127</v>
      </c>
      <c r="L19" s="48" t="s">
        <v>242</v>
      </c>
      <c r="M19" s="23" t="s">
        <v>96</v>
      </c>
      <c r="N19" s="48" t="s">
        <v>98</v>
      </c>
      <c r="O19" s="23" t="s">
        <v>252</v>
      </c>
      <c r="P19" s="48" t="s">
        <v>97</v>
      </c>
      <c r="Q19" s="23" t="s">
        <v>253</v>
      </c>
      <c r="R19" s="48" t="s">
        <v>95</v>
      </c>
      <c r="S19" s="23" t="s">
        <v>189</v>
      </c>
    </row>
  </sheetData>
  <phoneticPr fontId="1" type="noConversion"/>
  <conditionalFormatting sqref="C3:C5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5234375" defaultRowHeight="8.25" customHeight="1" x14ac:dyDescent="0.4"/>
  <cols>
    <col min="1" max="1" width="2.15234375" style="25" customWidth="1"/>
    <col min="2" max="2" width="5.84375" style="24" bestFit="1" customWidth="1"/>
    <col min="3" max="3" width="11.3046875" style="24" bestFit="1" customWidth="1"/>
    <col min="4" max="7" width="10.84375" style="24" bestFit="1" customWidth="1"/>
  </cols>
  <sheetData>
    <row r="1" spans="1:7" ht="33" customHeight="1" x14ac:dyDescent="0.4">
      <c r="A1" s="30">
        <v>0</v>
      </c>
      <c r="B1" s="26" t="s">
        <v>79</v>
      </c>
      <c r="C1" s="27" t="s">
        <v>80</v>
      </c>
      <c r="D1" s="27" t="s">
        <v>81</v>
      </c>
      <c r="E1" s="27" t="s">
        <v>81</v>
      </c>
      <c r="F1" s="27" t="s">
        <v>81</v>
      </c>
      <c r="G1" s="27" t="s">
        <v>81</v>
      </c>
    </row>
    <row r="2" spans="1:7" ht="8.25" customHeight="1" x14ac:dyDescent="0.4">
      <c r="A2" s="31">
        <v>2</v>
      </c>
      <c r="B2" s="29" t="s">
        <v>9</v>
      </c>
      <c r="C2" s="29" t="s">
        <v>9</v>
      </c>
      <c r="D2" s="29" t="s">
        <v>9</v>
      </c>
      <c r="E2" s="29" t="s">
        <v>9</v>
      </c>
      <c r="F2" s="29" t="s">
        <v>9</v>
      </c>
      <c r="G2" s="29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2026-09-06T00:22:08Z</dcterms:modified>
  <dc:language>pt-BR</dc:language>
</cp:coreProperties>
</file>