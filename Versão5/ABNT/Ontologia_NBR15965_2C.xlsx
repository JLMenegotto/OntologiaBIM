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C4244D4-91DE-4FAA-A2AD-F983A089649B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S88" i="4" l="1"/>
  <c r="T88" i="4"/>
  <c r="U88" i="4"/>
  <c r="S89" i="4"/>
  <c r="T89" i="4"/>
  <c r="U89" i="4"/>
  <c r="L88" i="4"/>
  <c r="M88" i="4"/>
  <c r="N88" i="4"/>
  <c r="O88" i="4"/>
  <c r="L89" i="4"/>
  <c r="M89" i="4"/>
  <c r="N89" i="4"/>
  <c r="O89" i="4"/>
  <c r="U73" i="4"/>
  <c r="T73" i="4"/>
  <c r="S73" i="4"/>
  <c r="O73" i="4"/>
  <c r="N73" i="4"/>
  <c r="M73" i="4"/>
  <c r="L73" i="4"/>
  <c r="L16" i="4"/>
  <c r="M16" i="4"/>
  <c r="N16" i="4"/>
  <c r="O16" i="4"/>
  <c r="S16" i="4"/>
  <c r="T16" i="4"/>
  <c r="U16" i="4"/>
  <c r="L17" i="4"/>
  <c r="M17" i="4"/>
  <c r="N17" i="4"/>
  <c r="O17" i="4"/>
  <c r="S17" i="4"/>
  <c r="T17" i="4"/>
  <c r="U17" i="4"/>
  <c r="L18" i="4"/>
  <c r="M18" i="4"/>
  <c r="N18" i="4"/>
  <c r="O18" i="4"/>
  <c r="S18" i="4"/>
  <c r="T18" i="4"/>
  <c r="U18" i="4"/>
  <c r="L19" i="4"/>
  <c r="M19" i="4"/>
  <c r="N19" i="4"/>
  <c r="O19" i="4"/>
  <c r="S19" i="4"/>
  <c r="T19" i="4"/>
  <c r="U19" i="4"/>
  <c r="L20" i="4"/>
  <c r="M20" i="4"/>
  <c r="N20" i="4"/>
  <c r="O20" i="4"/>
  <c r="S20" i="4"/>
  <c r="T20" i="4"/>
  <c r="U20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8" i="4"/>
  <c r="M78" i="4"/>
  <c r="N78" i="4"/>
  <c r="O78" i="4"/>
  <c r="S78" i="4"/>
  <c r="T78" i="4"/>
  <c r="U78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AA88" i="4"/>
  <c r="AA81" i="4"/>
  <c r="AA86" i="4"/>
  <c r="AA70" i="4"/>
  <c r="AA79" i="4"/>
  <c r="Q39" i="4"/>
  <c r="Q41" i="4"/>
  <c r="Q69" i="4"/>
  <c r="Q32" i="4"/>
  <c r="Q58" i="4"/>
  <c r="Q43" i="4"/>
  <c r="Q67" i="4"/>
  <c r="Q49" i="4"/>
  <c r="Q15" i="4"/>
  <c r="AA22" i="4"/>
  <c r="AA51" i="4"/>
  <c r="AA50" i="4"/>
  <c r="AA29" i="4"/>
  <c r="AA34" i="4"/>
  <c r="AA69" i="4"/>
  <c r="Q36" i="4"/>
  <c r="AA42" i="4"/>
  <c r="Q89" i="4"/>
  <c r="AA60" i="4"/>
  <c r="AA87" i="4"/>
  <c r="AA71" i="4"/>
  <c r="Q16" i="4"/>
  <c r="Q61" i="4"/>
  <c r="Q63" i="4"/>
  <c r="Q26" i="4"/>
  <c r="Q54" i="4"/>
  <c r="Q80" i="4"/>
  <c r="Q65" i="4"/>
  <c r="Q52" i="4"/>
  <c r="Q71" i="4"/>
  <c r="AA16" i="4"/>
  <c r="AA44" i="4"/>
  <c r="AA30" i="4"/>
  <c r="AA52" i="4"/>
  <c r="AA23" i="4"/>
  <c r="AA35" i="4"/>
  <c r="AA89" i="4"/>
  <c r="Q47" i="4"/>
  <c r="Q37" i="4"/>
  <c r="Q73" i="4"/>
  <c r="AA82" i="4"/>
  <c r="AA85" i="4"/>
  <c r="AA72" i="4"/>
  <c r="Q38" i="4"/>
  <c r="Q83" i="4"/>
  <c r="Q85" i="4"/>
  <c r="Q48" i="4"/>
  <c r="Q76" i="4"/>
  <c r="Q59" i="4"/>
  <c r="Q87" i="4"/>
  <c r="Q53" i="4"/>
  <c r="Q28" i="4"/>
  <c r="AA38" i="4"/>
  <c r="AA45" i="4"/>
  <c r="AA53" i="4"/>
  <c r="AA33" i="4"/>
  <c r="AA24" i="4"/>
  <c r="AA37" i="4"/>
  <c r="Q50" i="4"/>
  <c r="AA46" i="4"/>
  <c r="AA57" i="4"/>
  <c r="AA15" i="4"/>
  <c r="AA59" i="4"/>
  <c r="Q75" i="4"/>
  <c r="AA43" i="4"/>
  <c r="AA73" i="4"/>
  <c r="AA83" i="4"/>
  <c r="AA65" i="4"/>
  <c r="AA74" i="4"/>
  <c r="Q60" i="4"/>
  <c r="Q18" i="4"/>
  <c r="Q24" i="4"/>
  <c r="Q70" i="4"/>
  <c r="Q55" i="4"/>
  <c r="Q20" i="4"/>
  <c r="Q22" i="4"/>
  <c r="Q33" i="4"/>
  <c r="AA17" i="4"/>
  <c r="AA25" i="4"/>
  <c r="AA36" i="4"/>
  <c r="AA64" i="4"/>
  <c r="Q45" i="4"/>
  <c r="AA56" i="4"/>
  <c r="AA61" i="4"/>
  <c r="AA66" i="4"/>
  <c r="AA75" i="4"/>
  <c r="Q82" i="4"/>
  <c r="Q40" i="4"/>
  <c r="Q46" i="4"/>
  <c r="Q30" i="4"/>
  <c r="Q78" i="4"/>
  <c r="Q42" i="4"/>
  <c r="Q44" i="4"/>
  <c r="Q72" i="4"/>
  <c r="AA39" i="4"/>
  <c r="AA62" i="4"/>
  <c r="Q19" i="4"/>
  <c r="Q68" i="4"/>
  <c r="AA48" i="4"/>
  <c r="AA63" i="4"/>
  <c r="AA32" i="4"/>
  <c r="AA58" i="4"/>
  <c r="AA54" i="4"/>
  <c r="AA28" i="4"/>
  <c r="Q74" i="4"/>
  <c r="Q23" i="4"/>
  <c r="Q77" i="4"/>
  <c r="AA84" i="4"/>
  <c r="Q64" i="4"/>
  <c r="AA31" i="4"/>
  <c r="Q57" i="4"/>
  <c r="Q51" i="4"/>
  <c r="AA49" i="4"/>
  <c r="Q17" i="4"/>
  <c r="AA21" i="4"/>
  <c r="Q21" i="4"/>
  <c r="AA67" i="4"/>
  <c r="Q66" i="4"/>
  <c r="Q84" i="4"/>
  <c r="AA77" i="4"/>
  <c r="AA47" i="4"/>
  <c r="AA76" i="4"/>
  <c r="Q34" i="4"/>
  <c r="Q27" i="4"/>
  <c r="Q25" i="4"/>
  <c r="AA27" i="4"/>
  <c r="AA68" i="4"/>
  <c r="Q35" i="4"/>
  <c r="AA55" i="4"/>
  <c r="Q56" i="4"/>
  <c r="Q29" i="4"/>
  <c r="Q88" i="4"/>
  <c r="Q31" i="4"/>
  <c r="AA40" i="4"/>
  <c r="Q86" i="4"/>
  <c r="AA78" i="4"/>
  <c r="Q81" i="4"/>
  <c r="AA26" i="4"/>
  <c r="Q62" i="4"/>
  <c r="AA20" i="4"/>
  <c r="AA80" i="4"/>
  <c r="Q79" i="4"/>
  <c r="AA41" i="4"/>
  <c r="AA18" i="4"/>
  <c r="AA19" i="4"/>
  <c r="U15" i="4" l="1"/>
  <c r="T15" i="4"/>
  <c r="S15" i="4"/>
  <c r="O15" i="4"/>
  <c r="N15" i="4"/>
  <c r="M15" i="4"/>
  <c r="L15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<sst xmlns="http://schemas.openxmlformats.org/spreadsheetml/2006/main" count="85784" uniqueCount="7500">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</sst>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6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6" dataDxfId="64" headerRowBorderDxfId="65" tableBorderDxfId="63" totalsRowBorderDxfId="62">
  <tableColumns count="25">
    <tableColumn id="1" xr3:uid="{D9DD556D-DB0C-4A16-842E-50599C0821C6}" name="1" headerRowDxfId="61" dataDxfId="60"/>
    <tableColumn id="2" xr3:uid="{247CC259-BC7D-4139-B505-DEE19D049BA0}" name="Indivíduo" headerRowDxfId="59" dataDxfId="58"/>
    <tableColumn id="3" xr3:uid="{7162ACE9-65A6-47D0-B28F-60A9F255661D}" name="Classe" headerRowDxfId="57" dataDxfId="56"/>
    <tableColumn id="5" xr3:uid="{4C323A75-33B7-46F3-B0A2-15F1B290115D}" name="Coluna2" headerRowDxfId="55" dataDxfId="54"/>
    <tableColumn id="4" xr3:uid="{A538226E-B38C-4E02-8CBC-54F557046493}" name="Coluna1" headerRowDxfId="53" dataDxfId="52"/>
    <tableColumn id="15" xr3:uid="{A2BC0E2B-B727-4389-8689-A94B88A0A7E3}" name="Coluna10" headerRowDxfId="51" dataDxfId="50"/>
    <tableColumn id="14" xr3:uid="{79514246-D9FF-4EF8-BD0B-E843D716A70D}" name="Coluna9" headerRowDxfId="49" dataDxfId="48"/>
    <tableColumn id="11" xr3:uid="{22A12A3C-7ADC-4BE9-848C-7A13A4D0DD72}" name="Coluna8" headerRowDxfId="47" dataDxfId="46"/>
    <tableColumn id="10" xr3:uid="{5FFC5405-ABB8-4742-B7F0-BCB855457EC5}" name="Coluna7" headerRowDxfId="45" dataDxfId="44"/>
    <tableColumn id="9" xr3:uid="{4CA7A1EE-8A4E-459E-908B-681D198360D2}" name="Coluna6" headerRowDxfId="43" dataDxfId="42"/>
    <tableColumn id="8" xr3:uid="{5128CB64-5875-4646-8400-8AE9D7CF1717}" name="Coluna5" headerRowDxfId="41" dataDxfId="40"/>
    <tableColumn id="25" xr3:uid="{6C8C9CB7-44FC-458C-9912-277AE2C190E5}" name="Coluna20" headerRowDxfId="39" dataDxfId="38"/>
    <tableColumn id="24" xr3:uid="{304DCB31-C388-4C66-8B6D-575797C2E115}" name="Coluna19" headerRowDxfId="37" dataDxfId="36"/>
    <tableColumn id="12" xr3:uid="{9159A895-B681-45F3-BA55-991EBE186529}" name="Fato (11)" headerRowDxfId="35" dataDxfId="34"/>
    <tableColumn id="13" xr3:uid="{7C2C2026-807B-473D-9BED-981FD432870B}" name="Coluna21" headerRowDxfId="33" dataDxfId="32"/>
    <tableColumn id="6" xr3:uid="{4FB0B16D-A7BD-41D5-8826-CD6A575C3128}" name="Coluna3" headerRowDxfId="31" dataDxfId="30"/>
    <tableColumn id="7" xr3:uid="{FAAEF91F-93E1-4923-8554-52A14728CB27}" name="Coluna4" headerRowDxfId="29" dataDxfId="28"/>
    <tableColumn id="16" xr3:uid="{C27F18C7-8420-4333-BC6D-D98403B1D1D2}" name="Coluna11" headerRowDxfId="27" dataDxfId="26"/>
    <tableColumn id="17" xr3:uid="{4B08FE30-D44A-4F04-94DC-40E3E938EC4A}" name="Coluna12" headerRowDxfId="25" dataDxfId="24"/>
    <tableColumn id="18" xr3:uid="{2C1C4131-E2DF-48A1-B019-734F12C080BC}" name="Coluna13" headerRowDxfId="23" dataDxfId="22"/>
    <tableColumn id="19" xr3:uid="{68970A9D-1419-4E7F-AAA0-13F48A217777}" name="Coluna14" headerRowDxfId="21" dataDxfId="20"/>
    <tableColumn id="20" xr3:uid="{C50DEBBB-35F3-404E-B191-8FF5EADF844E}" name="Coluna15" headerRowDxfId="19" dataDxfId="18"/>
    <tableColumn id="21" xr3:uid="{9680DF15-9DF6-496D-B44E-22A9F9482FB1}" name="Coluna16" headerRowDxfId="17" dataDxfId="16"/>
    <tableColumn id="22" xr3:uid="{73AA2C9F-C399-413B-96DE-DE99A9744612}" name="Coluna17" headerRowDxfId="15" dataDxfId="14"/>
    <tableColumn id="23" xr3:uid="{A821BF3A-6929-4431-B652-910D6594E25E}" name="Coluna18" headerRowDxfId="13" dataDxfId="1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6724</v>
      </c>
    </row>
    <row r="2" spans="1:3" ht="9" customHeight="1" x14ac:dyDescent="0.2">
      <c r="A2" s="10" t="s">
        <v>3250</v>
      </c>
      <c r="B2" s="10" t="s">
        <v>6716</v>
      </c>
      <c r="C2" s="34" t="s">
        <v>6725</v>
      </c>
    </row>
    <row r="3" spans="1:3" ht="9" customHeight="1" x14ac:dyDescent="0.2">
      <c r="A3" s="10" t="s">
        <v>3251</v>
      </c>
      <c r="B3" s="10" t="s">
        <v>3248</v>
      </c>
      <c r="C3" s="34" t="s">
        <v>6725</v>
      </c>
    </row>
    <row r="4" spans="1:3" ht="9" customHeight="1" x14ac:dyDescent="0.2">
      <c r="A4" s="11" t="s">
        <v>5</v>
      </c>
      <c r="B4" s="11" t="s">
        <v>6669</v>
      </c>
      <c r="C4" s="34" t="s">
        <v>6725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2">
      <c r="A7" s="11" t="s">
        <v>8</v>
      </c>
      <c r="B7" s="11" t="s">
        <v>3270</v>
      </c>
      <c r="C7" s="34" t="s">
        <v>6725</v>
      </c>
    </row>
    <row r="8" spans="1:3" ht="9" customHeight="1" x14ac:dyDescent="0.2">
      <c r="A8" s="31" t="s">
        <v>9</v>
      </c>
      <c r="B8" s="31" t="s">
        <v>6723</v>
      </c>
      <c r="C8" s="34" t="s">
        <v>6725</v>
      </c>
    </row>
    <row r="9" spans="1:3" ht="9" customHeight="1" x14ac:dyDescent="0.2">
      <c r="A9" s="11" t="s">
        <v>3252</v>
      </c>
      <c r="B9" s="11" t="s">
        <v>3253</v>
      </c>
      <c r="C9" s="34" t="s">
        <v>6725</v>
      </c>
    </row>
    <row r="10" spans="1:3" ht="9" customHeight="1" x14ac:dyDescent="0.2">
      <c r="A10" s="11" t="s">
        <v>3254</v>
      </c>
      <c r="B10" s="11" t="s">
        <v>16</v>
      </c>
      <c r="C10" s="34" t="s">
        <v>6725</v>
      </c>
    </row>
    <row r="11" spans="1:3" ht="9" customHeight="1" x14ac:dyDescent="0.2">
      <c r="A11" s="11" t="s">
        <v>3255</v>
      </c>
      <c r="B11" s="11" t="s">
        <v>3264</v>
      </c>
      <c r="C11" s="34" t="s">
        <v>6725</v>
      </c>
    </row>
    <row r="12" spans="1:3" ht="9" customHeight="1" x14ac:dyDescent="0.2">
      <c r="A12" s="11" t="s">
        <v>10</v>
      </c>
      <c r="B12" s="11" t="s">
        <v>17</v>
      </c>
      <c r="C12" s="34" t="s">
        <v>6725</v>
      </c>
    </row>
    <row r="13" spans="1:3" ht="9" customHeight="1" x14ac:dyDescent="0.2">
      <c r="A13" s="11" t="s">
        <v>3256</v>
      </c>
      <c r="B13" s="11" t="s">
        <v>18</v>
      </c>
      <c r="C13" s="34" t="s">
        <v>6725</v>
      </c>
    </row>
    <row r="14" spans="1:3" ht="9" customHeight="1" x14ac:dyDescent="0.2">
      <c r="A14" s="11" t="s">
        <v>3257</v>
      </c>
      <c r="B14" s="11" t="s">
        <v>11</v>
      </c>
      <c r="C14" s="34" t="s">
        <v>6725</v>
      </c>
    </row>
    <row r="15" spans="1:3" ht="9" customHeight="1" x14ac:dyDescent="0.2">
      <c r="A15" s="11" t="s">
        <v>3258</v>
      </c>
      <c r="B15" s="11" t="s">
        <v>11</v>
      </c>
      <c r="C15" s="34" t="s">
        <v>6725</v>
      </c>
    </row>
    <row r="16" spans="1:3" ht="9" customHeight="1" x14ac:dyDescent="0.2">
      <c r="A16" s="11" t="s">
        <v>3259</v>
      </c>
      <c r="B16" s="11" t="s">
        <v>11</v>
      </c>
      <c r="C16" s="34" t="s">
        <v>6725</v>
      </c>
    </row>
    <row r="17" spans="1:3" ht="9" customHeight="1" x14ac:dyDescent="0.2">
      <c r="A17" s="11" t="s">
        <v>12</v>
      </c>
      <c r="B17" s="11" t="s">
        <v>13</v>
      </c>
      <c r="C17" s="34" t="s">
        <v>6725</v>
      </c>
    </row>
    <row r="18" spans="1:3" ht="9" customHeight="1" x14ac:dyDescent="0.2">
      <c r="A18" s="11" t="s">
        <v>3260</v>
      </c>
      <c r="B18" s="12">
        <f ca="1">NOW()</f>
        <v>46244.498331365743</v>
      </c>
      <c r="C18" s="34" t="s">
        <v>6725</v>
      </c>
    </row>
    <row r="19" spans="1:3" ht="9" customHeight="1" x14ac:dyDescent="0.2">
      <c r="A19" s="11" t="s">
        <v>6736</v>
      </c>
      <c r="B19" s="12" t="s">
        <v>6729</v>
      </c>
      <c r="C19" s="34" t="s">
        <v>6725</v>
      </c>
    </row>
    <row r="20" spans="1:3" ht="9" customHeight="1" x14ac:dyDescent="0.2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2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2">
      <c r="A22" s="11" t="s">
        <v>3249</v>
      </c>
      <c r="B22" s="11" t="s">
        <v>11</v>
      </c>
      <c r="C22" s="34" t="s">
        <v>6725</v>
      </c>
    </row>
    <row r="23" spans="1:3" ht="9" customHeight="1" x14ac:dyDescent="0.2">
      <c r="A23" s="11" t="s">
        <v>3261</v>
      </c>
      <c r="B23" s="11" t="s">
        <v>11</v>
      </c>
      <c r="C23" s="34" t="s">
        <v>6725</v>
      </c>
    </row>
    <row r="24" spans="1:3" ht="9" customHeight="1" x14ac:dyDescent="0.2">
      <c r="A24" s="11" t="s">
        <v>3271</v>
      </c>
      <c r="B24" s="11" t="s">
        <v>3272</v>
      </c>
      <c r="C24" s="34" t="s">
        <v>6725</v>
      </c>
    </row>
    <row r="25" spans="1:3" ht="9" customHeight="1" x14ac:dyDescent="0.2">
      <c r="A25" s="11" t="s">
        <v>3273</v>
      </c>
      <c r="B25" s="11" t="s">
        <v>3274</v>
      </c>
      <c r="C25" s="34" t="s">
        <v>6726</v>
      </c>
    </row>
    <row r="26" spans="1:3" ht="9" customHeight="1" x14ac:dyDescent="0.2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2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2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2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15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15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15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15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15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15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15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15">
      <c r="A37" s="31" t="s">
        <v>7480</v>
      </c>
      <c r="B37" s="61" t="s">
        <v>7481</v>
      </c>
      <c r="C37" s="34" t="s">
        <v>6725</v>
      </c>
    </row>
    <row r="38" spans="1:3" customFormat="1" ht="9.9499999999999993" customHeight="1" x14ac:dyDescent="0.2">
      <c r="A38" s="11" t="s">
        <v>7482</v>
      </c>
      <c r="B38" s="64" t="s">
        <v>7483</v>
      </c>
      <c r="C38" s="34" t="s">
        <v>6725</v>
      </c>
    </row>
    <row r="39" spans="1:3" s="66" customFormat="1" ht="9.6" customHeight="1" x14ac:dyDescent="0.15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89"/>
  <sheetViews>
    <sheetView tabSelected="1" topLeftCell="R1" zoomScale="205" zoomScaleNormal="205" workbookViewId="0">
      <pane ySplit="1" topLeftCell="A2" activePane="bottomLeft" state="frozen"/>
      <selection pane="bottomLeft" activeCell="X6" sqref="X6"/>
    </sheetView>
  </sheetViews>
  <sheetFormatPr defaultRowHeight="6.75" customHeight="1" x14ac:dyDescent="0.2"/>
  <cols>
    <col min="1" max="1" width="2.6640625" customWidth="1"/>
    <col min="2" max="2" width="5.83203125" style="26" customWidth="1"/>
    <col min="3" max="3" width="7.83203125" style="26" customWidth="1"/>
    <col min="4" max="4" width="10.33203125" style="26" customWidth="1"/>
    <col min="5" max="5" width="13.83203125" style="26" customWidth="1"/>
    <col min="6" max="6" width="18.33203125" style="26" customWidth="1"/>
    <col min="7" max="11" width="8.33203125" style="26" bestFit="1" customWidth="1"/>
    <col min="12" max="12" width="6.5" bestFit="1" customWidth="1"/>
    <col min="13" max="13" width="9.5" customWidth="1"/>
    <col min="14" max="14" width="11.33203125" customWidth="1"/>
    <col min="15" max="15" width="18" customWidth="1"/>
    <col min="16" max="16" width="62" bestFit="1" customWidth="1"/>
    <col min="17" max="17" width="45.6640625" bestFit="1" customWidth="1"/>
    <col min="18" max="18" width="4.83203125" style="26" bestFit="1" customWidth="1"/>
    <col min="19" max="19" width="8.6640625" customWidth="1"/>
    <col min="20" max="20" width="10.6640625" customWidth="1"/>
    <col min="21" max="21" width="12.5" customWidth="1"/>
    <col min="22" max="22" width="9.6640625" customWidth="1"/>
    <col min="23" max="23" width="10.1640625" style="26" customWidth="1"/>
    <col min="24" max="24" width="43.83203125" customWidth="1"/>
    <col min="25" max="25" width="8.6640625" customWidth="1"/>
    <col min="26" max="26" width="11.1640625" bestFit="1" customWidth="1"/>
    <col min="27" max="27" width="64.5" bestFit="1" customWidth="1"/>
  </cols>
  <sheetData>
    <row r="1" spans="1:27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6714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8" t="s">
        <v>6692</v>
      </c>
      <c r="X1" s="19" t="s">
        <v>6717</v>
      </c>
      <c r="Y1" s="19" t="s">
        <v>6718</v>
      </c>
      <c r="Z1" s="19" t="s">
        <v>6693</v>
      </c>
      <c r="AA1" s="29" t="s">
        <v>6720</v>
      </c>
    </row>
    <row r="2" spans="1:27" ht="8.25" customHeight="1" x14ac:dyDescent="0.2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30" t="s">
        <v>3262</v>
      </c>
      <c r="S2" s="51" t="str">
        <f t="shared" ref="S2:U14" si="2">SUBSTITUTE(C2, "_", " ")</f>
        <v>Normativos</v>
      </c>
      <c r="T2" s="51" t="str">
        <f t="shared" si="2"/>
        <v>ABNT</v>
      </c>
      <c r="U2" s="50" t="str">
        <f t="shared" si="2"/>
        <v>NBR.Parte</v>
      </c>
      <c r="V2" s="30" t="s">
        <v>6928</v>
      </c>
      <c r="W2" s="57" t="str">
        <f t="shared" ref="W2:W14" si="3">CONCATENATE("Key-ABNT-",A2)</f>
        <v>Key-ABNT-2</v>
      </c>
      <c r="X2" s="30" t="s">
        <v>7489</v>
      </c>
      <c r="Y2" s="30" t="s">
        <v>7490</v>
      </c>
      <c r="Z2" s="30" t="s">
        <v>6929</v>
      </c>
      <c r="AA2" s="52" t="s">
        <v>7423</v>
      </c>
    </row>
    <row r="3" spans="1:27" ht="8.25" customHeight="1" x14ac:dyDescent="0.2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30" t="s">
        <v>3262</v>
      </c>
      <c r="S3" s="51" t="str">
        <f t="shared" si="2"/>
        <v>Normativos</v>
      </c>
      <c r="T3" s="51" t="str">
        <f t="shared" si="2"/>
        <v>ABNT</v>
      </c>
      <c r="U3" s="50" t="str">
        <f t="shared" si="2"/>
        <v>NBR.Parte</v>
      </c>
      <c r="V3" s="30" t="s">
        <v>6928</v>
      </c>
      <c r="W3" s="57" t="str">
        <f t="shared" si="3"/>
        <v>Key-ABNT-3</v>
      </c>
      <c r="X3" s="30" t="s">
        <v>7491</v>
      </c>
      <c r="Y3" s="30" t="s">
        <v>7497</v>
      </c>
      <c r="Z3" s="30" t="s">
        <v>6930</v>
      </c>
      <c r="AA3" s="52" t="s">
        <v>7426</v>
      </c>
    </row>
    <row r="4" spans="1:27" ht="8.25" customHeight="1" x14ac:dyDescent="0.2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30" t="s">
        <v>3262</v>
      </c>
      <c r="S4" s="51" t="str">
        <f t="shared" si="2"/>
        <v>Normativos</v>
      </c>
      <c r="T4" s="51" t="str">
        <f t="shared" si="2"/>
        <v>ABNT</v>
      </c>
      <c r="U4" s="50" t="str">
        <f t="shared" si="2"/>
        <v>NBR.Parte</v>
      </c>
      <c r="V4" s="30" t="s">
        <v>6928</v>
      </c>
      <c r="W4" s="57" t="str">
        <f t="shared" si="3"/>
        <v>Key-ABNT-4</v>
      </c>
      <c r="X4" s="30" t="s">
        <v>7491</v>
      </c>
      <c r="Y4" s="30" t="s">
        <v>7492</v>
      </c>
      <c r="Z4" s="30" t="s">
        <v>6931</v>
      </c>
      <c r="AA4" s="52" t="s">
        <v>7429</v>
      </c>
    </row>
    <row r="5" spans="1:27" ht="8.25" customHeight="1" x14ac:dyDescent="0.2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30" t="s">
        <v>3262</v>
      </c>
      <c r="S5" s="51" t="str">
        <f t="shared" si="2"/>
        <v>Normativos</v>
      </c>
      <c r="T5" s="51" t="str">
        <f t="shared" si="2"/>
        <v>ABNT</v>
      </c>
      <c r="U5" s="50" t="str">
        <f t="shared" si="2"/>
        <v>NBR.Parte</v>
      </c>
      <c r="V5" s="30" t="s">
        <v>6928</v>
      </c>
      <c r="W5" s="57" t="str">
        <f t="shared" si="3"/>
        <v>Key-ABNT-5</v>
      </c>
      <c r="X5" s="30" t="s">
        <v>7493</v>
      </c>
      <c r="Y5" s="30" t="s">
        <v>7494</v>
      </c>
      <c r="Z5" s="30" t="s">
        <v>6932</v>
      </c>
      <c r="AA5" s="52" t="s">
        <v>7432</v>
      </c>
    </row>
    <row r="6" spans="1:27" ht="8.25" customHeight="1" x14ac:dyDescent="0.2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30" t="s">
        <v>3262</v>
      </c>
      <c r="S6" s="51" t="str">
        <f t="shared" si="2"/>
        <v>Normativos</v>
      </c>
      <c r="T6" s="51" t="str">
        <f t="shared" si="2"/>
        <v>ABNT</v>
      </c>
      <c r="U6" s="50" t="str">
        <f t="shared" si="2"/>
        <v>NBR.Parte</v>
      </c>
      <c r="V6" s="30" t="s">
        <v>6928</v>
      </c>
      <c r="W6" s="57" t="str">
        <f t="shared" si="3"/>
        <v>Key-ABNT-6</v>
      </c>
      <c r="X6" s="30" t="s">
        <v>7491</v>
      </c>
      <c r="Y6" s="30" t="s">
        <v>7492</v>
      </c>
      <c r="Z6" s="30" t="s">
        <v>6933</v>
      </c>
      <c r="AA6" s="52" t="s">
        <v>7435</v>
      </c>
    </row>
    <row r="7" spans="1:27" ht="8.25" customHeight="1" x14ac:dyDescent="0.2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30" t="s">
        <v>3262</v>
      </c>
      <c r="S7" s="51" t="str">
        <f t="shared" si="2"/>
        <v>Normativos</v>
      </c>
      <c r="T7" s="51" t="str">
        <f t="shared" si="2"/>
        <v>ABNT</v>
      </c>
      <c r="U7" s="50" t="str">
        <f t="shared" si="2"/>
        <v>NBR.Parte</v>
      </c>
      <c r="V7" s="30" t="s">
        <v>6928</v>
      </c>
      <c r="W7" s="57" t="str">
        <f t="shared" si="3"/>
        <v>Key-ABNT-7</v>
      </c>
      <c r="X7" s="30" t="s">
        <v>7491</v>
      </c>
      <c r="Y7" s="30" t="s">
        <v>7491</v>
      </c>
      <c r="Z7" s="30" t="s">
        <v>6663</v>
      </c>
      <c r="AA7" s="52" t="s">
        <v>7438</v>
      </c>
    </row>
    <row r="8" spans="1:27" ht="8.25" customHeight="1" x14ac:dyDescent="0.2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30" t="s">
        <v>3262</v>
      </c>
      <c r="S8" s="51" t="str">
        <f t="shared" si="2"/>
        <v>Normativos</v>
      </c>
      <c r="T8" s="51" t="str">
        <f t="shared" si="2"/>
        <v>ABNT</v>
      </c>
      <c r="U8" s="50" t="str">
        <f t="shared" si="2"/>
        <v>NBR.Parte</v>
      </c>
      <c r="V8" s="30" t="s">
        <v>6928</v>
      </c>
      <c r="W8" s="57" t="str">
        <f t="shared" si="3"/>
        <v>Key-ABNT-8</v>
      </c>
      <c r="X8" s="30" t="s">
        <v>7491</v>
      </c>
      <c r="Y8" s="30" t="s">
        <v>7491</v>
      </c>
      <c r="Z8" s="30" t="s">
        <v>6934</v>
      </c>
      <c r="AA8" s="52" t="s">
        <v>7441</v>
      </c>
    </row>
    <row r="9" spans="1:27" ht="8.25" customHeight="1" x14ac:dyDescent="0.2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30" t="s">
        <v>3262</v>
      </c>
      <c r="S9" s="51" t="str">
        <f t="shared" si="2"/>
        <v>Normativos</v>
      </c>
      <c r="T9" s="51" t="str">
        <f t="shared" si="2"/>
        <v>ABNT</v>
      </c>
      <c r="U9" s="50" t="str">
        <f t="shared" si="2"/>
        <v>NBR.Parte</v>
      </c>
      <c r="V9" s="30" t="s">
        <v>6928</v>
      </c>
      <c r="W9" s="57" t="str">
        <f t="shared" si="3"/>
        <v>Key-ABNT-9</v>
      </c>
      <c r="X9" s="30" t="s">
        <v>7491</v>
      </c>
      <c r="Y9" s="30" t="s">
        <v>7491</v>
      </c>
      <c r="Z9" s="30" t="s">
        <v>6935</v>
      </c>
      <c r="AA9" s="52" t="s">
        <v>7444</v>
      </c>
    </row>
    <row r="10" spans="1:27" ht="8.25" customHeight="1" x14ac:dyDescent="0.2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30" t="s">
        <v>3262</v>
      </c>
      <c r="S10" s="51" t="str">
        <f t="shared" si="2"/>
        <v>Normativos</v>
      </c>
      <c r="T10" s="51" t="str">
        <f t="shared" si="2"/>
        <v>ABNT</v>
      </c>
      <c r="U10" s="50" t="str">
        <f t="shared" si="2"/>
        <v>NBR.Parte</v>
      </c>
      <c r="V10" s="30" t="s">
        <v>6928</v>
      </c>
      <c r="W10" s="57" t="str">
        <f t="shared" si="3"/>
        <v>Key-ABNT-10</v>
      </c>
      <c r="X10" s="30" t="s">
        <v>7491</v>
      </c>
      <c r="Y10" s="30" t="s">
        <v>7491</v>
      </c>
      <c r="Z10" s="30" t="s">
        <v>6936</v>
      </c>
      <c r="AA10" s="52" t="s">
        <v>7447</v>
      </c>
    </row>
    <row r="11" spans="1:27" ht="8.25" customHeight="1" x14ac:dyDescent="0.2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30" t="s">
        <v>3262</v>
      </c>
      <c r="S11" s="51" t="str">
        <f t="shared" si="2"/>
        <v>Normativos</v>
      </c>
      <c r="T11" s="51" t="str">
        <f t="shared" si="2"/>
        <v>ABNT</v>
      </c>
      <c r="U11" s="50" t="str">
        <f t="shared" si="2"/>
        <v>NBR.Parte</v>
      </c>
      <c r="V11" s="30" t="s">
        <v>6928</v>
      </c>
      <c r="W11" s="57" t="str">
        <f t="shared" si="3"/>
        <v>Key-ABNT-11</v>
      </c>
      <c r="X11" s="30" t="s">
        <v>7491</v>
      </c>
      <c r="Y11" s="30" t="s">
        <v>7491</v>
      </c>
      <c r="Z11" s="30" t="s">
        <v>6937</v>
      </c>
      <c r="AA11" s="52" t="s">
        <v>7450</v>
      </c>
    </row>
    <row r="12" spans="1:27" ht="8.25" customHeight="1" x14ac:dyDescent="0.2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30" t="s">
        <v>3262</v>
      </c>
      <c r="S12" s="51" t="str">
        <f t="shared" si="2"/>
        <v>Normativos</v>
      </c>
      <c r="T12" s="51" t="str">
        <f t="shared" si="2"/>
        <v>ABNT</v>
      </c>
      <c r="U12" s="50" t="str">
        <f t="shared" si="2"/>
        <v>NBR.Parte</v>
      </c>
      <c r="V12" s="30" t="s">
        <v>6928</v>
      </c>
      <c r="W12" s="57" t="str">
        <f t="shared" si="3"/>
        <v>Key-ABNT-12</v>
      </c>
      <c r="X12" s="30" t="s">
        <v>7495</v>
      </c>
      <c r="Y12" s="30" t="s">
        <v>7496</v>
      </c>
      <c r="Z12" s="30" t="s">
        <v>6938</v>
      </c>
      <c r="AA12" s="52" t="s">
        <v>7453</v>
      </c>
    </row>
    <row r="13" spans="1:27" ht="8.25" customHeight="1" x14ac:dyDescent="0.2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30" t="s">
        <v>3262</v>
      </c>
      <c r="S13" s="51" t="str">
        <f t="shared" si="2"/>
        <v>Normativos</v>
      </c>
      <c r="T13" s="51" t="str">
        <f t="shared" si="2"/>
        <v>ABNT</v>
      </c>
      <c r="U13" s="50" t="str">
        <f t="shared" si="2"/>
        <v>NBR.Parte</v>
      </c>
      <c r="V13" s="30" t="s">
        <v>6928</v>
      </c>
      <c r="W13" s="57" t="str">
        <f t="shared" si="3"/>
        <v>Key-ABNT-13</v>
      </c>
      <c r="X13" s="30" t="s">
        <v>7495</v>
      </c>
      <c r="Y13" s="30" t="s">
        <v>7496</v>
      </c>
      <c r="Z13" s="30" t="s">
        <v>6939</v>
      </c>
      <c r="AA13" s="52" t="s">
        <v>7456</v>
      </c>
    </row>
    <row r="14" spans="1:27" ht="8.25" customHeight="1" x14ac:dyDescent="0.2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30" t="s">
        <v>3262</v>
      </c>
      <c r="S14" s="51" t="str">
        <f t="shared" si="2"/>
        <v>Normativos</v>
      </c>
      <c r="T14" s="51" t="str">
        <f t="shared" si="2"/>
        <v>ABNT</v>
      </c>
      <c r="U14" s="50" t="str">
        <f t="shared" si="2"/>
        <v>NBR.Parte</v>
      </c>
      <c r="V14" s="30" t="s">
        <v>6928</v>
      </c>
      <c r="W14" s="57" t="str">
        <f t="shared" si="3"/>
        <v>Key-ABNT-14</v>
      </c>
      <c r="X14" s="67" t="s">
        <v>7498</v>
      </c>
      <c r="Y14" s="68" t="s">
        <v>7499</v>
      </c>
      <c r="Z14" s="30" t="s">
        <v>6940</v>
      </c>
      <c r="AA14" s="52" t="s">
        <v>7459</v>
      </c>
    </row>
    <row r="15" spans="1:27" ht="8.25" customHeight="1" x14ac:dyDescent="0.2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 t="shared" ref="L15" si="4">CONCATENATE("", C15)</f>
        <v>Normativos</v>
      </c>
      <c r="M15" s="50" t="str">
        <f t="shared" ref="M15" si="5">CONCATENATE("", D15)</f>
        <v>NBR.Temáticas</v>
      </c>
      <c r="N15" s="50" t="str">
        <f t="shared" ref="N15" si="6">CONCATENATE("", E15)</f>
        <v>NBR.Construção</v>
      </c>
      <c r="O15" s="50" t="str">
        <f t="shared" ref="O15" si="7">F15</f>
        <v>NBR.C.Produto.de.Implantação</v>
      </c>
      <c r="P15" s="50" t="s">
        <v>7119</v>
      </c>
      <c r="Q15" s="52" t="str">
        <f>_xlfn.TRANSLATE(P15,"pt","es")</f>
        <v>Despliegue</v>
      </c>
      <c r="R15" s="30" t="s">
        <v>3262</v>
      </c>
      <c r="S15" s="51" t="str">
        <f t="shared" ref="S15" si="8">SUBSTITUTE(C15, "_", " ")</f>
        <v>Normativos</v>
      </c>
      <c r="T15" s="51" t="str">
        <f t="shared" ref="T15" si="9">SUBSTITUTE(D15, "_", " ")</f>
        <v>NBR.Temáticas</v>
      </c>
      <c r="U15" s="50" t="str">
        <f t="shared" ref="U15" si="10">SUBSTITUTE(E15, "_", " ")</f>
        <v>NBR.Construção</v>
      </c>
      <c r="V15" s="30" t="s">
        <v>6928</v>
      </c>
      <c r="W15" s="57" t="str">
        <f t="shared" ref="W15:W61" si="11">CONCATENATE("Key-ABNT-",A15)</f>
        <v>Key-ABNT-15</v>
      </c>
      <c r="X15" s="30" t="s">
        <v>7491</v>
      </c>
      <c r="Y15" s="30" t="s">
        <v>7491</v>
      </c>
      <c r="Z15" s="55" t="s">
        <v>7157</v>
      </c>
      <c r="AA15" s="52" t="str">
        <f>_xlfn.TRANSLATE(P15,"pt","en")</f>
        <v>Deployment</v>
      </c>
    </row>
    <row r="16" spans="1:27" ht="8.25" customHeight="1" x14ac:dyDescent="0.2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12">CONCATENATE("", C16)</f>
        <v>Normativos</v>
      </c>
      <c r="M16" s="50" t="str">
        <f t="shared" ref="M16:M79" si="13">CONCATENATE("", D16)</f>
        <v>NBR.Temáticas</v>
      </c>
      <c r="N16" s="50" t="str">
        <f t="shared" ref="N16:N79" si="14">CONCATENATE("", E16)</f>
        <v>NBR.Construção</v>
      </c>
      <c r="O16" s="50" t="str">
        <f t="shared" ref="O16:O79" si="15">F16</f>
        <v>NBR.C.Pavimento.e.Drenagem</v>
      </c>
      <c r="P16" s="50" t="s">
        <v>7203</v>
      </c>
      <c r="Q16" s="52" t="str">
        <f t="shared" ref="Q16:Q79" si="16">_xlfn.TRANSLATE(P16,"pt","es")</f>
        <v>Pavimento y drenaje</v>
      </c>
      <c r="R16" s="30" t="s">
        <v>3262</v>
      </c>
      <c r="S16" s="51" t="str">
        <f t="shared" ref="S16:S79" si="17">SUBSTITUTE(C16, "_", " ")</f>
        <v>Normativos</v>
      </c>
      <c r="T16" s="51" t="str">
        <f t="shared" ref="T16:T79" si="18">SUBSTITUTE(D16, "_", " ")</f>
        <v>NBR.Temáticas</v>
      </c>
      <c r="U16" s="50" t="str">
        <f t="shared" ref="U16:U79" si="19">SUBSTITUTE(E16, "_", " ")</f>
        <v>NBR.Construção</v>
      </c>
      <c r="V16" s="30" t="s">
        <v>6928</v>
      </c>
      <c r="W16" s="57" t="str">
        <f t="shared" si="11"/>
        <v>Key-ABNT-16</v>
      </c>
      <c r="X16" s="30" t="s">
        <v>7491</v>
      </c>
      <c r="Y16" s="30" t="s">
        <v>7491</v>
      </c>
      <c r="Z16" s="55" t="s">
        <v>7221</v>
      </c>
      <c r="AA16" s="52" t="str">
        <f t="shared" ref="AA16:AA79" si="20">_xlfn.TRANSLATE(P16,"pt","en")</f>
        <v>Pavement and Drainage</v>
      </c>
    </row>
    <row r="17" spans="1:27" ht="8.25" customHeight="1" x14ac:dyDescent="0.2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12"/>
        <v>Normativos</v>
      </c>
      <c r="M17" s="50" t="str">
        <f t="shared" si="13"/>
        <v>NBR.Temáticas</v>
      </c>
      <c r="N17" s="50" t="str">
        <f t="shared" si="14"/>
        <v>NBR.Construção</v>
      </c>
      <c r="O17" s="50" t="str">
        <f t="shared" si="15"/>
        <v>NBR.C.Paisagismo</v>
      </c>
      <c r="P17" s="50" t="s">
        <v>7120</v>
      </c>
      <c r="Q17" s="52" t="str">
        <f t="shared" si="16"/>
        <v>Paisajismo</v>
      </c>
      <c r="R17" s="30" t="s">
        <v>3262</v>
      </c>
      <c r="S17" s="51" t="str">
        <f t="shared" si="17"/>
        <v>Normativos</v>
      </c>
      <c r="T17" s="51" t="str">
        <f t="shared" si="18"/>
        <v>NBR.Temáticas</v>
      </c>
      <c r="U17" s="50" t="str">
        <f t="shared" si="19"/>
        <v>NBR.Construção</v>
      </c>
      <c r="V17" s="30" t="s">
        <v>6928</v>
      </c>
      <c r="W17" s="57" t="str">
        <f t="shared" si="11"/>
        <v>Key-ABNT-17</v>
      </c>
      <c r="X17" s="30" t="s">
        <v>7491</v>
      </c>
      <c r="Y17" s="30" t="s">
        <v>7491</v>
      </c>
      <c r="Z17" s="55" t="s">
        <v>7160</v>
      </c>
      <c r="AA17" s="52" t="str">
        <f t="shared" si="20"/>
        <v>Landscaping</v>
      </c>
    </row>
    <row r="18" spans="1:27" ht="8.25" customHeight="1" x14ac:dyDescent="0.2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12"/>
        <v>Normativos</v>
      </c>
      <c r="M18" s="50" t="str">
        <f t="shared" si="13"/>
        <v>NBR.Temáticas</v>
      </c>
      <c r="N18" s="50" t="str">
        <f t="shared" si="14"/>
        <v>NBR.Construção</v>
      </c>
      <c r="O18" s="50" t="str">
        <f t="shared" si="15"/>
        <v>NBR.C.Superficie</v>
      </c>
      <c r="P18" s="50" t="s">
        <v>7121</v>
      </c>
      <c r="Q18" s="52" t="str">
        <f t="shared" si="16"/>
        <v>Superficie</v>
      </c>
      <c r="R18" s="30" t="s">
        <v>3262</v>
      </c>
      <c r="S18" s="51" t="str">
        <f t="shared" si="17"/>
        <v>Normativos</v>
      </c>
      <c r="T18" s="51" t="str">
        <f t="shared" si="18"/>
        <v>NBR.Temáticas</v>
      </c>
      <c r="U18" s="50" t="str">
        <f t="shared" si="19"/>
        <v>NBR.Construção</v>
      </c>
      <c r="V18" s="30" t="s">
        <v>6928</v>
      </c>
      <c r="W18" s="57" t="str">
        <f t="shared" si="11"/>
        <v>Key-ABNT-18</v>
      </c>
      <c r="X18" s="30" t="s">
        <v>7491</v>
      </c>
      <c r="Y18" s="30" t="s">
        <v>7491</v>
      </c>
      <c r="Z18" s="55" t="s">
        <v>7040</v>
      </c>
      <c r="AA18" s="52" t="str">
        <f t="shared" si="20"/>
        <v>Surface</v>
      </c>
    </row>
    <row r="19" spans="1:27" ht="8.25" customHeight="1" x14ac:dyDescent="0.2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12"/>
        <v>Normativos</v>
      </c>
      <c r="M19" s="50" t="str">
        <f t="shared" si="13"/>
        <v>NBR.Temáticas</v>
      </c>
      <c r="N19" s="50" t="str">
        <f t="shared" si="14"/>
        <v>NBR.Construção</v>
      </c>
      <c r="O19" s="50" t="str">
        <f t="shared" si="15"/>
        <v>NBR.C.Concreto</v>
      </c>
      <c r="P19" s="50" t="s">
        <v>7122</v>
      </c>
      <c r="Q19" s="52" t="str">
        <f t="shared" si="16"/>
        <v>Hormigón</v>
      </c>
      <c r="R19" s="30" t="s">
        <v>3262</v>
      </c>
      <c r="S19" s="51" t="str">
        <f t="shared" si="17"/>
        <v>Normativos</v>
      </c>
      <c r="T19" s="51" t="str">
        <f t="shared" si="18"/>
        <v>NBR.Temáticas</v>
      </c>
      <c r="U19" s="50" t="str">
        <f t="shared" si="19"/>
        <v>NBR.Construção</v>
      </c>
      <c r="V19" s="30" t="s">
        <v>6928</v>
      </c>
      <c r="W19" s="57" t="str">
        <f t="shared" si="11"/>
        <v>Key-ABNT-19</v>
      </c>
      <c r="X19" s="30" t="s">
        <v>7491</v>
      </c>
      <c r="Y19" s="30" t="s">
        <v>7491</v>
      </c>
      <c r="Z19" s="55" t="s">
        <v>7041</v>
      </c>
      <c r="AA19" s="52" t="str">
        <f t="shared" si="20"/>
        <v>Concrete</v>
      </c>
    </row>
    <row r="20" spans="1:27" ht="8.25" customHeight="1" x14ac:dyDescent="0.2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12"/>
        <v>Normativos</v>
      </c>
      <c r="M20" s="50" t="str">
        <f t="shared" si="13"/>
        <v>NBR.Temáticas</v>
      </c>
      <c r="N20" s="50" t="str">
        <f t="shared" si="14"/>
        <v>NBR.Construção</v>
      </c>
      <c r="O20" s="50" t="str">
        <f t="shared" si="15"/>
        <v>NBR.C.Argamassa</v>
      </c>
      <c r="P20" s="50" t="s">
        <v>7123</v>
      </c>
      <c r="Q20" s="52" t="str">
        <f t="shared" si="16"/>
        <v>Mortero</v>
      </c>
      <c r="R20" s="30" t="s">
        <v>3262</v>
      </c>
      <c r="S20" s="51" t="str">
        <f t="shared" si="17"/>
        <v>Normativos</v>
      </c>
      <c r="T20" s="51" t="str">
        <f t="shared" si="18"/>
        <v>NBR.Temáticas</v>
      </c>
      <c r="U20" s="50" t="str">
        <f t="shared" si="19"/>
        <v>NBR.Construção</v>
      </c>
      <c r="V20" s="30" t="s">
        <v>6928</v>
      </c>
      <c r="W20" s="57" t="str">
        <f t="shared" si="11"/>
        <v>Key-ABNT-20</v>
      </c>
      <c r="X20" s="30" t="s">
        <v>7491</v>
      </c>
      <c r="Y20" s="30" t="s">
        <v>7491</v>
      </c>
      <c r="Z20" s="55" t="s">
        <v>7042</v>
      </c>
      <c r="AA20" s="52" t="str">
        <f t="shared" si="20"/>
        <v>Mortar</v>
      </c>
    </row>
    <row r="21" spans="1:27" ht="8.25" customHeight="1" x14ac:dyDescent="0.2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12"/>
        <v>Normativos</v>
      </c>
      <c r="M21" s="50" t="str">
        <f t="shared" si="13"/>
        <v>NBR.Temáticas</v>
      </c>
      <c r="N21" s="50" t="str">
        <f t="shared" si="14"/>
        <v>NBR.Construção</v>
      </c>
      <c r="O21" s="50" t="str">
        <f t="shared" si="15"/>
        <v>NBR.C.Graute</v>
      </c>
      <c r="P21" s="50" t="s">
        <v>7124</v>
      </c>
      <c r="Q21" s="52" t="str">
        <f t="shared" si="16"/>
        <v>Lechada</v>
      </c>
      <c r="R21" s="30" t="s">
        <v>3262</v>
      </c>
      <c r="S21" s="51" t="str">
        <f t="shared" si="17"/>
        <v>Normativos</v>
      </c>
      <c r="T21" s="51" t="str">
        <f t="shared" si="18"/>
        <v>NBR.Temáticas</v>
      </c>
      <c r="U21" s="50" t="str">
        <f t="shared" si="19"/>
        <v>NBR.Construção</v>
      </c>
      <c r="V21" s="30" t="s">
        <v>6928</v>
      </c>
      <c r="W21" s="57" t="str">
        <f t="shared" si="11"/>
        <v>Key-ABNT-21</v>
      </c>
      <c r="X21" s="30" t="s">
        <v>7491</v>
      </c>
      <c r="Y21" s="30" t="s">
        <v>7491</v>
      </c>
      <c r="Z21" s="55" t="s">
        <v>7043</v>
      </c>
      <c r="AA21" s="52" t="str">
        <f t="shared" si="20"/>
        <v>Grout</v>
      </c>
    </row>
    <row r="22" spans="1:27" ht="8.25" customHeight="1" x14ac:dyDescent="0.2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12"/>
        <v>Normativos</v>
      </c>
      <c r="M22" s="50" t="str">
        <f t="shared" si="13"/>
        <v>NBR.Temáticas</v>
      </c>
      <c r="N22" s="50" t="str">
        <f t="shared" si="14"/>
        <v>NBR.Construção</v>
      </c>
      <c r="O22" s="50" t="str">
        <f t="shared" si="15"/>
        <v>NBR.C.Alvenaria</v>
      </c>
      <c r="P22" s="50" t="s">
        <v>7125</v>
      </c>
      <c r="Q22" s="52" t="str">
        <f t="shared" si="16"/>
        <v>Albañilería</v>
      </c>
      <c r="R22" s="30" t="s">
        <v>3262</v>
      </c>
      <c r="S22" s="51" t="str">
        <f t="shared" si="17"/>
        <v>Normativos</v>
      </c>
      <c r="T22" s="51" t="str">
        <f t="shared" si="18"/>
        <v>NBR.Temáticas</v>
      </c>
      <c r="U22" s="50" t="str">
        <f t="shared" si="19"/>
        <v>NBR.Construção</v>
      </c>
      <c r="V22" s="30" t="s">
        <v>6928</v>
      </c>
      <c r="W22" s="57" t="str">
        <f t="shared" si="11"/>
        <v>Key-ABNT-22</v>
      </c>
      <c r="X22" s="30" t="s">
        <v>7491</v>
      </c>
      <c r="Y22" s="30" t="s">
        <v>7491</v>
      </c>
      <c r="Z22" s="55" t="s">
        <v>7044</v>
      </c>
      <c r="AA22" s="52" t="str">
        <f t="shared" si="20"/>
        <v>Masonry</v>
      </c>
    </row>
    <row r="23" spans="1:27" ht="8.25" customHeight="1" x14ac:dyDescent="0.2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12"/>
        <v>Normativos</v>
      </c>
      <c r="M23" s="50" t="str">
        <f t="shared" si="13"/>
        <v>NBR.Temáticas</v>
      </c>
      <c r="N23" s="50" t="str">
        <f t="shared" si="14"/>
        <v>NBR.Construção</v>
      </c>
      <c r="O23" s="50" t="str">
        <f t="shared" si="15"/>
        <v>NBR.C.Proteção.Térmica</v>
      </c>
      <c r="P23" s="50" t="s">
        <v>7162</v>
      </c>
      <c r="Q23" s="52" t="str">
        <f t="shared" si="16"/>
        <v>Protección Térmica</v>
      </c>
      <c r="R23" s="30" t="s">
        <v>3262</v>
      </c>
      <c r="S23" s="51" t="str">
        <f t="shared" si="17"/>
        <v>Normativos</v>
      </c>
      <c r="T23" s="51" t="str">
        <f t="shared" si="18"/>
        <v>NBR.Temáticas</v>
      </c>
      <c r="U23" s="50" t="str">
        <f t="shared" si="19"/>
        <v>NBR.Construção</v>
      </c>
      <c r="V23" s="30" t="s">
        <v>6928</v>
      </c>
      <c r="W23" s="57" t="str">
        <f t="shared" si="11"/>
        <v>Key-ABNT-23</v>
      </c>
      <c r="X23" s="30" t="s">
        <v>7491</v>
      </c>
      <c r="Y23" s="30" t="s">
        <v>7491</v>
      </c>
      <c r="Z23" s="55" t="s">
        <v>7045</v>
      </c>
      <c r="AA23" s="52" t="str">
        <f t="shared" si="20"/>
        <v>Thermal Protection</v>
      </c>
    </row>
    <row r="24" spans="1:27" ht="8.25" customHeight="1" x14ac:dyDescent="0.2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12"/>
        <v>Normativos</v>
      </c>
      <c r="M24" s="50" t="str">
        <f t="shared" si="13"/>
        <v>NBR.Temáticas</v>
      </c>
      <c r="N24" s="50" t="str">
        <f t="shared" si="14"/>
        <v>NBR.Construção</v>
      </c>
      <c r="O24" s="50" t="str">
        <f t="shared" si="15"/>
        <v>NBR.C.Impermeabilização</v>
      </c>
      <c r="P24" s="50" t="s">
        <v>7126</v>
      </c>
      <c r="Q24" s="52" t="str">
        <f t="shared" si="16"/>
        <v>Impermeabilización</v>
      </c>
      <c r="R24" s="30" t="s">
        <v>3262</v>
      </c>
      <c r="S24" s="51" t="str">
        <f t="shared" si="17"/>
        <v>Normativos</v>
      </c>
      <c r="T24" s="51" t="str">
        <f t="shared" si="18"/>
        <v>NBR.Temáticas</v>
      </c>
      <c r="U24" s="50" t="str">
        <f t="shared" si="19"/>
        <v>NBR.Construção</v>
      </c>
      <c r="V24" s="30" t="s">
        <v>6928</v>
      </c>
      <c r="W24" s="57" t="str">
        <f t="shared" si="11"/>
        <v>Key-ABNT-24</v>
      </c>
      <c r="X24" s="30" t="s">
        <v>7491</v>
      </c>
      <c r="Y24" s="30" t="s">
        <v>7491</v>
      </c>
      <c r="Z24" s="55" t="s">
        <v>7046</v>
      </c>
      <c r="AA24" s="52" t="str">
        <f t="shared" si="20"/>
        <v>Waterproofing</v>
      </c>
    </row>
    <row r="25" spans="1:27" ht="8.25" customHeight="1" x14ac:dyDescent="0.2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12"/>
        <v>Normativos</v>
      </c>
      <c r="M25" s="50" t="str">
        <f t="shared" si="13"/>
        <v>NBR.Temáticas</v>
      </c>
      <c r="N25" s="50" t="str">
        <f t="shared" si="14"/>
        <v>NBR.Construção</v>
      </c>
      <c r="O25" s="50" t="str">
        <f t="shared" si="15"/>
        <v>NBR.C.Isolamento</v>
      </c>
      <c r="P25" s="50" t="s">
        <v>7127</v>
      </c>
      <c r="Q25" s="52" t="str">
        <f t="shared" si="16"/>
        <v>Aislamiento</v>
      </c>
      <c r="R25" s="30" t="s">
        <v>3262</v>
      </c>
      <c r="S25" s="51" t="str">
        <f t="shared" si="17"/>
        <v>Normativos</v>
      </c>
      <c r="T25" s="51" t="str">
        <f t="shared" si="18"/>
        <v>NBR.Temáticas</v>
      </c>
      <c r="U25" s="50" t="str">
        <f t="shared" si="19"/>
        <v>NBR.Construção</v>
      </c>
      <c r="V25" s="30" t="s">
        <v>6928</v>
      </c>
      <c r="W25" s="57" t="str">
        <f t="shared" si="11"/>
        <v>Key-ABNT-25</v>
      </c>
      <c r="X25" s="30" t="s">
        <v>7491</v>
      </c>
      <c r="Y25" s="30" t="s">
        <v>7491</v>
      </c>
      <c r="Z25" s="55" t="s">
        <v>7047</v>
      </c>
      <c r="AA25" s="52" t="str">
        <f t="shared" si="20"/>
        <v>Isolation</v>
      </c>
    </row>
    <row r="26" spans="1:27" ht="8.25" customHeight="1" x14ac:dyDescent="0.2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12"/>
        <v>Normativos</v>
      </c>
      <c r="M26" s="50" t="str">
        <f t="shared" si="13"/>
        <v>NBR.Temáticas</v>
      </c>
      <c r="N26" s="50" t="str">
        <f t="shared" si="14"/>
        <v>NBR.Construção</v>
      </c>
      <c r="O26" s="50" t="str">
        <f t="shared" si="15"/>
        <v>NBR.C.Manutenção</v>
      </c>
      <c r="P26" s="50" t="s">
        <v>7128</v>
      </c>
      <c r="Q26" s="52" t="str">
        <f t="shared" si="16"/>
        <v>Mantenimiento</v>
      </c>
      <c r="R26" s="30" t="s">
        <v>3262</v>
      </c>
      <c r="S26" s="51" t="str">
        <f t="shared" si="17"/>
        <v>Normativos</v>
      </c>
      <c r="T26" s="51" t="str">
        <f t="shared" si="18"/>
        <v>NBR.Temáticas</v>
      </c>
      <c r="U26" s="50" t="str">
        <f t="shared" si="19"/>
        <v>NBR.Construção</v>
      </c>
      <c r="V26" s="30" t="s">
        <v>6928</v>
      </c>
      <c r="W26" s="57" t="str">
        <f t="shared" si="11"/>
        <v>Key-ABNT-26</v>
      </c>
      <c r="X26" s="30" t="s">
        <v>7491</v>
      </c>
      <c r="Y26" s="30" t="s">
        <v>7491</v>
      </c>
      <c r="Z26" s="55" t="s">
        <v>7048</v>
      </c>
      <c r="AA26" s="52" t="str">
        <f t="shared" si="20"/>
        <v>Maintenance</v>
      </c>
    </row>
    <row r="27" spans="1:27" ht="8.25" customHeight="1" x14ac:dyDescent="0.2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12"/>
        <v>Normativos</v>
      </c>
      <c r="M27" s="50" t="str">
        <f t="shared" si="13"/>
        <v>NBR.Temáticas</v>
      </c>
      <c r="N27" s="50" t="str">
        <f t="shared" si="14"/>
        <v>NBR.Construção</v>
      </c>
      <c r="O27" s="50" t="str">
        <f t="shared" si="15"/>
        <v>NBR.C.Produto.Fundação</v>
      </c>
      <c r="P27" s="50" t="s">
        <v>7129</v>
      </c>
      <c r="Q27" s="52" t="str">
        <f t="shared" si="16"/>
        <v>Fundación</v>
      </c>
      <c r="R27" s="30" t="s">
        <v>3262</v>
      </c>
      <c r="S27" s="51" t="str">
        <f t="shared" si="17"/>
        <v>Normativos</v>
      </c>
      <c r="T27" s="51" t="str">
        <f t="shared" si="18"/>
        <v>NBR.Temáticas</v>
      </c>
      <c r="U27" s="50" t="str">
        <f t="shared" si="19"/>
        <v>NBR.Construção</v>
      </c>
      <c r="V27" s="30" t="s">
        <v>6928</v>
      </c>
      <c r="W27" s="57" t="str">
        <f t="shared" si="11"/>
        <v>Key-ABNT-27</v>
      </c>
      <c r="X27" s="30" t="s">
        <v>7491</v>
      </c>
      <c r="Y27" s="30" t="s">
        <v>7491</v>
      </c>
      <c r="Z27" s="55" t="s">
        <v>7049</v>
      </c>
      <c r="AA27" s="52" t="str">
        <f t="shared" si="20"/>
        <v>Foundation</v>
      </c>
    </row>
    <row r="28" spans="1:27" ht="8.25" customHeight="1" x14ac:dyDescent="0.2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12"/>
        <v>Normativos</v>
      </c>
      <c r="M28" s="50" t="str">
        <f t="shared" si="13"/>
        <v>NBR.Temáticas</v>
      </c>
      <c r="N28" s="50" t="str">
        <f t="shared" si="14"/>
        <v>NBR.Construção</v>
      </c>
      <c r="O28" s="50" t="str">
        <f t="shared" si="15"/>
        <v>NBR.C.Produto.de.Forma</v>
      </c>
      <c r="P28" s="50" t="s">
        <v>7130</v>
      </c>
      <c r="Q28" s="52" t="str">
        <f t="shared" si="16"/>
        <v>Formas</v>
      </c>
      <c r="R28" s="30" t="s">
        <v>3262</v>
      </c>
      <c r="S28" s="51" t="str">
        <f t="shared" si="17"/>
        <v>Normativos</v>
      </c>
      <c r="T28" s="51" t="str">
        <f t="shared" si="18"/>
        <v>NBR.Temáticas</v>
      </c>
      <c r="U28" s="50" t="str">
        <f t="shared" si="19"/>
        <v>NBR.Construção</v>
      </c>
      <c r="V28" s="30" t="s">
        <v>6928</v>
      </c>
      <c r="W28" s="57" t="str">
        <f t="shared" si="11"/>
        <v>Key-ABNT-28</v>
      </c>
      <c r="X28" s="30" t="s">
        <v>7491</v>
      </c>
      <c r="Y28" s="30" t="s">
        <v>7491</v>
      </c>
      <c r="Z28" s="55" t="s">
        <v>7050</v>
      </c>
      <c r="AA28" s="52" t="str">
        <f t="shared" si="20"/>
        <v>Shapes</v>
      </c>
    </row>
    <row r="29" spans="1:27" ht="8.25" customHeight="1" x14ac:dyDescent="0.2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12"/>
        <v>Normativos</v>
      </c>
      <c r="M29" s="50" t="str">
        <f t="shared" si="13"/>
        <v>NBR.Temáticas</v>
      </c>
      <c r="N29" s="50" t="str">
        <f t="shared" si="14"/>
        <v>NBR.Construção</v>
      </c>
      <c r="O29" s="50" t="str">
        <f t="shared" si="15"/>
        <v>NBR.C.Produto.de.Armadura</v>
      </c>
      <c r="P29" s="50" t="s">
        <v>7131</v>
      </c>
      <c r="Q29" s="52" t="str">
        <f t="shared" si="16"/>
        <v>Blindaje</v>
      </c>
      <c r="R29" s="30" t="s">
        <v>3262</v>
      </c>
      <c r="S29" s="51" t="str">
        <f t="shared" si="17"/>
        <v>Normativos</v>
      </c>
      <c r="T29" s="51" t="str">
        <f t="shared" si="18"/>
        <v>NBR.Temáticas</v>
      </c>
      <c r="U29" s="50" t="str">
        <f t="shared" si="19"/>
        <v>NBR.Construção</v>
      </c>
      <c r="V29" s="30" t="s">
        <v>6928</v>
      </c>
      <c r="W29" s="57" t="str">
        <f t="shared" si="11"/>
        <v>Key-ABNT-29</v>
      </c>
      <c r="X29" s="30" t="s">
        <v>7491</v>
      </c>
      <c r="Y29" s="30" t="s">
        <v>7491</v>
      </c>
      <c r="Z29" s="55" t="s">
        <v>7051</v>
      </c>
      <c r="AA29" s="52" t="str">
        <f t="shared" si="20"/>
        <v>Armor</v>
      </c>
    </row>
    <row r="30" spans="1:27" ht="8.25" customHeight="1" x14ac:dyDescent="0.2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12"/>
        <v>Normativos</v>
      </c>
      <c r="M30" s="50" t="str">
        <f t="shared" si="13"/>
        <v>NBR.Temáticas</v>
      </c>
      <c r="N30" s="50" t="str">
        <f t="shared" si="14"/>
        <v>NBR.Construção</v>
      </c>
      <c r="O30" s="50" t="str">
        <f t="shared" si="15"/>
        <v>NBR.C.Produto.de.Metálica</v>
      </c>
      <c r="P30" s="50" t="s">
        <v>7132</v>
      </c>
      <c r="Q30" s="52" t="str">
        <f t="shared" si="16"/>
        <v>Estructura metálica</v>
      </c>
      <c r="R30" s="30" t="s">
        <v>3262</v>
      </c>
      <c r="S30" s="51" t="str">
        <f t="shared" si="17"/>
        <v>Normativos</v>
      </c>
      <c r="T30" s="51" t="str">
        <f t="shared" si="18"/>
        <v>NBR.Temáticas</v>
      </c>
      <c r="U30" s="50" t="str">
        <f t="shared" si="19"/>
        <v>NBR.Construção</v>
      </c>
      <c r="V30" s="30" t="s">
        <v>6928</v>
      </c>
      <c r="W30" s="57" t="str">
        <f t="shared" si="11"/>
        <v>Key-ABNT-30</v>
      </c>
      <c r="X30" s="30" t="s">
        <v>7491</v>
      </c>
      <c r="Y30" s="30" t="s">
        <v>7491</v>
      </c>
      <c r="Z30" s="55" t="s">
        <v>7052</v>
      </c>
      <c r="AA30" s="52" t="str">
        <f t="shared" si="20"/>
        <v>Metal Structure</v>
      </c>
    </row>
    <row r="31" spans="1:27" ht="8.25" customHeight="1" x14ac:dyDescent="0.2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12"/>
        <v>Normativos</v>
      </c>
      <c r="M31" s="50" t="str">
        <f t="shared" si="13"/>
        <v>NBR.Temáticas</v>
      </c>
      <c r="N31" s="50" t="str">
        <f t="shared" si="14"/>
        <v>NBR.Construção</v>
      </c>
      <c r="O31" s="50" t="str">
        <f t="shared" si="15"/>
        <v>NBR.C.Fachada</v>
      </c>
      <c r="P31" s="50" t="s">
        <v>7133</v>
      </c>
      <c r="Q31" s="52" t="str">
        <f t="shared" si="16"/>
        <v>Fachada</v>
      </c>
      <c r="R31" s="30" t="s">
        <v>3262</v>
      </c>
      <c r="S31" s="51" t="str">
        <f t="shared" si="17"/>
        <v>Normativos</v>
      </c>
      <c r="T31" s="51" t="str">
        <f t="shared" si="18"/>
        <v>NBR.Temáticas</v>
      </c>
      <c r="U31" s="50" t="str">
        <f t="shared" si="19"/>
        <v>NBR.Construção</v>
      </c>
      <c r="V31" s="30" t="s">
        <v>6928</v>
      </c>
      <c r="W31" s="57" t="str">
        <f t="shared" si="11"/>
        <v>Key-ABNT-31</v>
      </c>
      <c r="X31" s="30" t="s">
        <v>7491</v>
      </c>
      <c r="Y31" s="30" t="s">
        <v>7491</v>
      </c>
      <c r="Z31" s="55" t="s">
        <v>7197</v>
      </c>
      <c r="AA31" s="52" t="str">
        <f t="shared" si="20"/>
        <v>Facade</v>
      </c>
    </row>
    <row r="32" spans="1:27" ht="8.25" customHeight="1" x14ac:dyDescent="0.2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12"/>
        <v>Normativos</v>
      </c>
      <c r="M32" s="50" t="str">
        <f t="shared" si="13"/>
        <v>NBR.Temáticas</v>
      </c>
      <c r="N32" s="50" t="str">
        <f t="shared" si="14"/>
        <v>NBR.Construção</v>
      </c>
      <c r="O32" s="50" t="str">
        <f t="shared" si="15"/>
        <v>NBR.C.Cobertura</v>
      </c>
      <c r="P32" s="50" t="s">
        <v>7134</v>
      </c>
      <c r="Q32" s="52" t="str">
        <f t="shared" si="16"/>
        <v>Cobertura</v>
      </c>
      <c r="R32" s="30" t="s">
        <v>3262</v>
      </c>
      <c r="S32" s="51" t="str">
        <f t="shared" si="17"/>
        <v>Normativos</v>
      </c>
      <c r="T32" s="51" t="str">
        <f t="shared" si="18"/>
        <v>NBR.Temáticas</v>
      </c>
      <c r="U32" s="50" t="str">
        <f t="shared" si="19"/>
        <v>NBR.Construção</v>
      </c>
      <c r="V32" s="30" t="s">
        <v>6928</v>
      </c>
      <c r="W32" s="57" t="str">
        <f t="shared" si="11"/>
        <v>Key-ABNT-32</v>
      </c>
      <c r="X32" s="30" t="s">
        <v>7491</v>
      </c>
      <c r="Y32" s="30" t="s">
        <v>7491</v>
      </c>
      <c r="Z32" s="55" t="s">
        <v>7053</v>
      </c>
      <c r="AA32" s="52" t="str">
        <f t="shared" si="20"/>
        <v>Coverage</v>
      </c>
    </row>
    <row r="33" spans="1:27" ht="8.25" customHeight="1" x14ac:dyDescent="0.2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12"/>
        <v>Normativos</v>
      </c>
      <c r="M33" s="50" t="str">
        <f t="shared" si="13"/>
        <v>NBR.Temáticas</v>
      </c>
      <c r="N33" s="50" t="str">
        <f t="shared" si="14"/>
        <v>NBR.Construção</v>
      </c>
      <c r="O33" s="50" t="str">
        <f t="shared" si="15"/>
        <v>NBR.C.Divisória</v>
      </c>
      <c r="P33" s="50" t="s">
        <v>7135</v>
      </c>
      <c r="Q33" s="52" t="str">
        <f t="shared" si="16"/>
        <v>Partición</v>
      </c>
      <c r="R33" s="30" t="s">
        <v>3262</v>
      </c>
      <c r="S33" s="51" t="str">
        <f t="shared" si="17"/>
        <v>Normativos</v>
      </c>
      <c r="T33" s="51" t="str">
        <f t="shared" si="18"/>
        <v>NBR.Temáticas</v>
      </c>
      <c r="U33" s="50" t="str">
        <f t="shared" si="19"/>
        <v>NBR.Construção</v>
      </c>
      <c r="V33" s="30" t="s">
        <v>6928</v>
      </c>
      <c r="W33" s="57" t="str">
        <f t="shared" si="11"/>
        <v>Key-ABNT-33</v>
      </c>
      <c r="X33" s="30" t="s">
        <v>7491</v>
      </c>
      <c r="Y33" s="30" t="s">
        <v>7491</v>
      </c>
      <c r="Z33" s="55" t="s">
        <v>7054</v>
      </c>
      <c r="AA33" s="52" t="str">
        <f t="shared" si="20"/>
        <v>Partition</v>
      </c>
    </row>
    <row r="34" spans="1:27" ht="8.25" customHeight="1" x14ac:dyDescent="0.2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12"/>
        <v>Normativos</v>
      </c>
      <c r="M34" s="50" t="str">
        <f t="shared" si="13"/>
        <v>NBR.Temáticas</v>
      </c>
      <c r="N34" s="50" t="str">
        <f t="shared" si="14"/>
        <v>NBR.Construção</v>
      </c>
      <c r="O34" s="50" t="str">
        <f t="shared" si="15"/>
        <v>NBR.C.Parede</v>
      </c>
      <c r="P34" s="50" t="s">
        <v>7136</v>
      </c>
      <c r="Q34" s="52" t="str">
        <f t="shared" si="16"/>
        <v>Muro</v>
      </c>
      <c r="R34" s="30" t="s">
        <v>3262</v>
      </c>
      <c r="S34" s="51" t="str">
        <f t="shared" si="17"/>
        <v>Normativos</v>
      </c>
      <c r="T34" s="51" t="str">
        <f t="shared" si="18"/>
        <v>NBR.Temáticas</v>
      </c>
      <c r="U34" s="50" t="str">
        <f t="shared" si="19"/>
        <v>NBR.Construção</v>
      </c>
      <c r="V34" s="30" t="s">
        <v>6928</v>
      </c>
      <c r="W34" s="57" t="str">
        <f t="shared" si="11"/>
        <v>Key-ABNT-34</v>
      </c>
      <c r="X34" s="30" t="s">
        <v>7491</v>
      </c>
      <c r="Y34" s="30" t="s">
        <v>7491</v>
      </c>
      <c r="Z34" s="55" t="s">
        <v>7055</v>
      </c>
      <c r="AA34" s="52" t="str">
        <f t="shared" si="20"/>
        <v>Wall</v>
      </c>
    </row>
    <row r="35" spans="1:27" ht="8.25" customHeight="1" x14ac:dyDescent="0.2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12"/>
        <v>Normativos</v>
      </c>
      <c r="M35" s="50" t="str">
        <f t="shared" si="13"/>
        <v>NBR.Temáticas</v>
      </c>
      <c r="N35" s="50" t="str">
        <f t="shared" si="14"/>
        <v>NBR.Construção</v>
      </c>
      <c r="O35" s="50" t="str">
        <f t="shared" si="15"/>
        <v>NBR.C.Acabamento.Interno</v>
      </c>
      <c r="P35" s="50" t="s">
        <v>7163</v>
      </c>
      <c r="Q35" s="52" t="str">
        <f t="shared" si="16"/>
        <v>Acabado interior</v>
      </c>
      <c r="R35" s="30" t="s">
        <v>3262</v>
      </c>
      <c r="S35" s="51" t="str">
        <f t="shared" si="17"/>
        <v>Normativos</v>
      </c>
      <c r="T35" s="51" t="str">
        <f t="shared" si="18"/>
        <v>NBR.Temáticas</v>
      </c>
      <c r="U35" s="50" t="str">
        <f t="shared" si="19"/>
        <v>NBR.Construção</v>
      </c>
      <c r="V35" s="30" t="s">
        <v>6928</v>
      </c>
      <c r="W35" s="57" t="str">
        <f t="shared" si="11"/>
        <v>Key-ABNT-35</v>
      </c>
      <c r="X35" s="30" t="s">
        <v>7491</v>
      </c>
      <c r="Y35" s="30" t="s">
        <v>7491</v>
      </c>
      <c r="Z35" s="55" t="s">
        <v>7056</v>
      </c>
      <c r="AA35" s="52" t="str">
        <f t="shared" si="20"/>
        <v>Interior Finish</v>
      </c>
    </row>
    <row r="36" spans="1:27" ht="8.25" customHeight="1" x14ac:dyDescent="0.2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12"/>
        <v>Normativos</v>
      </c>
      <c r="M36" s="50" t="str">
        <f t="shared" si="13"/>
        <v>NBR.Temáticas</v>
      </c>
      <c r="N36" s="50" t="str">
        <f t="shared" si="14"/>
        <v>NBR.Construção</v>
      </c>
      <c r="O36" s="50" t="str">
        <f t="shared" si="15"/>
        <v>NBR.C.Acabamento.Piso</v>
      </c>
      <c r="P36" s="50" t="s">
        <v>7164</v>
      </c>
      <c r="Q36" s="52" t="str">
        <f t="shared" si="16"/>
        <v>Acabado de suelo</v>
      </c>
      <c r="R36" s="30" t="s">
        <v>3262</v>
      </c>
      <c r="S36" s="51" t="str">
        <f t="shared" si="17"/>
        <v>Normativos</v>
      </c>
      <c r="T36" s="51" t="str">
        <f t="shared" si="18"/>
        <v>NBR.Temáticas</v>
      </c>
      <c r="U36" s="50" t="str">
        <f t="shared" si="19"/>
        <v>NBR.Construção</v>
      </c>
      <c r="V36" s="30" t="s">
        <v>6928</v>
      </c>
      <c r="W36" s="57" t="str">
        <f t="shared" si="11"/>
        <v>Key-ABNT-36</v>
      </c>
      <c r="X36" s="30" t="s">
        <v>7491</v>
      </c>
      <c r="Y36" s="30" t="s">
        <v>7491</v>
      </c>
      <c r="Z36" s="55" t="s">
        <v>7057</v>
      </c>
      <c r="AA36" s="52" t="str">
        <f t="shared" si="20"/>
        <v>Floor Finishing</v>
      </c>
    </row>
    <row r="37" spans="1:27" ht="8.25" customHeight="1" x14ac:dyDescent="0.2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12"/>
        <v>Normativos</v>
      </c>
      <c r="M37" s="50" t="str">
        <f t="shared" si="13"/>
        <v>NBR.Temáticas</v>
      </c>
      <c r="N37" s="50" t="str">
        <f t="shared" si="14"/>
        <v>NBR.Construção</v>
      </c>
      <c r="O37" s="50" t="str">
        <f t="shared" si="15"/>
        <v>NBR.C.Acabamento.Forro</v>
      </c>
      <c r="P37" s="50" t="s">
        <v>7165</v>
      </c>
      <c r="Q37" s="52" t="str">
        <f t="shared" si="16"/>
        <v>Acabado del techo</v>
      </c>
      <c r="R37" s="30" t="s">
        <v>3262</v>
      </c>
      <c r="S37" s="51" t="str">
        <f t="shared" si="17"/>
        <v>Normativos</v>
      </c>
      <c r="T37" s="51" t="str">
        <f t="shared" si="18"/>
        <v>NBR.Temáticas</v>
      </c>
      <c r="U37" s="50" t="str">
        <f t="shared" si="19"/>
        <v>NBR.Construção</v>
      </c>
      <c r="V37" s="30" t="s">
        <v>6928</v>
      </c>
      <c r="W37" s="57" t="str">
        <f t="shared" si="11"/>
        <v>Key-ABNT-37</v>
      </c>
      <c r="X37" s="30" t="s">
        <v>7491</v>
      </c>
      <c r="Y37" s="30" t="s">
        <v>7491</v>
      </c>
      <c r="Z37" s="55" t="s">
        <v>7058</v>
      </c>
      <c r="AA37" s="52" t="str">
        <f t="shared" si="20"/>
        <v>Ceiling Finish</v>
      </c>
    </row>
    <row r="38" spans="1:27" ht="8.25" customHeight="1" x14ac:dyDescent="0.2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12"/>
        <v>Normativos</v>
      </c>
      <c r="M38" s="50" t="str">
        <f t="shared" si="13"/>
        <v>NBR.Temáticas</v>
      </c>
      <c r="N38" s="50" t="str">
        <f t="shared" si="14"/>
        <v>NBR.Construção</v>
      </c>
      <c r="O38" s="50" t="str">
        <f t="shared" si="15"/>
        <v>NBR.C.Pintura</v>
      </c>
      <c r="P38" s="50" t="s">
        <v>7137</v>
      </c>
      <c r="Q38" s="52" t="str">
        <f t="shared" si="16"/>
        <v>Pintura</v>
      </c>
      <c r="R38" s="30" t="s">
        <v>3262</v>
      </c>
      <c r="S38" s="51" t="str">
        <f t="shared" si="17"/>
        <v>Normativos</v>
      </c>
      <c r="T38" s="51" t="str">
        <f t="shared" si="18"/>
        <v>NBR.Temáticas</v>
      </c>
      <c r="U38" s="50" t="str">
        <f t="shared" si="19"/>
        <v>NBR.Construção</v>
      </c>
      <c r="V38" s="30" t="s">
        <v>6928</v>
      </c>
      <c r="W38" s="57" t="str">
        <f t="shared" si="11"/>
        <v>Key-ABNT-38</v>
      </c>
      <c r="X38" s="30" t="s">
        <v>7491</v>
      </c>
      <c r="Y38" s="30" t="s">
        <v>7491</v>
      </c>
      <c r="Z38" s="55" t="s">
        <v>7059</v>
      </c>
      <c r="AA38" s="52" t="str">
        <f t="shared" si="20"/>
        <v>Painting</v>
      </c>
    </row>
    <row r="39" spans="1:27" ht="8.25" customHeight="1" x14ac:dyDescent="0.2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12"/>
        <v>Normativos</v>
      </c>
      <c r="M39" s="50" t="str">
        <f t="shared" si="13"/>
        <v>NBR.Temáticas</v>
      </c>
      <c r="N39" s="50" t="str">
        <f t="shared" si="14"/>
        <v>NBR.Construção</v>
      </c>
      <c r="O39" s="50" t="str">
        <f t="shared" si="15"/>
        <v>NBR.C.Produto.de.Porta</v>
      </c>
      <c r="P39" s="50" t="s">
        <v>7227</v>
      </c>
      <c r="Q39" s="52" t="str">
        <f t="shared" si="16"/>
        <v>Producto de puertas y aberturas como trampilla</v>
      </c>
      <c r="R39" s="30" t="s">
        <v>3262</v>
      </c>
      <c r="S39" s="51" t="str">
        <f t="shared" si="17"/>
        <v>Normativos</v>
      </c>
      <c r="T39" s="51" t="str">
        <f t="shared" si="18"/>
        <v>NBR.Temáticas</v>
      </c>
      <c r="U39" s="50" t="str">
        <f t="shared" si="19"/>
        <v>NBR.Construção</v>
      </c>
      <c r="V39" s="30" t="s">
        <v>6928</v>
      </c>
      <c r="W39" s="57" t="str">
        <f t="shared" si="11"/>
        <v>Key-ABNT-39</v>
      </c>
      <c r="X39" s="30" t="s">
        <v>7491</v>
      </c>
      <c r="Y39" s="30" t="s">
        <v>7491</v>
      </c>
      <c r="Z39" s="55" t="s">
        <v>7060</v>
      </c>
      <c r="AA39" s="52" t="str">
        <f t="shared" si="20"/>
        <v>Product of Doors and openings as Trapdoor</v>
      </c>
    </row>
    <row r="40" spans="1:27" ht="8.25" customHeight="1" x14ac:dyDescent="0.2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12"/>
        <v>Normativos</v>
      </c>
      <c r="M40" s="50" t="str">
        <f t="shared" si="13"/>
        <v>NBR.Temáticas</v>
      </c>
      <c r="N40" s="50" t="str">
        <f t="shared" si="14"/>
        <v>NBR.Construção</v>
      </c>
      <c r="O40" s="50" t="str">
        <f t="shared" si="15"/>
        <v>NBR.C.Produto.de.Porta.Especial</v>
      </c>
      <c r="P40" s="50" t="s">
        <v>7166</v>
      </c>
      <c r="Q40" s="52" t="str">
        <f t="shared" si="16"/>
        <v>Puerta Especial</v>
      </c>
      <c r="R40" s="30" t="s">
        <v>3262</v>
      </c>
      <c r="S40" s="51" t="str">
        <f t="shared" si="17"/>
        <v>Normativos</v>
      </c>
      <c r="T40" s="51" t="str">
        <f t="shared" si="18"/>
        <v>NBR.Temáticas</v>
      </c>
      <c r="U40" s="50" t="str">
        <f t="shared" si="19"/>
        <v>NBR.Construção</v>
      </c>
      <c r="V40" s="30" t="s">
        <v>6928</v>
      </c>
      <c r="W40" s="57" t="str">
        <f t="shared" si="11"/>
        <v>Key-ABNT-40</v>
      </c>
      <c r="X40" s="30" t="s">
        <v>7491</v>
      </c>
      <c r="Y40" s="30" t="s">
        <v>7491</v>
      </c>
      <c r="Z40" s="55" t="s">
        <v>7061</v>
      </c>
      <c r="AA40" s="52" t="str">
        <f t="shared" si="20"/>
        <v>Special Door</v>
      </c>
    </row>
    <row r="41" spans="1:27" ht="8.25" customHeight="1" x14ac:dyDescent="0.2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12"/>
        <v>Normativos</v>
      </c>
      <c r="M41" s="50" t="str">
        <f t="shared" si="13"/>
        <v>NBR.Temáticas</v>
      </c>
      <c r="N41" s="50" t="str">
        <f t="shared" si="14"/>
        <v>NBR.Construção</v>
      </c>
      <c r="O41" s="50" t="str">
        <f t="shared" si="15"/>
        <v>NBR.C.Janela</v>
      </c>
      <c r="P41" s="50" t="s">
        <v>7138</v>
      </c>
      <c r="Q41" s="52" t="str">
        <f t="shared" si="16"/>
        <v>Ventana</v>
      </c>
      <c r="R41" s="30" t="s">
        <v>3262</v>
      </c>
      <c r="S41" s="51" t="str">
        <f t="shared" si="17"/>
        <v>Normativos</v>
      </c>
      <c r="T41" s="51" t="str">
        <f t="shared" si="18"/>
        <v>NBR.Temáticas</v>
      </c>
      <c r="U41" s="50" t="str">
        <f t="shared" si="19"/>
        <v>NBR.Construção</v>
      </c>
      <c r="V41" s="30" t="s">
        <v>6928</v>
      </c>
      <c r="W41" s="57" t="str">
        <f t="shared" si="11"/>
        <v>Key-ABNT-41</v>
      </c>
      <c r="X41" s="30" t="s">
        <v>7491</v>
      </c>
      <c r="Y41" s="30" t="s">
        <v>7491</v>
      </c>
      <c r="Z41" s="55" t="s">
        <v>7062</v>
      </c>
      <c r="AA41" s="52" t="str">
        <f t="shared" si="20"/>
        <v>Window</v>
      </c>
    </row>
    <row r="42" spans="1:27" ht="8.25" customHeight="1" x14ac:dyDescent="0.2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12"/>
        <v>Normativos</v>
      </c>
      <c r="M42" s="50" t="str">
        <f t="shared" si="13"/>
        <v>NBR.Temáticas</v>
      </c>
      <c r="N42" s="50" t="str">
        <f t="shared" si="14"/>
        <v>NBR.Construção</v>
      </c>
      <c r="O42" s="50" t="str">
        <f t="shared" si="15"/>
        <v>NBR.C.Vidro</v>
      </c>
      <c r="P42" s="50" t="s">
        <v>7139</v>
      </c>
      <c r="Q42" s="52" t="str">
        <f t="shared" si="16"/>
        <v>Vidrio</v>
      </c>
      <c r="R42" s="30" t="s">
        <v>3262</v>
      </c>
      <c r="S42" s="51" t="str">
        <f t="shared" si="17"/>
        <v>Normativos</v>
      </c>
      <c r="T42" s="51" t="str">
        <f t="shared" si="18"/>
        <v>NBR.Temáticas</v>
      </c>
      <c r="U42" s="50" t="str">
        <f t="shared" si="19"/>
        <v>NBR.Construção</v>
      </c>
      <c r="V42" s="30" t="s">
        <v>6928</v>
      </c>
      <c r="W42" s="57" t="str">
        <f t="shared" si="11"/>
        <v>Key-ABNT-42</v>
      </c>
      <c r="X42" s="30" t="s">
        <v>7491</v>
      </c>
      <c r="Y42" s="30" t="s">
        <v>7491</v>
      </c>
      <c r="Z42" s="55" t="s">
        <v>7063</v>
      </c>
      <c r="AA42" s="52" t="str">
        <f t="shared" si="20"/>
        <v>Glass</v>
      </c>
    </row>
    <row r="43" spans="1:27" ht="8.25" customHeight="1" x14ac:dyDescent="0.2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12"/>
        <v>Normativos</v>
      </c>
      <c r="M43" s="50" t="str">
        <f t="shared" si="13"/>
        <v>NBR.Temáticas</v>
      </c>
      <c r="N43" s="50" t="str">
        <f t="shared" si="14"/>
        <v>NBR.Construção</v>
      </c>
      <c r="O43" s="50" t="str">
        <f t="shared" si="15"/>
        <v>NBR.C.Ferragem</v>
      </c>
      <c r="P43" s="50" t="s">
        <v>7140</v>
      </c>
      <c r="Q43" s="52" t="str">
        <f t="shared" si="16"/>
        <v>Hardware</v>
      </c>
      <c r="R43" s="30" t="s">
        <v>3262</v>
      </c>
      <c r="S43" s="51" t="str">
        <f t="shared" si="17"/>
        <v>Normativos</v>
      </c>
      <c r="T43" s="51" t="str">
        <f t="shared" si="18"/>
        <v>NBR.Temáticas</v>
      </c>
      <c r="U43" s="50" t="str">
        <f t="shared" si="19"/>
        <v>NBR.Construção</v>
      </c>
      <c r="V43" s="30" t="s">
        <v>6928</v>
      </c>
      <c r="W43" s="57" t="str">
        <f t="shared" si="11"/>
        <v>Key-ABNT-43</v>
      </c>
      <c r="X43" s="30" t="s">
        <v>7491</v>
      </c>
      <c r="Y43" s="30" t="s">
        <v>7491</v>
      </c>
      <c r="Z43" s="55" t="s">
        <v>7064</v>
      </c>
      <c r="AA43" s="52" t="str">
        <f t="shared" si="20"/>
        <v>Hardware</v>
      </c>
    </row>
    <row r="44" spans="1:27" ht="8.25" customHeight="1" x14ac:dyDescent="0.2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12"/>
        <v>Normativos</v>
      </c>
      <c r="M44" s="50" t="str">
        <f t="shared" si="13"/>
        <v>NBR.Temáticas</v>
      </c>
      <c r="N44" s="50" t="str">
        <f t="shared" si="14"/>
        <v>NBR.Construção</v>
      </c>
      <c r="O44" s="50" t="str">
        <f t="shared" si="15"/>
        <v>NBR.C.Rampa.e.Escada</v>
      </c>
      <c r="P44" s="50" t="s">
        <v>7167</v>
      </c>
      <c r="Q44" s="52" t="str">
        <f t="shared" si="16"/>
        <v>Rampa y escalera</v>
      </c>
      <c r="R44" s="30" t="s">
        <v>3262</v>
      </c>
      <c r="S44" s="51" t="str">
        <f t="shared" si="17"/>
        <v>Normativos</v>
      </c>
      <c r="T44" s="51" t="str">
        <f t="shared" si="18"/>
        <v>NBR.Temáticas</v>
      </c>
      <c r="U44" s="50" t="str">
        <f t="shared" si="19"/>
        <v>NBR.Construção</v>
      </c>
      <c r="V44" s="30" t="s">
        <v>6928</v>
      </c>
      <c r="W44" s="57" t="str">
        <f t="shared" si="11"/>
        <v>Key-ABNT-44</v>
      </c>
      <c r="X44" s="30" t="s">
        <v>7491</v>
      </c>
      <c r="Y44" s="30" t="s">
        <v>7491</v>
      </c>
      <c r="Z44" s="55" t="s">
        <v>7065</v>
      </c>
      <c r="AA44" s="52" t="str">
        <f t="shared" si="20"/>
        <v>Ramp and Ladder</v>
      </c>
    </row>
    <row r="45" spans="1:27" ht="8.25" customHeight="1" x14ac:dyDescent="0.2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12"/>
        <v>Normativos</v>
      </c>
      <c r="M45" s="50" t="str">
        <f t="shared" si="13"/>
        <v>NBR.Temáticas</v>
      </c>
      <c r="N45" s="50" t="str">
        <f t="shared" si="14"/>
        <v>NBR.Construção</v>
      </c>
      <c r="O45" s="50" t="str">
        <f t="shared" si="15"/>
        <v>NBR.C.Proteção</v>
      </c>
      <c r="P45" s="50" t="s">
        <v>7141</v>
      </c>
      <c r="Q45" s="52" t="str">
        <f t="shared" si="16"/>
        <v>Protección</v>
      </c>
      <c r="R45" s="30" t="s">
        <v>3262</v>
      </c>
      <c r="S45" s="51" t="str">
        <f t="shared" si="17"/>
        <v>Normativos</v>
      </c>
      <c r="T45" s="51" t="str">
        <f t="shared" si="18"/>
        <v>NBR.Temáticas</v>
      </c>
      <c r="U45" s="50" t="str">
        <f t="shared" si="19"/>
        <v>NBR.Construção</v>
      </c>
      <c r="V45" s="30" t="s">
        <v>6928</v>
      </c>
      <c r="W45" s="57" t="str">
        <f t="shared" si="11"/>
        <v>Key-ABNT-45</v>
      </c>
      <c r="X45" s="30" t="s">
        <v>7491</v>
      </c>
      <c r="Y45" s="30" t="s">
        <v>7491</v>
      </c>
      <c r="Z45" s="55" t="s">
        <v>7066</v>
      </c>
      <c r="AA45" s="52" t="str">
        <f t="shared" si="20"/>
        <v>Protection</v>
      </c>
    </row>
    <row r="46" spans="1:27" ht="8.25" customHeight="1" x14ac:dyDescent="0.2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12"/>
        <v>Normativos</v>
      </c>
      <c r="M46" s="50" t="str">
        <f t="shared" si="13"/>
        <v>NBR.Temáticas</v>
      </c>
      <c r="N46" s="50" t="str">
        <f t="shared" si="14"/>
        <v>NBR.Construção</v>
      </c>
      <c r="O46" s="50" t="str">
        <f t="shared" si="15"/>
        <v>NBR.C.Sensores</v>
      </c>
      <c r="P46" s="50" t="s">
        <v>7142</v>
      </c>
      <c r="Q46" s="52" t="str">
        <f t="shared" si="16"/>
        <v>Sensores</v>
      </c>
      <c r="R46" s="30" t="s">
        <v>3262</v>
      </c>
      <c r="S46" s="51" t="str">
        <f t="shared" si="17"/>
        <v>Normativos</v>
      </c>
      <c r="T46" s="51" t="str">
        <f t="shared" si="18"/>
        <v>NBR.Temáticas</v>
      </c>
      <c r="U46" s="50" t="str">
        <f t="shared" si="19"/>
        <v>NBR.Construção</v>
      </c>
      <c r="V46" s="30" t="s">
        <v>6928</v>
      </c>
      <c r="W46" s="57" t="str">
        <f t="shared" si="11"/>
        <v>Key-ABNT-46</v>
      </c>
      <c r="X46" s="30" t="s">
        <v>7491</v>
      </c>
      <c r="Y46" s="30" t="s">
        <v>7491</v>
      </c>
      <c r="Z46" s="55" t="s">
        <v>7067</v>
      </c>
      <c r="AA46" s="52" t="str">
        <f t="shared" si="20"/>
        <v>Sensors</v>
      </c>
    </row>
    <row r="47" spans="1:27" ht="8.25" customHeight="1" x14ac:dyDescent="0.2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12"/>
        <v>Normativos</v>
      </c>
      <c r="M47" s="50" t="str">
        <f t="shared" si="13"/>
        <v>NBR.Temáticas</v>
      </c>
      <c r="N47" s="50" t="str">
        <f t="shared" si="14"/>
        <v>NBR.Construção</v>
      </c>
      <c r="O47" s="50" t="str">
        <f t="shared" si="15"/>
        <v>NBR.C.Controle</v>
      </c>
      <c r="P47" s="50" t="s">
        <v>7143</v>
      </c>
      <c r="Q47" s="52" t="str">
        <f t="shared" si="16"/>
        <v>Control</v>
      </c>
      <c r="R47" s="30" t="s">
        <v>3262</v>
      </c>
      <c r="S47" s="51" t="str">
        <f t="shared" si="17"/>
        <v>Normativos</v>
      </c>
      <c r="T47" s="51" t="str">
        <f t="shared" si="18"/>
        <v>NBR.Temáticas</v>
      </c>
      <c r="U47" s="50" t="str">
        <f t="shared" si="19"/>
        <v>NBR.Construção</v>
      </c>
      <c r="V47" s="30" t="s">
        <v>6928</v>
      </c>
      <c r="W47" s="57" t="str">
        <f t="shared" si="11"/>
        <v>Key-ABNT-47</v>
      </c>
      <c r="X47" s="30" t="s">
        <v>7491</v>
      </c>
      <c r="Y47" s="30" t="s">
        <v>7491</v>
      </c>
      <c r="Z47" s="55" t="s">
        <v>7068</v>
      </c>
      <c r="AA47" s="52" t="str">
        <f t="shared" si="20"/>
        <v>Control</v>
      </c>
    </row>
    <row r="48" spans="1:27" ht="8.25" customHeight="1" x14ac:dyDescent="0.2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12"/>
        <v>Normativos</v>
      </c>
      <c r="M48" s="50" t="str">
        <f t="shared" si="13"/>
        <v>NBR.Temáticas</v>
      </c>
      <c r="N48" s="50" t="str">
        <f t="shared" si="14"/>
        <v>NBR.Construção</v>
      </c>
      <c r="O48" s="50" t="str">
        <f t="shared" si="15"/>
        <v>NBR.C.Força.Motriz</v>
      </c>
      <c r="P48" s="50" t="s">
        <v>7168</v>
      </c>
      <c r="Q48" s="52" t="str">
        <f t="shared" si="16"/>
        <v>Fuerza motriz</v>
      </c>
      <c r="R48" s="30" t="s">
        <v>3262</v>
      </c>
      <c r="S48" s="51" t="str">
        <f t="shared" si="17"/>
        <v>Normativos</v>
      </c>
      <c r="T48" s="51" t="str">
        <f t="shared" si="18"/>
        <v>NBR.Temáticas</v>
      </c>
      <c r="U48" s="50" t="str">
        <f t="shared" si="19"/>
        <v>NBR.Construção</v>
      </c>
      <c r="V48" s="30" t="s">
        <v>6928</v>
      </c>
      <c r="W48" s="57" t="str">
        <f t="shared" si="11"/>
        <v>Key-ABNT-48</v>
      </c>
      <c r="X48" s="30" t="s">
        <v>7491</v>
      </c>
      <c r="Y48" s="30" t="s">
        <v>7491</v>
      </c>
      <c r="Z48" s="55" t="s">
        <v>7069</v>
      </c>
      <c r="AA48" s="52" t="str">
        <f t="shared" si="20"/>
        <v>Driving Force</v>
      </c>
    </row>
    <row r="49" spans="1:27" ht="8.25" customHeight="1" x14ac:dyDescent="0.2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12"/>
        <v>Normativos</v>
      </c>
      <c r="M49" s="50" t="str">
        <f t="shared" si="13"/>
        <v>NBR.Temáticas</v>
      </c>
      <c r="N49" s="50" t="str">
        <f t="shared" si="14"/>
        <v>NBR.Construção</v>
      </c>
      <c r="O49" s="50" t="str">
        <f t="shared" si="15"/>
        <v>NBR.C.Compressor</v>
      </c>
      <c r="P49" s="50" t="s">
        <v>7144</v>
      </c>
      <c r="Q49" s="52" t="str">
        <f t="shared" si="16"/>
        <v>Compresor</v>
      </c>
      <c r="R49" s="30" t="s">
        <v>3262</v>
      </c>
      <c r="S49" s="51" t="str">
        <f t="shared" si="17"/>
        <v>Normativos</v>
      </c>
      <c r="T49" s="51" t="str">
        <f t="shared" si="18"/>
        <v>NBR.Temáticas</v>
      </c>
      <c r="U49" s="50" t="str">
        <f t="shared" si="19"/>
        <v>NBR.Construção</v>
      </c>
      <c r="V49" s="30" t="s">
        <v>6928</v>
      </c>
      <c r="W49" s="57" t="str">
        <f t="shared" si="11"/>
        <v>Key-ABNT-49</v>
      </c>
      <c r="X49" s="30" t="s">
        <v>7491</v>
      </c>
      <c r="Y49" s="30" t="s">
        <v>7491</v>
      </c>
      <c r="Z49" s="55" t="s">
        <v>7070</v>
      </c>
      <c r="AA49" s="52" t="str">
        <f t="shared" si="20"/>
        <v>Compressor</v>
      </c>
    </row>
    <row r="50" spans="1:27" ht="8.25" customHeight="1" x14ac:dyDescent="0.2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12"/>
        <v>Normativos</v>
      </c>
      <c r="M50" s="50" t="str">
        <f t="shared" si="13"/>
        <v>NBR.Temáticas</v>
      </c>
      <c r="N50" s="50" t="str">
        <f t="shared" si="14"/>
        <v>NBR.Construção</v>
      </c>
      <c r="O50" s="50" t="str">
        <f t="shared" si="15"/>
        <v>NBR.C.Troca.de.Calor</v>
      </c>
      <c r="P50" s="50" t="s">
        <v>7169</v>
      </c>
      <c r="Q50" s="52" t="str">
        <f t="shared" si="16"/>
        <v>Intercambio de calor</v>
      </c>
      <c r="R50" s="30" t="s">
        <v>3262</v>
      </c>
      <c r="S50" s="51" t="str">
        <f t="shared" si="17"/>
        <v>Normativos</v>
      </c>
      <c r="T50" s="51" t="str">
        <f t="shared" si="18"/>
        <v>NBR.Temáticas</v>
      </c>
      <c r="U50" s="50" t="str">
        <f t="shared" si="19"/>
        <v>NBR.Construção</v>
      </c>
      <c r="V50" s="30" t="s">
        <v>6928</v>
      </c>
      <c r="W50" s="57" t="str">
        <f t="shared" si="11"/>
        <v>Key-ABNT-50</v>
      </c>
      <c r="X50" s="30" t="s">
        <v>7491</v>
      </c>
      <c r="Y50" s="30" t="s">
        <v>7491</v>
      </c>
      <c r="Z50" s="55" t="s">
        <v>7071</v>
      </c>
      <c r="AA50" s="52" t="str">
        <f t="shared" si="20"/>
        <v>Heat Exchange</v>
      </c>
    </row>
    <row r="51" spans="1:27" ht="8.25" customHeight="1" x14ac:dyDescent="0.2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12"/>
        <v>Normativos</v>
      </c>
      <c r="M51" s="50" t="str">
        <f t="shared" si="13"/>
        <v>NBR.Temáticas</v>
      </c>
      <c r="N51" s="50" t="str">
        <f t="shared" si="14"/>
        <v>NBR.Construção</v>
      </c>
      <c r="O51" s="50" t="str">
        <f t="shared" si="15"/>
        <v>NBR.C.Aquecedores</v>
      </c>
      <c r="P51" s="50" t="s">
        <v>7202</v>
      </c>
      <c r="Q51" s="52" t="str">
        <f t="shared" si="16"/>
        <v>Calefactores</v>
      </c>
      <c r="R51" s="30" t="s">
        <v>3262</v>
      </c>
      <c r="S51" s="51" t="str">
        <f t="shared" si="17"/>
        <v>Normativos</v>
      </c>
      <c r="T51" s="51" t="str">
        <f t="shared" si="18"/>
        <v>NBR.Temáticas</v>
      </c>
      <c r="U51" s="50" t="str">
        <f t="shared" si="19"/>
        <v>NBR.Construção</v>
      </c>
      <c r="V51" s="30" t="s">
        <v>6928</v>
      </c>
      <c r="W51" s="57" t="str">
        <f t="shared" si="11"/>
        <v>Key-ABNT-51</v>
      </c>
      <c r="X51" s="30" t="s">
        <v>7491</v>
      </c>
      <c r="Y51" s="30" t="s">
        <v>7491</v>
      </c>
      <c r="Z51" s="55" t="s">
        <v>7072</v>
      </c>
      <c r="AA51" s="52" t="str">
        <f t="shared" si="20"/>
        <v>Heaters</v>
      </c>
    </row>
    <row r="52" spans="1:27" ht="8.25" customHeight="1" x14ac:dyDescent="0.2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12"/>
        <v>Normativos</v>
      </c>
      <c r="M52" s="50" t="str">
        <f t="shared" si="13"/>
        <v>NBR.Temáticas</v>
      </c>
      <c r="N52" s="50" t="str">
        <f t="shared" si="14"/>
        <v>NBR.Construção</v>
      </c>
      <c r="O52" s="50" t="str">
        <f t="shared" si="15"/>
        <v>NBR.C.Redutor.Pressão</v>
      </c>
      <c r="P52" s="50" t="s">
        <v>7170</v>
      </c>
      <c r="Q52" s="52" t="str">
        <f t="shared" si="16"/>
        <v>Reductor de presión</v>
      </c>
      <c r="R52" s="30" t="s">
        <v>3262</v>
      </c>
      <c r="S52" s="51" t="str">
        <f t="shared" si="17"/>
        <v>Normativos</v>
      </c>
      <c r="T52" s="51" t="str">
        <f t="shared" si="18"/>
        <v>NBR.Temáticas</v>
      </c>
      <c r="U52" s="50" t="str">
        <f t="shared" si="19"/>
        <v>NBR.Construção</v>
      </c>
      <c r="V52" s="30" t="s">
        <v>6928</v>
      </c>
      <c r="W52" s="57" t="str">
        <f t="shared" si="11"/>
        <v>Key-ABNT-52</v>
      </c>
      <c r="X52" s="30" t="s">
        <v>7491</v>
      </c>
      <c r="Y52" s="30" t="s">
        <v>7491</v>
      </c>
      <c r="Z52" s="55" t="s">
        <v>7073</v>
      </c>
      <c r="AA52" s="52" t="str">
        <f t="shared" si="20"/>
        <v>Pressure Reducer</v>
      </c>
    </row>
    <row r="53" spans="1:27" ht="8.25" customHeight="1" x14ac:dyDescent="0.2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12"/>
        <v>Normativos</v>
      </c>
      <c r="M53" s="50" t="str">
        <f t="shared" si="13"/>
        <v>NBR.Temáticas</v>
      </c>
      <c r="N53" s="50" t="str">
        <f t="shared" si="14"/>
        <v>NBR.Construção</v>
      </c>
      <c r="O53" s="50" t="str">
        <f t="shared" si="15"/>
        <v>NBR.C.Reservatórios</v>
      </c>
      <c r="P53" s="50" t="s">
        <v>7145</v>
      </c>
      <c r="Q53" s="52" t="str">
        <f t="shared" si="16"/>
        <v>Embalses</v>
      </c>
      <c r="R53" s="30" t="s">
        <v>3262</v>
      </c>
      <c r="S53" s="51" t="str">
        <f t="shared" si="17"/>
        <v>Normativos</v>
      </c>
      <c r="T53" s="51" t="str">
        <f t="shared" si="18"/>
        <v>NBR.Temáticas</v>
      </c>
      <c r="U53" s="50" t="str">
        <f t="shared" si="19"/>
        <v>NBR.Construção</v>
      </c>
      <c r="V53" s="30" t="s">
        <v>6928</v>
      </c>
      <c r="W53" s="57" t="str">
        <f t="shared" si="11"/>
        <v>Key-ABNT-53</v>
      </c>
      <c r="X53" s="30" t="s">
        <v>7491</v>
      </c>
      <c r="Y53" s="30" t="s">
        <v>7491</v>
      </c>
      <c r="Z53" s="55" t="s">
        <v>7074</v>
      </c>
      <c r="AA53" s="52" t="str">
        <f t="shared" si="20"/>
        <v>Reservoirs</v>
      </c>
    </row>
    <row r="54" spans="1:27" ht="8.25" customHeight="1" x14ac:dyDescent="0.2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12"/>
        <v>Normativos</v>
      </c>
      <c r="M54" s="50" t="str">
        <f t="shared" si="13"/>
        <v>NBR.Temáticas</v>
      </c>
      <c r="N54" s="50" t="str">
        <f t="shared" si="14"/>
        <v>NBR.Construção</v>
      </c>
      <c r="O54" s="50" t="str">
        <f t="shared" si="15"/>
        <v>NBR.C.Válvula</v>
      </c>
      <c r="P54" s="50" t="s">
        <v>7146</v>
      </c>
      <c r="Q54" s="52" t="str">
        <f t="shared" si="16"/>
        <v>Válvula</v>
      </c>
      <c r="R54" s="30" t="s">
        <v>3262</v>
      </c>
      <c r="S54" s="51" t="str">
        <f t="shared" si="17"/>
        <v>Normativos</v>
      </c>
      <c r="T54" s="51" t="str">
        <f t="shared" si="18"/>
        <v>NBR.Temáticas</v>
      </c>
      <c r="U54" s="50" t="str">
        <f t="shared" si="19"/>
        <v>NBR.Construção</v>
      </c>
      <c r="V54" s="30" t="s">
        <v>6928</v>
      </c>
      <c r="W54" s="57" t="str">
        <f t="shared" si="11"/>
        <v>Key-ABNT-54</v>
      </c>
      <c r="X54" s="30" t="s">
        <v>7491</v>
      </c>
      <c r="Y54" s="30" t="s">
        <v>7491</v>
      </c>
      <c r="Z54" s="55" t="s">
        <v>7075</v>
      </c>
      <c r="AA54" s="52" t="str">
        <f t="shared" si="20"/>
        <v>Valve</v>
      </c>
    </row>
    <row r="55" spans="1:27" ht="8.25" customHeight="1" x14ac:dyDescent="0.2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12"/>
        <v>Normativos</v>
      </c>
      <c r="M55" s="50" t="str">
        <f t="shared" si="13"/>
        <v>NBR.Temáticas</v>
      </c>
      <c r="N55" s="50" t="str">
        <f t="shared" si="14"/>
        <v>NBR.Construção</v>
      </c>
      <c r="O55" s="50" t="str">
        <f t="shared" si="15"/>
        <v>NBR.C.Atuador</v>
      </c>
      <c r="P55" s="50" t="s">
        <v>7147</v>
      </c>
      <c r="Q55" s="52" t="str">
        <f t="shared" si="16"/>
        <v>Actuador</v>
      </c>
      <c r="R55" s="30" t="s">
        <v>3262</v>
      </c>
      <c r="S55" s="51" t="str">
        <f t="shared" si="17"/>
        <v>Normativos</v>
      </c>
      <c r="T55" s="51" t="str">
        <f t="shared" si="18"/>
        <v>NBR.Temáticas</v>
      </c>
      <c r="U55" s="50" t="str">
        <f t="shared" si="19"/>
        <v>NBR.Construção</v>
      </c>
      <c r="V55" s="30" t="s">
        <v>6928</v>
      </c>
      <c r="W55" s="57" t="str">
        <f t="shared" si="11"/>
        <v>Key-ABNT-55</v>
      </c>
      <c r="X55" s="30" t="s">
        <v>7491</v>
      </c>
      <c r="Y55" s="30" t="s">
        <v>7491</v>
      </c>
      <c r="Z55" s="55" t="s">
        <v>7076</v>
      </c>
      <c r="AA55" s="52" t="str">
        <f t="shared" si="20"/>
        <v>Actuator</v>
      </c>
    </row>
    <row r="56" spans="1:27" ht="8.25" customHeight="1" x14ac:dyDescent="0.2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12"/>
        <v>Normativos</v>
      </c>
      <c r="M56" s="50" t="str">
        <f t="shared" si="13"/>
        <v>NBR.Temáticas</v>
      </c>
      <c r="N56" s="50" t="str">
        <f t="shared" si="14"/>
        <v>NBR.Construção</v>
      </c>
      <c r="O56" s="50" t="str">
        <f t="shared" si="15"/>
        <v>NBR.C.Armadilha</v>
      </c>
      <c r="P56" s="50" t="s">
        <v>7148</v>
      </c>
      <c r="Q56" s="52" t="str">
        <f t="shared" si="16"/>
        <v>Trampa</v>
      </c>
      <c r="R56" s="30" t="s">
        <v>3262</v>
      </c>
      <c r="S56" s="51" t="str">
        <f t="shared" si="17"/>
        <v>Normativos</v>
      </c>
      <c r="T56" s="51" t="str">
        <f t="shared" si="18"/>
        <v>NBR.Temáticas</v>
      </c>
      <c r="U56" s="50" t="str">
        <f t="shared" si="19"/>
        <v>NBR.Construção</v>
      </c>
      <c r="V56" s="30" t="s">
        <v>6928</v>
      </c>
      <c r="W56" s="57" t="str">
        <f t="shared" si="11"/>
        <v>Key-ABNT-56</v>
      </c>
      <c r="X56" s="30" t="s">
        <v>7491</v>
      </c>
      <c r="Y56" s="30" t="s">
        <v>7491</v>
      </c>
      <c r="Z56" s="55" t="s">
        <v>7077</v>
      </c>
      <c r="AA56" s="52" t="str">
        <f t="shared" si="20"/>
        <v>Trap</v>
      </c>
    </row>
    <row r="57" spans="1:27" ht="8.25" customHeight="1" x14ac:dyDescent="0.2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12"/>
        <v>Normativos</v>
      </c>
      <c r="M57" s="50" t="str">
        <f t="shared" si="13"/>
        <v>NBR.Temáticas</v>
      </c>
      <c r="N57" s="50" t="str">
        <f t="shared" si="14"/>
        <v>NBR.Construção</v>
      </c>
      <c r="O57" s="50" t="str">
        <f t="shared" si="15"/>
        <v>NBR.C.Tubulação</v>
      </c>
      <c r="P57" s="50" t="s">
        <v>7149</v>
      </c>
      <c r="Q57" s="52" t="str">
        <f t="shared" si="16"/>
        <v>Tubería</v>
      </c>
      <c r="R57" s="30" t="s">
        <v>3262</v>
      </c>
      <c r="S57" s="51" t="str">
        <f t="shared" si="17"/>
        <v>Normativos</v>
      </c>
      <c r="T57" s="51" t="str">
        <f t="shared" si="18"/>
        <v>NBR.Temáticas</v>
      </c>
      <c r="U57" s="50" t="str">
        <f t="shared" si="19"/>
        <v>NBR.Construção</v>
      </c>
      <c r="V57" s="30" t="s">
        <v>6928</v>
      </c>
      <c r="W57" s="57" t="str">
        <f t="shared" si="11"/>
        <v>Key-ABNT-57</v>
      </c>
      <c r="X57" s="30" t="s">
        <v>7491</v>
      </c>
      <c r="Y57" s="30" t="s">
        <v>7491</v>
      </c>
      <c r="Z57" s="55" t="s">
        <v>7078</v>
      </c>
      <c r="AA57" s="52" t="str">
        <f t="shared" si="20"/>
        <v>Pipe</v>
      </c>
    </row>
    <row r="58" spans="1:27" ht="8.25" customHeight="1" x14ac:dyDescent="0.2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12"/>
        <v>Normativos</v>
      </c>
      <c r="M58" s="50" t="str">
        <f t="shared" si="13"/>
        <v>NBR.Temáticas</v>
      </c>
      <c r="N58" s="50" t="str">
        <f t="shared" si="14"/>
        <v>NBR.Construção</v>
      </c>
      <c r="O58" s="50" t="str">
        <f t="shared" si="15"/>
        <v>NBR.C.Tratamento.de.Gases</v>
      </c>
      <c r="P58" s="50" t="s">
        <v>7171</v>
      </c>
      <c r="Q58" s="52" t="str">
        <f t="shared" si="16"/>
        <v>Tratamiento del aire</v>
      </c>
      <c r="R58" s="30" t="s">
        <v>3262</v>
      </c>
      <c r="S58" s="51" t="str">
        <f t="shared" si="17"/>
        <v>Normativos</v>
      </c>
      <c r="T58" s="51" t="str">
        <f t="shared" si="18"/>
        <v>NBR.Temáticas</v>
      </c>
      <c r="U58" s="50" t="str">
        <f t="shared" si="19"/>
        <v>NBR.Construção</v>
      </c>
      <c r="V58" s="30" t="s">
        <v>6928</v>
      </c>
      <c r="W58" s="57" t="str">
        <f t="shared" si="11"/>
        <v>Key-ABNT-58</v>
      </c>
      <c r="X58" s="30" t="s">
        <v>7491</v>
      </c>
      <c r="Y58" s="30" t="s">
        <v>7491</v>
      </c>
      <c r="Z58" s="55" t="s">
        <v>7212</v>
      </c>
      <c r="AA58" s="52" t="str">
        <f>_xlfn.TRANSLATE(P58,"pt","en")</f>
        <v>Air Treatment</v>
      </c>
    </row>
    <row r="59" spans="1:27" ht="8.25" customHeight="1" x14ac:dyDescent="0.2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12"/>
        <v>Normativos</v>
      </c>
      <c r="M59" s="50" t="str">
        <f t="shared" si="13"/>
        <v>NBR.Temáticas</v>
      </c>
      <c r="N59" s="50" t="str">
        <f t="shared" si="14"/>
        <v>NBR.Construção</v>
      </c>
      <c r="O59" s="50" t="str">
        <f t="shared" si="15"/>
        <v>NBR.C.Reciclagem</v>
      </c>
      <c r="P59" s="50" t="s">
        <v>7150</v>
      </c>
      <c r="Q59" s="52" t="str">
        <f t="shared" si="16"/>
        <v>Reciclaje</v>
      </c>
      <c r="R59" s="30" t="s">
        <v>3262</v>
      </c>
      <c r="S59" s="51" t="str">
        <f t="shared" si="17"/>
        <v>Normativos</v>
      </c>
      <c r="T59" s="51" t="str">
        <f t="shared" si="18"/>
        <v>NBR.Temáticas</v>
      </c>
      <c r="U59" s="50" t="str">
        <f t="shared" si="19"/>
        <v>NBR.Construção</v>
      </c>
      <c r="V59" s="30" t="s">
        <v>6928</v>
      </c>
      <c r="W59" s="57" t="str">
        <f t="shared" si="11"/>
        <v>Key-ABNT-59</v>
      </c>
      <c r="X59" s="30" t="s">
        <v>7491</v>
      </c>
      <c r="Y59" s="30" t="s">
        <v>7491</v>
      </c>
      <c r="Z59" s="55" t="s">
        <v>7079</v>
      </c>
      <c r="AA59" s="52" t="str">
        <f t="shared" si="20"/>
        <v>Recycling</v>
      </c>
    </row>
    <row r="60" spans="1:27" ht="8.25" customHeight="1" x14ac:dyDescent="0.2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12"/>
        <v>Normativos</v>
      </c>
      <c r="M60" s="50" t="str">
        <f t="shared" si="13"/>
        <v>NBR.Temáticas</v>
      </c>
      <c r="N60" s="50" t="str">
        <f t="shared" si="14"/>
        <v>NBR.Construção</v>
      </c>
      <c r="O60" s="50" t="str">
        <f t="shared" si="15"/>
        <v>NBR.C.Incinerador</v>
      </c>
      <c r="P60" s="50" t="s">
        <v>7151</v>
      </c>
      <c r="Q60" s="52" t="str">
        <f t="shared" si="16"/>
        <v>Incinerador</v>
      </c>
      <c r="R60" s="30" t="s">
        <v>3262</v>
      </c>
      <c r="S60" s="51" t="str">
        <f t="shared" si="17"/>
        <v>Normativos</v>
      </c>
      <c r="T60" s="51" t="str">
        <f t="shared" si="18"/>
        <v>NBR.Temáticas</v>
      </c>
      <c r="U60" s="50" t="str">
        <f t="shared" si="19"/>
        <v>NBR.Construção</v>
      </c>
      <c r="V60" s="30" t="s">
        <v>6928</v>
      </c>
      <c r="W60" s="57" t="str">
        <f t="shared" si="11"/>
        <v>Key-ABNT-60</v>
      </c>
      <c r="X60" s="30" t="s">
        <v>7491</v>
      </c>
      <c r="Y60" s="30" t="s">
        <v>7491</v>
      </c>
      <c r="Z60" s="55" t="s">
        <v>7080</v>
      </c>
      <c r="AA60" s="52" t="str">
        <f t="shared" si="20"/>
        <v>Incinerator</v>
      </c>
    </row>
    <row r="61" spans="1:27" ht="8.25" customHeight="1" x14ac:dyDescent="0.2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12"/>
        <v>Normativos</v>
      </c>
      <c r="M61" s="50" t="str">
        <f t="shared" si="13"/>
        <v>NBR.Temáticas</v>
      </c>
      <c r="N61" s="50" t="str">
        <f t="shared" si="14"/>
        <v>NBR.Construção</v>
      </c>
      <c r="O61" s="50" t="str">
        <f t="shared" si="15"/>
        <v>NBR.C.Produto.Revestimento</v>
      </c>
      <c r="P61" s="50" t="s">
        <v>7204</v>
      </c>
      <c r="Q61" s="52" t="str">
        <f t="shared" si="16"/>
        <v>Recubrimiento del producto</v>
      </c>
      <c r="R61" s="30" t="s">
        <v>3262</v>
      </c>
      <c r="S61" s="51" t="str">
        <f t="shared" si="17"/>
        <v>Normativos</v>
      </c>
      <c r="T61" s="51" t="str">
        <f t="shared" si="18"/>
        <v>NBR.Temáticas</v>
      </c>
      <c r="U61" s="50" t="str">
        <f t="shared" si="19"/>
        <v>NBR.Construção</v>
      </c>
      <c r="V61" s="30" t="s">
        <v>6928</v>
      </c>
      <c r="W61" s="57" t="str">
        <f t="shared" si="11"/>
        <v>Key-ABNT-61</v>
      </c>
      <c r="X61" s="30" t="s">
        <v>7491</v>
      </c>
      <c r="Y61" s="30" t="s">
        <v>7491</v>
      </c>
      <c r="Z61" s="55" t="s">
        <v>7081</v>
      </c>
      <c r="AA61" s="52" t="str">
        <f>_xlfn.TRANSLATE(P61,"pt","en")</f>
        <v>Product Coating</v>
      </c>
    </row>
    <row r="62" spans="1:27" ht="8.25" customHeight="1" x14ac:dyDescent="0.2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12"/>
        <v>Normativos</v>
      </c>
      <c r="M62" s="50" t="str">
        <f t="shared" si="13"/>
        <v>NBR.Temáticas</v>
      </c>
      <c r="N62" s="50" t="str">
        <f t="shared" si="14"/>
        <v>NBR.Construção</v>
      </c>
      <c r="O62" s="50" t="str">
        <f t="shared" si="15"/>
        <v>NBR.C.Mobilidade</v>
      </c>
      <c r="P62" s="50" t="s">
        <v>7152</v>
      </c>
      <c r="Q62" s="52" t="str">
        <f t="shared" si="16"/>
        <v>Movilidad</v>
      </c>
      <c r="R62" s="30" t="s">
        <v>3262</v>
      </c>
      <c r="S62" s="51" t="str">
        <f t="shared" si="17"/>
        <v>Normativos</v>
      </c>
      <c r="T62" s="51" t="str">
        <f t="shared" si="18"/>
        <v>NBR.Temáticas</v>
      </c>
      <c r="U62" s="50" t="str">
        <f t="shared" si="19"/>
        <v>NBR.Construção</v>
      </c>
      <c r="V62" s="30" t="s">
        <v>6928</v>
      </c>
      <c r="W62" s="57" t="str">
        <f t="shared" ref="W62:W89" si="21">CONCATENATE("Key-ABNT-",A62)</f>
        <v>Key-ABNT-62</v>
      </c>
      <c r="X62" s="30" t="s">
        <v>7491</v>
      </c>
      <c r="Y62" s="30" t="s">
        <v>7491</v>
      </c>
      <c r="Z62" s="55" t="s">
        <v>7082</v>
      </c>
      <c r="AA62" s="52" t="str">
        <f t="shared" si="20"/>
        <v>Mobility</v>
      </c>
    </row>
    <row r="63" spans="1:27" ht="8.25" customHeight="1" x14ac:dyDescent="0.2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12"/>
        <v>Normativos</v>
      </c>
      <c r="M63" s="50" t="str">
        <f t="shared" si="13"/>
        <v>NBR.Temáticas</v>
      </c>
      <c r="N63" s="50" t="str">
        <f t="shared" si="14"/>
        <v>NBR.Construção</v>
      </c>
      <c r="O63" s="50" t="str">
        <f t="shared" si="15"/>
        <v>NBR.C.Instalações</v>
      </c>
      <c r="P63" s="50" t="s">
        <v>7153</v>
      </c>
      <c r="Q63" s="52" t="str">
        <f t="shared" si="16"/>
        <v>Instalaciones</v>
      </c>
      <c r="R63" s="30" t="s">
        <v>3262</v>
      </c>
      <c r="S63" s="51" t="str">
        <f t="shared" si="17"/>
        <v>Normativos</v>
      </c>
      <c r="T63" s="51" t="str">
        <f t="shared" si="18"/>
        <v>NBR.Temáticas</v>
      </c>
      <c r="U63" s="50" t="str">
        <f t="shared" si="19"/>
        <v>NBR.Construção</v>
      </c>
      <c r="V63" s="30" t="s">
        <v>6928</v>
      </c>
      <c r="W63" s="57" t="str">
        <f t="shared" si="21"/>
        <v>Key-ABNT-63</v>
      </c>
      <c r="X63" s="30" t="s">
        <v>7491</v>
      </c>
      <c r="Y63" s="30" t="s">
        <v>7491</v>
      </c>
      <c r="Z63" s="55" t="s">
        <v>7083</v>
      </c>
      <c r="AA63" s="52" t="str">
        <f t="shared" si="20"/>
        <v>Facilities</v>
      </c>
    </row>
    <row r="64" spans="1:27" ht="8.25" customHeight="1" x14ac:dyDescent="0.2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12"/>
        <v>Normativos</v>
      </c>
      <c r="M64" s="50" t="str">
        <f t="shared" si="13"/>
        <v>NBR.Temáticas</v>
      </c>
      <c r="N64" s="50" t="str">
        <f t="shared" si="14"/>
        <v>NBR.Construção</v>
      </c>
      <c r="O64" s="50" t="str">
        <f t="shared" si="15"/>
        <v>NBR.C.ConstruçãoTemporária</v>
      </c>
      <c r="P64" s="50" t="s">
        <v>7154</v>
      </c>
      <c r="Q64" s="52" t="str">
        <f t="shared" si="16"/>
        <v>Construcción temporal</v>
      </c>
      <c r="R64" s="30" t="s">
        <v>3262</v>
      </c>
      <c r="S64" s="51" t="str">
        <f t="shared" si="17"/>
        <v>Normativos</v>
      </c>
      <c r="T64" s="51" t="str">
        <f t="shared" si="18"/>
        <v>NBR.Temáticas</v>
      </c>
      <c r="U64" s="50" t="str">
        <f t="shared" si="19"/>
        <v>NBR.Construção</v>
      </c>
      <c r="V64" s="30" t="s">
        <v>6928</v>
      </c>
      <c r="W64" s="57" t="str">
        <f t="shared" si="21"/>
        <v>Key-ABNT-64</v>
      </c>
      <c r="X64" s="30" t="s">
        <v>7491</v>
      </c>
      <c r="Y64" s="30" t="s">
        <v>7491</v>
      </c>
      <c r="Z64" s="55" t="s">
        <v>7084</v>
      </c>
      <c r="AA64" s="52" t="str">
        <f t="shared" si="20"/>
        <v>TemporaryConstruction</v>
      </c>
    </row>
    <row r="65" spans="1:27" ht="8.25" customHeight="1" x14ac:dyDescent="0.2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12"/>
        <v>Normativos</v>
      </c>
      <c r="M65" s="50" t="str">
        <f t="shared" si="13"/>
        <v>NBR.Temáticas</v>
      </c>
      <c r="N65" s="50" t="str">
        <f t="shared" si="14"/>
        <v>NBR.Construção</v>
      </c>
      <c r="O65" s="50" t="str">
        <f t="shared" si="15"/>
        <v>NBR.C.Comunicação.Visual</v>
      </c>
      <c r="P65" s="50" t="s">
        <v>7161</v>
      </c>
      <c r="Q65" s="52" t="str">
        <f t="shared" si="16"/>
        <v>Comunicación Visual</v>
      </c>
      <c r="R65" s="30" t="s">
        <v>3262</v>
      </c>
      <c r="S65" s="51" t="str">
        <f t="shared" si="17"/>
        <v>Normativos</v>
      </c>
      <c r="T65" s="51" t="str">
        <f t="shared" si="18"/>
        <v>NBR.Temáticas</v>
      </c>
      <c r="U65" s="50" t="str">
        <f t="shared" si="19"/>
        <v>NBR.Construção</v>
      </c>
      <c r="V65" s="30" t="s">
        <v>6928</v>
      </c>
      <c r="W65" s="57" t="str">
        <f t="shared" si="21"/>
        <v>Key-ABNT-65</v>
      </c>
      <c r="X65" s="30" t="s">
        <v>7491</v>
      </c>
      <c r="Y65" s="30" t="s">
        <v>7491</v>
      </c>
      <c r="Z65" s="55" t="s">
        <v>7085</v>
      </c>
      <c r="AA65" s="52" t="str">
        <f t="shared" si="20"/>
        <v>Visual Communication</v>
      </c>
    </row>
    <row r="66" spans="1:27" ht="8.25" customHeight="1" x14ac:dyDescent="0.2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12"/>
        <v>Normativos</v>
      </c>
      <c r="M66" s="50" t="str">
        <f t="shared" si="13"/>
        <v>NBR.Temáticas</v>
      </c>
      <c r="N66" s="50" t="str">
        <f t="shared" si="14"/>
        <v>NBR.Construção</v>
      </c>
      <c r="O66" s="50" t="str">
        <f t="shared" si="15"/>
        <v>NBR.C.Módulo.Industrializado</v>
      </c>
      <c r="P66" s="50" t="s">
        <v>7172</v>
      </c>
      <c r="Q66" s="52" t="str">
        <f t="shared" si="16"/>
        <v>Módulo industrializado</v>
      </c>
      <c r="R66" s="30" t="s">
        <v>3262</v>
      </c>
      <c r="S66" s="51" t="str">
        <f t="shared" si="17"/>
        <v>Normativos</v>
      </c>
      <c r="T66" s="51" t="str">
        <f t="shared" si="18"/>
        <v>NBR.Temáticas</v>
      </c>
      <c r="U66" s="50" t="str">
        <f t="shared" si="19"/>
        <v>NBR.Construção</v>
      </c>
      <c r="V66" s="30" t="s">
        <v>6928</v>
      </c>
      <c r="W66" s="57" t="str">
        <f t="shared" si="21"/>
        <v>Key-ABNT-66</v>
      </c>
      <c r="X66" s="30" t="s">
        <v>7491</v>
      </c>
      <c r="Y66" s="30" t="s">
        <v>7491</v>
      </c>
      <c r="Z66" s="55" t="s">
        <v>7086</v>
      </c>
      <c r="AA66" s="52" t="str">
        <f t="shared" si="20"/>
        <v>Industrialized Module</v>
      </c>
    </row>
    <row r="67" spans="1:27" ht="8.25" customHeight="1" x14ac:dyDescent="0.2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12"/>
        <v>Normativos</v>
      </c>
      <c r="M67" s="50" t="str">
        <f t="shared" si="13"/>
        <v>NBR.Temáticas</v>
      </c>
      <c r="N67" s="50" t="str">
        <f t="shared" si="14"/>
        <v>NBR.Construção</v>
      </c>
      <c r="O67" s="50" t="str">
        <f t="shared" si="15"/>
        <v>NBR.C.Mobiliário</v>
      </c>
      <c r="P67" s="50" t="s">
        <v>7155</v>
      </c>
      <c r="Q67" s="52" t="str">
        <f t="shared" si="16"/>
        <v>Mobiliario</v>
      </c>
      <c r="R67" s="30" t="s">
        <v>3262</v>
      </c>
      <c r="S67" s="51" t="str">
        <f t="shared" si="17"/>
        <v>Normativos</v>
      </c>
      <c r="T67" s="51" t="str">
        <f t="shared" si="18"/>
        <v>NBR.Temáticas</v>
      </c>
      <c r="U67" s="50" t="str">
        <f t="shared" si="19"/>
        <v>NBR.Construção</v>
      </c>
      <c r="V67" s="30" t="s">
        <v>6928</v>
      </c>
      <c r="W67" s="57" t="str">
        <f t="shared" si="21"/>
        <v>Key-ABNT-67</v>
      </c>
      <c r="X67" s="30" t="s">
        <v>7491</v>
      </c>
      <c r="Y67" s="30" t="s">
        <v>7491</v>
      </c>
      <c r="Z67" s="55" t="s">
        <v>7087</v>
      </c>
      <c r="AA67" s="52" t="str">
        <f t="shared" si="20"/>
        <v>Furniture</v>
      </c>
    </row>
    <row r="68" spans="1:27" ht="8.25" customHeight="1" x14ac:dyDescent="0.2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12"/>
        <v>Normativos</v>
      </c>
      <c r="M68" s="50" t="str">
        <f t="shared" si="13"/>
        <v>NBR.Temáticas</v>
      </c>
      <c r="N68" s="50" t="str">
        <f t="shared" si="14"/>
        <v>NBR.Construção</v>
      </c>
      <c r="O68" s="50" t="str">
        <f t="shared" si="15"/>
        <v>NBR.C.Equipamento.Alimentício</v>
      </c>
      <c r="P68" s="50" t="s">
        <v>7213</v>
      </c>
      <c r="Q68" s="52" t="str">
        <f t="shared" si="16"/>
        <v>Equipos de alimentación</v>
      </c>
      <c r="R68" s="30" t="s">
        <v>3262</v>
      </c>
      <c r="S68" s="51" t="str">
        <f t="shared" si="17"/>
        <v>Normativos</v>
      </c>
      <c r="T68" s="51" t="str">
        <f t="shared" si="18"/>
        <v>NBR.Temáticas</v>
      </c>
      <c r="U68" s="50" t="str">
        <f t="shared" si="19"/>
        <v>NBR.Construção</v>
      </c>
      <c r="V68" s="30" t="s">
        <v>6928</v>
      </c>
      <c r="W68" s="57" t="str">
        <f t="shared" si="21"/>
        <v>Key-ABNT-68</v>
      </c>
      <c r="X68" s="30" t="s">
        <v>7491</v>
      </c>
      <c r="Y68" s="30" t="s">
        <v>7491</v>
      </c>
      <c r="Z68" s="55" t="s">
        <v>7088</v>
      </c>
      <c r="AA68" s="52" t="str">
        <f t="shared" si="20"/>
        <v>Feeding equipment</v>
      </c>
    </row>
    <row r="69" spans="1:27" ht="8.25" customHeight="1" x14ac:dyDescent="0.2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12"/>
        <v>Normativos</v>
      </c>
      <c r="M69" s="50" t="str">
        <f t="shared" si="13"/>
        <v>NBR.Temáticas</v>
      </c>
      <c r="N69" s="50" t="str">
        <f t="shared" si="14"/>
        <v>NBR.Construção</v>
      </c>
      <c r="O69" s="50" t="str">
        <f t="shared" si="15"/>
        <v>NBR.C.Mobiliário.Alimentício</v>
      </c>
      <c r="P69" s="50" t="s">
        <v>7173</v>
      </c>
      <c r="Q69" s="52" t="str">
        <f t="shared" si="16"/>
        <v>Muebles para comida</v>
      </c>
      <c r="R69" s="30" t="s">
        <v>3262</v>
      </c>
      <c r="S69" s="51" t="str">
        <f t="shared" si="17"/>
        <v>Normativos</v>
      </c>
      <c r="T69" s="51" t="str">
        <f t="shared" si="18"/>
        <v>NBR.Temáticas</v>
      </c>
      <c r="U69" s="50" t="str">
        <f t="shared" si="19"/>
        <v>NBR.Construção</v>
      </c>
      <c r="V69" s="30" t="s">
        <v>6928</v>
      </c>
      <c r="W69" s="57" t="str">
        <f t="shared" si="21"/>
        <v>Key-ABNT-69</v>
      </c>
      <c r="X69" s="30" t="s">
        <v>7491</v>
      </c>
      <c r="Y69" s="30" t="s">
        <v>7491</v>
      </c>
      <c r="Z69" s="55" t="s">
        <v>7089</v>
      </c>
      <c r="AA69" s="52" t="str">
        <f t="shared" si="20"/>
        <v>Food Furniture</v>
      </c>
    </row>
    <row r="70" spans="1:27" ht="8.25" customHeight="1" x14ac:dyDescent="0.2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12"/>
        <v>Normativos</v>
      </c>
      <c r="M70" s="50" t="str">
        <f t="shared" si="13"/>
        <v>NBR.Temáticas</v>
      </c>
      <c r="N70" s="50" t="str">
        <f t="shared" si="14"/>
        <v>NBR.Construção</v>
      </c>
      <c r="O70" s="50" t="str">
        <f t="shared" si="15"/>
        <v>NBR.C.Mobiliário.Residencial</v>
      </c>
      <c r="P70" s="50" t="s">
        <v>7174</v>
      </c>
      <c r="Q70" s="52" t="str">
        <f t="shared" si="16"/>
        <v>Mobiliario residencial</v>
      </c>
      <c r="R70" s="30" t="s">
        <v>3262</v>
      </c>
      <c r="S70" s="51" t="str">
        <f t="shared" si="17"/>
        <v>Normativos</v>
      </c>
      <c r="T70" s="51" t="str">
        <f t="shared" si="18"/>
        <v>NBR.Temáticas</v>
      </c>
      <c r="U70" s="50" t="str">
        <f t="shared" si="19"/>
        <v>NBR.Construção</v>
      </c>
      <c r="V70" s="30" t="s">
        <v>6928</v>
      </c>
      <c r="W70" s="57" t="str">
        <f t="shared" si="21"/>
        <v>Key-ABNT-70</v>
      </c>
      <c r="X70" s="30" t="s">
        <v>7491</v>
      </c>
      <c r="Y70" s="30" t="s">
        <v>7491</v>
      </c>
      <c r="Z70" s="55" t="s">
        <v>7090</v>
      </c>
      <c r="AA70" s="52" t="str">
        <f t="shared" si="20"/>
        <v>Residential Furniture</v>
      </c>
    </row>
    <row r="71" spans="1:27" ht="8.25" customHeight="1" x14ac:dyDescent="0.2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12"/>
        <v>Normativos</v>
      </c>
      <c r="M71" s="50" t="str">
        <f t="shared" si="13"/>
        <v>NBR.Temáticas</v>
      </c>
      <c r="N71" s="50" t="str">
        <f t="shared" si="14"/>
        <v>NBR.Construção</v>
      </c>
      <c r="O71" s="50" t="str">
        <f t="shared" si="15"/>
        <v>NBR.C.Mobiliário.Educacional</v>
      </c>
      <c r="P71" s="50" t="s">
        <v>7175</v>
      </c>
      <c r="Q71" s="52" t="str">
        <f t="shared" si="16"/>
        <v>Mobiliario Educativo</v>
      </c>
      <c r="R71" s="30" t="s">
        <v>3262</v>
      </c>
      <c r="S71" s="51" t="str">
        <f t="shared" si="17"/>
        <v>Normativos</v>
      </c>
      <c r="T71" s="51" t="str">
        <f t="shared" si="18"/>
        <v>NBR.Temáticas</v>
      </c>
      <c r="U71" s="50" t="str">
        <f t="shared" si="19"/>
        <v>NBR.Construção</v>
      </c>
      <c r="V71" s="30" t="s">
        <v>6928</v>
      </c>
      <c r="W71" s="57" t="str">
        <f t="shared" si="21"/>
        <v>Key-ABNT-71</v>
      </c>
      <c r="X71" s="30" t="s">
        <v>7491</v>
      </c>
      <c r="Y71" s="30" t="s">
        <v>7491</v>
      </c>
      <c r="Z71" s="55" t="s">
        <v>7091</v>
      </c>
      <c r="AA71" s="52" t="str">
        <f t="shared" si="20"/>
        <v>Educational Furniture</v>
      </c>
    </row>
    <row r="72" spans="1:27" ht="8.25" customHeight="1" x14ac:dyDescent="0.2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12"/>
        <v>Normativos</v>
      </c>
      <c r="M72" s="50" t="str">
        <f t="shared" si="13"/>
        <v>NBR.Temáticas</v>
      </c>
      <c r="N72" s="50" t="str">
        <f t="shared" si="14"/>
        <v>NBR.Construção</v>
      </c>
      <c r="O72" s="50" t="str">
        <f t="shared" si="15"/>
        <v>NBR.C.Mobiliário.Especial</v>
      </c>
      <c r="P72" s="50" t="s">
        <v>7176</v>
      </c>
      <c r="Q72" s="52" t="str">
        <f t="shared" si="16"/>
        <v>Mobiliario especial</v>
      </c>
      <c r="R72" s="30" t="s">
        <v>3262</v>
      </c>
      <c r="S72" s="51" t="str">
        <f t="shared" si="17"/>
        <v>Normativos</v>
      </c>
      <c r="T72" s="51" t="str">
        <f t="shared" si="18"/>
        <v>NBR.Temáticas</v>
      </c>
      <c r="U72" s="50" t="str">
        <f t="shared" si="19"/>
        <v>NBR.Construção</v>
      </c>
      <c r="V72" s="30" t="s">
        <v>6928</v>
      </c>
      <c r="W72" s="57" t="str">
        <f t="shared" si="21"/>
        <v>Key-ABNT-72</v>
      </c>
      <c r="X72" s="30" t="s">
        <v>7491</v>
      </c>
      <c r="Y72" s="30" t="s">
        <v>7491</v>
      </c>
      <c r="Z72" s="55" t="s">
        <v>7092</v>
      </c>
      <c r="AA72" s="52" t="str">
        <f t="shared" si="20"/>
        <v>Special Furniture</v>
      </c>
    </row>
    <row r="73" spans="1:27" ht="8.25" customHeight="1" x14ac:dyDescent="0.2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 t="shared" ref="L73" si="22">CONCATENATE("", C73)</f>
        <v>Normativos</v>
      </c>
      <c r="M73" s="50" t="str">
        <f t="shared" ref="M73" si="23">CONCATENATE("", D73)</f>
        <v>NBR.Temáticas</v>
      </c>
      <c r="N73" s="50" t="str">
        <f t="shared" ref="N73" si="24">CONCATENATE("", E73)</f>
        <v>NBR.Construção</v>
      </c>
      <c r="O73" s="50" t="str">
        <f t="shared" ref="O73" si="25">F73</f>
        <v>NBR.C.Produto.Industrial</v>
      </c>
      <c r="P73" s="50" t="s">
        <v>7205</v>
      </c>
      <c r="Q73" s="52" t="str">
        <f t="shared" si="16"/>
        <v>Producto industrial</v>
      </c>
      <c r="R73" s="30" t="s">
        <v>3262</v>
      </c>
      <c r="S73" s="51" t="str">
        <f t="shared" ref="S73" si="26">SUBSTITUTE(C73, "_", " ")</f>
        <v>Normativos</v>
      </c>
      <c r="T73" s="51" t="str">
        <f t="shared" ref="T73" si="27">SUBSTITUTE(D73, "_", " ")</f>
        <v>NBR.Temáticas</v>
      </c>
      <c r="U73" s="50" t="str">
        <f t="shared" ref="U73" si="28">SUBSTITUTE(E73, "_", " ")</f>
        <v>NBR.Construção</v>
      </c>
      <c r="V73" s="30" t="s">
        <v>6928</v>
      </c>
      <c r="W73" s="57" t="str">
        <f t="shared" si="21"/>
        <v>Key-ABNT-73</v>
      </c>
      <c r="X73" s="30" t="s">
        <v>7491</v>
      </c>
      <c r="Y73" s="30" t="s">
        <v>7491</v>
      </c>
      <c r="Z73" s="55" t="s">
        <v>7187</v>
      </c>
      <c r="AA73" s="52" t="str">
        <f t="shared" ref="AA73" si="29">_xlfn.TRANSLATE(P73,"pt","en")</f>
        <v>Industrial Product</v>
      </c>
    </row>
    <row r="74" spans="1:27" ht="8.25" customHeight="1" x14ac:dyDescent="0.2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12"/>
        <v>Normativos</v>
      </c>
      <c r="M74" s="50" t="str">
        <f t="shared" si="13"/>
        <v>NBR.Temáticas</v>
      </c>
      <c r="N74" s="50" t="str">
        <f t="shared" si="14"/>
        <v>NBR.Construção</v>
      </c>
      <c r="O74" s="50" t="str">
        <f t="shared" si="15"/>
        <v>NBR.C.Equipamento.Limpeza</v>
      </c>
      <c r="P74" s="50" t="s">
        <v>7218</v>
      </c>
      <c r="Q74" s="52" t="str">
        <f t="shared" si="16"/>
        <v>Productos o equipos de limpieza</v>
      </c>
      <c r="R74" s="30" t="s">
        <v>3262</v>
      </c>
      <c r="S74" s="51" t="str">
        <f t="shared" si="17"/>
        <v>Normativos</v>
      </c>
      <c r="T74" s="51" t="str">
        <f t="shared" si="18"/>
        <v>NBR.Temáticas</v>
      </c>
      <c r="U74" s="50" t="str">
        <f t="shared" si="19"/>
        <v>NBR.Construção</v>
      </c>
      <c r="V74" s="30" t="s">
        <v>6928</v>
      </c>
      <c r="W74" s="57" t="str">
        <f t="shared" si="21"/>
        <v>Key-ABNT-74</v>
      </c>
      <c r="X74" s="30" t="s">
        <v>7491</v>
      </c>
      <c r="Y74" s="30" t="s">
        <v>7491</v>
      </c>
      <c r="Z74" s="55" t="s">
        <v>7198</v>
      </c>
      <c r="AA74" s="52" t="str">
        <f t="shared" si="20"/>
        <v>Cleaning Product or Equipment</v>
      </c>
    </row>
    <row r="75" spans="1:27" ht="8.25" customHeight="1" x14ac:dyDescent="0.2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12"/>
        <v>Normativos</v>
      </c>
      <c r="M75" s="50" t="str">
        <f t="shared" si="13"/>
        <v>NBR.Temáticas</v>
      </c>
      <c r="N75" s="50" t="str">
        <f t="shared" si="14"/>
        <v>NBR.Construção</v>
      </c>
      <c r="O75" s="50" t="str">
        <f t="shared" si="15"/>
        <v>NBR.C.Produto.Preservação</v>
      </c>
      <c r="P75" s="50" t="s">
        <v>7206</v>
      </c>
      <c r="Q75" s="52" t="str">
        <f t="shared" si="16"/>
        <v>Preservación del producto</v>
      </c>
      <c r="R75" s="30" t="s">
        <v>3262</v>
      </c>
      <c r="S75" s="51" t="str">
        <f t="shared" si="17"/>
        <v>Normativos</v>
      </c>
      <c r="T75" s="51" t="str">
        <f t="shared" si="18"/>
        <v>NBR.Temáticas</v>
      </c>
      <c r="U75" s="50" t="str">
        <f t="shared" si="19"/>
        <v>NBR.Construção</v>
      </c>
      <c r="V75" s="30" t="s">
        <v>6928</v>
      </c>
      <c r="W75" s="57" t="str">
        <f t="shared" si="21"/>
        <v>Key-ABNT-75</v>
      </c>
      <c r="X75" s="30" t="s">
        <v>7491</v>
      </c>
      <c r="Y75" s="30" t="s">
        <v>7491</v>
      </c>
      <c r="Z75" s="55" t="s">
        <v>7199</v>
      </c>
      <c r="AA75" s="52" t="str">
        <f t="shared" si="20"/>
        <v>Product Preservation</v>
      </c>
    </row>
    <row r="76" spans="1:27" ht="8.25" customHeight="1" x14ac:dyDescent="0.2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12"/>
        <v>Normativos</v>
      </c>
      <c r="M76" s="50" t="str">
        <f t="shared" si="13"/>
        <v>NBR.Temáticas</v>
      </c>
      <c r="N76" s="50" t="str">
        <f t="shared" si="14"/>
        <v>NBR.Construção</v>
      </c>
      <c r="O76" s="50" t="str">
        <f t="shared" si="15"/>
        <v>NBR.C.Produto.Esporte.e.Lazer</v>
      </c>
      <c r="P76" s="50" t="s">
        <v>7207</v>
      </c>
      <c r="Q76" s="52" t="str">
        <f t="shared" si="16"/>
        <v>Productos deportivos y de ocio</v>
      </c>
      <c r="R76" s="30" t="s">
        <v>3262</v>
      </c>
      <c r="S76" s="51" t="str">
        <f t="shared" si="17"/>
        <v>Normativos</v>
      </c>
      <c r="T76" s="51" t="str">
        <f t="shared" si="18"/>
        <v>NBR.Temáticas</v>
      </c>
      <c r="U76" s="50" t="str">
        <f t="shared" si="19"/>
        <v>NBR.Construção</v>
      </c>
      <c r="V76" s="30" t="s">
        <v>6928</v>
      </c>
      <c r="W76" s="57" t="str">
        <f t="shared" si="21"/>
        <v>Key-ABNT-76</v>
      </c>
      <c r="X76" s="30" t="s">
        <v>7491</v>
      </c>
      <c r="Y76" s="30" t="s">
        <v>7491</v>
      </c>
      <c r="Z76" s="55" t="s">
        <v>7200</v>
      </c>
      <c r="AA76" s="52" t="str">
        <f t="shared" si="20"/>
        <v>Sports &amp; Leisure Product</v>
      </c>
    </row>
    <row r="77" spans="1:27" ht="8.25" customHeight="1" x14ac:dyDescent="0.2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12"/>
        <v>Normativos</v>
      </c>
      <c r="M77" s="50" t="str">
        <f t="shared" si="13"/>
        <v>NBR.Temáticas</v>
      </c>
      <c r="N77" s="50" t="str">
        <f t="shared" si="14"/>
        <v>NBR.Construção</v>
      </c>
      <c r="O77" s="50" t="str">
        <f t="shared" si="15"/>
        <v>NBR.C.Produto.Transporte</v>
      </c>
      <c r="P77" s="50" t="s">
        <v>7208</v>
      </c>
      <c r="Q77" s="52" t="str">
        <f t="shared" si="16"/>
        <v>Transporte de productos</v>
      </c>
      <c r="R77" s="30" t="s">
        <v>3262</v>
      </c>
      <c r="S77" s="51" t="str">
        <f t="shared" si="17"/>
        <v>Normativos</v>
      </c>
      <c r="T77" s="51" t="str">
        <f t="shared" si="18"/>
        <v>NBR.Temáticas</v>
      </c>
      <c r="U77" s="50" t="str">
        <f t="shared" si="19"/>
        <v>NBR.Construção</v>
      </c>
      <c r="V77" s="30" t="s">
        <v>6928</v>
      </c>
      <c r="W77" s="57" t="str">
        <f t="shared" si="21"/>
        <v>Key-ABNT-77</v>
      </c>
      <c r="X77" s="30" t="s">
        <v>7491</v>
      </c>
      <c r="Y77" s="30" t="s">
        <v>7491</v>
      </c>
      <c r="Z77" s="55" t="s">
        <v>7201</v>
      </c>
      <c r="AA77" s="52" t="str">
        <f t="shared" si="20"/>
        <v>Product Transport</v>
      </c>
    </row>
    <row r="78" spans="1:27" ht="8.25" customHeight="1" x14ac:dyDescent="0.2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12"/>
        <v>Normativos</v>
      </c>
      <c r="M78" s="50" t="str">
        <f t="shared" si="13"/>
        <v>NBR.Temáticas</v>
      </c>
      <c r="N78" s="50" t="str">
        <f t="shared" si="14"/>
        <v>NBR.Construção</v>
      </c>
      <c r="O78" s="50" t="str">
        <f t="shared" si="15"/>
        <v>NBR.C.Andaime</v>
      </c>
      <c r="P78" s="50" t="s">
        <v>7156</v>
      </c>
      <c r="Q78" s="52" t="str">
        <f t="shared" si="16"/>
        <v>Andamios</v>
      </c>
      <c r="R78" s="30" t="s">
        <v>3262</v>
      </c>
      <c r="S78" s="51" t="str">
        <f t="shared" si="17"/>
        <v>Normativos</v>
      </c>
      <c r="T78" s="51" t="str">
        <f t="shared" si="18"/>
        <v>NBR.Temáticas</v>
      </c>
      <c r="U78" s="50" t="str">
        <f t="shared" si="19"/>
        <v>NBR.Construção</v>
      </c>
      <c r="V78" s="30" t="s">
        <v>6928</v>
      </c>
      <c r="W78" s="57" t="str">
        <f t="shared" si="21"/>
        <v>Key-ABNT-78</v>
      </c>
      <c r="X78" s="30" t="s">
        <v>7491</v>
      </c>
      <c r="Y78" s="30" t="s">
        <v>7491</v>
      </c>
      <c r="Z78" s="55" t="s">
        <v>7093</v>
      </c>
      <c r="AA78" s="52" t="str">
        <f t="shared" si="20"/>
        <v>Scaffolding</v>
      </c>
    </row>
    <row r="79" spans="1:27" ht="8.25" customHeight="1" x14ac:dyDescent="0.2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12"/>
        <v>Normativos</v>
      </c>
      <c r="M79" s="50" t="str">
        <f t="shared" si="13"/>
        <v>NBR.Temáticas</v>
      </c>
      <c r="N79" s="50" t="str">
        <f t="shared" si="14"/>
        <v>NBR.Construção</v>
      </c>
      <c r="O79" s="50" t="str">
        <f t="shared" si="15"/>
        <v>NBR.C.Produto.Hospitalar</v>
      </c>
      <c r="P79" s="50" t="s">
        <v>7177</v>
      </c>
      <c r="Q79" s="52" t="str">
        <f t="shared" si="16"/>
        <v>Producto hospitalario</v>
      </c>
      <c r="R79" s="30" t="s">
        <v>3262</v>
      </c>
      <c r="S79" s="51" t="str">
        <f t="shared" si="17"/>
        <v>Normativos</v>
      </c>
      <c r="T79" s="51" t="str">
        <f t="shared" si="18"/>
        <v>NBR.Temáticas</v>
      </c>
      <c r="U79" s="50" t="str">
        <f t="shared" si="19"/>
        <v>NBR.Construção</v>
      </c>
      <c r="V79" s="30" t="s">
        <v>6928</v>
      </c>
      <c r="W79" s="57" t="str">
        <f t="shared" si="21"/>
        <v>Key-ABNT-79</v>
      </c>
      <c r="X79" s="30" t="s">
        <v>7491</v>
      </c>
      <c r="Y79" s="30" t="s">
        <v>7491</v>
      </c>
      <c r="Z79" s="55" t="s">
        <v>7094</v>
      </c>
      <c r="AA79" s="52" t="str">
        <f t="shared" si="20"/>
        <v>Hospital Product</v>
      </c>
    </row>
    <row r="80" spans="1:27" ht="8.25" customHeight="1" x14ac:dyDescent="0.2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30">CONCATENATE("", C80)</f>
        <v>Normativos</v>
      </c>
      <c r="M80" s="50" t="str">
        <f t="shared" ref="M80:M87" si="31">CONCATENATE("", D80)</f>
        <v>NBR.Temáticas</v>
      </c>
      <c r="N80" s="50" t="str">
        <f t="shared" ref="N80:N87" si="32">CONCATENATE("", E80)</f>
        <v>NBR.Construção</v>
      </c>
      <c r="O80" s="50" t="str">
        <f t="shared" ref="O80:O87" si="33">F80</f>
        <v>NBR.C.Biossegurança</v>
      </c>
      <c r="P80" s="50" t="s">
        <v>7214</v>
      </c>
      <c r="Q80" s="52" t="str">
        <f t="shared" ref="Q80:Q89" si="34">_xlfn.TRANSLATE(P80,"pt","es")</f>
        <v>Producto de bioseguridad</v>
      </c>
      <c r="R80" s="30" t="s">
        <v>3262</v>
      </c>
      <c r="S80" s="51" t="str">
        <f t="shared" ref="S80:S87" si="35">SUBSTITUTE(C80, "_", " ")</f>
        <v>Normativos</v>
      </c>
      <c r="T80" s="51" t="str">
        <f t="shared" ref="T80:T87" si="36">SUBSTITUTE(D80, "_", " ")</f>
        <v>NBR.Temáticas</v>
      </c>
      <c r="U80" s="50" t="str">
        <f t="shared" ref="U80:U87" si="37">SUBSTITUTE(E80, "_", " ")</f>
        <v>NBR.Construção</v>
      </c>
      <c r="V80" s="30" t="s">
        <v>6928</v>
      </c>
      <c r="W80" s="57" t="str">
        <f t="shared" si="21"/>
        <v>Key-ABNT-80</v>
      </c>
      <c r="X80" s="30" t="s">
        <v>7491</v>
      </c>
      <c r="Y80" s="30" t="s">
        <v>7491</v>
      </c>
      <c r="Z80" s="55" t="s">
        <v>7095</v>
      </c>
      <c r="AA80" s="52" t="str">
        <f t="shared" ref="AA80:AA87" si="38">_xlfn.TRANSLATE(P80,"pt","en")</f>
        <v>Biosafety Product</v>
      </c>
    </row>
    <row r="81" spans="1:27" ht="8.25" customHeight="1" x14ac:dyDescent="0.2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30"/>
        <v>Normativos</v>
      </c>
      <c r="M81" s="50" t="str">
        <f t="shared" si="31"/>
        <v>NBR.Temáticas</v>
      </c>
      <c r="N81" s="50" t="str">
        <f t="shared" si="32"/>
        <v>NBR.Construção</v>
      </c>
      <c r="O81" s="50" t="str">
        <f t="shared" si="33"/>
        <v>NBR.C.Produto.Segurança</v>
      </c>
      <c r="P81" s="50" t="s">
        <v>7178</v>
      </c>
      <c r="Q81" s="52" t="str">
        <f t="shared" si="34"/>
        <v>Seguridad del producto</v>
      </c>
      <c r="R81" s="30" t="s">
        <v>3262</v>
      </c>
      <c r="S81" s="51" t="str">
        <f t="shared" si="35"/>
        <v>Normativos</v>
      </c>
      <c r="T81" s="51" t="str">
        <f t="shared" si="36"/>
        <v>NBR.Temáticas</v>
      </c>
      <c r="U81" s="50" t="str">
        <f t="shared" si="37"/>
        <v>NBR.Construção</v>
      </c>
      <c r="V81" s="30" t="s">
        <v>6928</v>
      </c>
      <c r="W81" s="57" t="str">
        <f t="shared" si="21"/>
        <v>Key-ABNT-81</v>
      </c>
      <c r="X81" s="30" t="s">
        <v>7491</v>
      </c>
      <c r="Y81" s="30" t="s">
        <v>7491</v>
      </c>
      <c r="Z81" s="55" t="s">
        <v>7096</v>
      </c>
      <c r="AA81" s="52" t="str">
        <f t="shared" si="38"/>
        <v>Product Safety</v>
      </c>
    </row>
    <row r="82" spans="1:27" ht="8.25" customHeight="1" x14ac:dyDescent="0.2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30"/>
        <v>Normativos</v>
      </c>
      <c r="M82" s="50" t="str">
        <f t="shared" si="31"/>
        <v>NBR.Temáticas</v>
      </c>
      <c r="N82" s="50" t="str">
        <f t="shared" si="32"/>
        <v>NBR.Construção</v>
      </c>
      <c r="O82" s="50" t="str">
        <f t="shared" si="33"/>
        <v>NBR.C.Produto.de.Incêndio</v>
      </c>
      <c r="P82" s="50" t="s">
        <v>7179</v>
      </c>
      <c r="Q82" s="52" t="str">
        <f t="shared" si="34"/>
        <v>Producto de fuego</v>
      </c>
      <c r="R82" s="30" t="s">
        <v>3262</v>
      </c>
      <c r="S82" s="51" t="str">
        <f t="shared" si="35"/>
        <v>Normativos</v>
      </c>
      <c r="T82" s="51" t="str">
        <f t="shared" si="36"/>
        <v>NBR.Temáticas</v>
      </c>
      <c r="U82" s="50" t="str">
        <f t="shared" si="37"/>
        <v>NBR.Construção</v>
      </c>
      <c r="V82" s="30" t="s">
        <v>6928</v>
      </c>
      <c r="W82" s="57" t="str">
        <f t="shared" si="21"/>
        <v>Key-ABNT-82</v>
      </c>
      <c r="X82" s="30" t="s">
        <v>7491</v>
      </c>
      <c r="Y82" s="30" t="s">
        <v>7491</v>
      </c>
      <c r="Z82" s="55" t="s">
        <v>7097</v>
      </c>
      <c r="AA82" s="52" t="str">
        <f t="shared" si="38"/>
        <v>Fire Product</v>
      </c>
    </row>
    <row r="83" spans="1:27" ht="8.25" customHeight="1" x14ac:dyDescent="0.2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30"/>
        <v>Normativos</v>
      </c>
      <c r="M83" s="50" t="str">
        <f t="shared" si="31"/>
        <v>NBR.Temáticas</v>
      </c>
      <c r="N83" s="50" t="str">
        <f t="shared" si="32"/>
        <v>NBR.Construção</v>
      </c>
      <c r="O83" s="50" t="str">
        <f t="shared" si="33"/>
        <v>NBR.C.Segurança.Ambiental</v>
      </c>
      <c r="P83" s="50" t="s">
        <v>7215</v>
      </c>
      <c r="Q83" s="52" t="str">
        <f t="shared" si="34"/>
        <v>Producto para la Seguridad Ambiental</v>
      </c>
      <c r="R83" s="30" t="s">
        <v>3262</v>
      </c>
      <c r="S83" s="51" t="str">
        <f t="shared" si="35"/>
        <v>Normativos</v>
      </c>
      <c r="T83" s="51" t="str">
        <f t="shared" si="36"/>
        <v>NBR.Temáticas</v>
      </c>
      <c r="U83" s="50" t="str">
        <f t="shared" si="37"/>
        <v>NBR.Construção</v>
      </c>
      <c r="V83" s="30" t="s">
        <v>6928</v>
      </c>
      <c r="W83" s="57" t="str">
        <f t="shared" si="21"/>
        <v>Key-ABNT-83</v>
      </c>
      <c r="X83" s="30" t="s">
        <v>7491</v>
      </c>
      <c r="Y83" s="30" t="s">
        <v>7491</v>
      </c>
      <c r="Z83" s="55" t="s">
        <v>7098</v>
      </c>
      <c r="AA83" s="52" t="str">
        <f t="shared" si="38"/>
        <v>Product for Environmental Safety</v>
      </c>
    </row>
    <row r="84" spans="1:27" ht="8.25" customHeight="1" x14ac:dyDescent="0.2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30"/>
        <v>Normativos</v>
      </c>
      <c r="M84" s="50" t="str">
        <f t="shared" si="31"/>
        <v>NBR.Temáticas</v>
      </c>
      <c r="N84" s="50" t="str">
        <f t="shared" si="32"/>
        <v>NBR.Construção</v>
      </c>
      <c r="O84" s="50" t="str">
        <f t="shared" si="33"/>
        <v>NBR.C.Produto.Hidrossanitário</v>
      </c>
      <c r="P84" s="50" t="s">
        <v>7217</v>
      </c>
      <c r="Q84" s="52" t="str">
        <f t="shared" si="34"/>
        <v>Producto de Instalaciones de Fontanería</v>
      </c>
      <c r="R84" s="30" t="s">
        <v>3262</v>
      </c>
      <c r="S84" s="51" t="str">
        <f t="shared" si="35"/>
        <v>Normativos</v>
      </c>
      <c r="T84" s="51" t="str">
        <f t="shared" si="36"/>
        <v>NBR.Temáticas</v>
      </c>
      <c r="U84" s="50" t="str">
        <f t="shared" si="37"/>
        <v>NBR.Construção</v>
      </c>
      <c r="V84" s="30" t="s">
        <v>6928</v>
      </c>
      <c r="W84" s="57" t="str">
        <f t="shared" si="21"/>
        <v>Key-ABNT-84</v>
      </c>
      <c r="X84" s="30" t="s">
        <v>7491</v>
      </c>
      <c r="Y84" s="30" t="s">
        <v>7491</v>
      </c>
      <c r="Z84" s="55" t="s">
        <v>7099</v>
      </c>
      <c r="AA84" s="52" t="str">
        <f t="shared" si="38"/>
        <v>Plumbing Facilities Product</v>
      </c>
    </row>
    <row r="85" spans="1:27" ht="8.25" customHeight="1" x14ac:dyDescent="0.2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30"/>
        <v>Normativos</v>
      </c>
      <c r="M85" s="50" t="str">
        <f t="shared" si="31"/>
        <v>NBR.Temáticas</v>
      </c>
      <c r="N85" s="50" t="str">
        <f t="shared" si="32"/>
        <v>NBR.Construção</v>
      </c>
      <c r="O85" s="50" t="str">
        <f t="shared" si="33"/>
        <v>NBR.C.Produto.Avac</v>
      </c>
      <c r="P85" s="50" t="s">
        <v>7216</v>
      </c>
      <c r="Q85" s="52" t="str">
        <f t="shared" si="34"/>
        <v>Producto de sistemas HVAC</v>
      </c>
      <c r="R85" s="30" t="s">
        <v>3262</v>
      </c>
      <c r="S85" s="51" t="str">
        <f t="shared" si="35"/>
        <v>Normativos</v>
      </c>
      <c r="T85" s="51" t="str">
        <f t="shared" si="36"/>
        <v>NBR.Temáticas</v>
      </c>
      <c r="U85" s="50" t="str">
        <f t="shared" si="37"/>
        <v>NBR.Construção</v>
      </c>
      <c r="V85" s="30" t="s">
        <v>6928</v>
      </c>
      <c r="W85" s="57" t="str">
        <f t="shared" si="21"/>
        <v>Key-ABNT-85</v>
      </c>
      <c r="X85" s="30" t="s">
        <v>7491</v>
      </c>
      <c r="Y85" s="30" t="s">
        <v>7491</v>
      </c>
      <c r="Z85" s="55" t="s">
        <v>7100</v>
      </c>
      <c r="AA85" s="52" t="str">
        <f t="shared" si="38"/>
        <v>HVAC Systems Product</v>
      </c>
    </row>
    <row r="86" spans="1:27" ht="8.25" customHeight="1" x14ac:dyDescent="0.2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30"/>
        <v>Normativos</v>
      </c>
      <c r="M86" s="50" t="str">
        <f t="shared" si="31"/>
        <v>NBR.Temáticas</v>
      </c>
      <c r="N86" s="50" t="str">
        <f t="shared" si="32"/>
        <v>NBR.Construção</v>
      </c>
      <c r="O86" s="50" t="str">
        <f t="shared" si="33"/>
        <v>NBR.C.Produto.de.Elétrica</v>
      </c>
      <c r="P86" s="50" t="s">
        <v>7180</v>
      </c>
      <c r="Q86" s="52" t="str">
        <f t="shared" si="34"/>
        <v>Producto eléctrico</v>
      </c>
      <c r="R86" s="30" t="s">
        <v>3262</v>
      </c>
      <c r="S86" s="51" t="str">
        <f t="shared" si="35"/>
        <v>Normativos</v>
      </c>
      <c r="T86" s="51" t="str">
        <f t="shared" si="36"/>
        <v>NBR.Temáticas</v>
      </c>
      <c r="U86" s="50" t="str">
        <f t="shared" si="37"/>
        <v>NBR.Construção</v>
      </c>
      <c r="V86" s="30" t="s">
        <v>6928</v>
      </c>
      <c r="W86" s="57" t="str">
        <f t="shared" si="21"/>
        <v>Key-ABNT-86</v>
      </c>
      <c r="X86" s="30" t="s">
        <v>7491</v>
      </c>
      <c r="Y86" s="30" t="s">
        <v>7491</v>
      </c>
      <c r="Z86" s="55" t="s">
        <v>7101</v>
      </c>
      <c r="AA86" s="52" t="str">
        <f t="shared" si="38"/>
        <v>Electrical Product</v>
      </c>
    </row>
    <row r="87" spans="1:27" ht="8.25" customHeight="1" x14ac:dyDescent="0.2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30"/>
        <v>Normativos</v>
      </c>
      <c r="M87" s="50" t="str">
        <f t="shared" si="31"/>
        <v>NBR.Temáticas</v>
      </c>
      <c r="N87" s="50" t="str">
        <f t="shared" si="32"/>
        <v>NBR.Construção</v>
      </c>
      <c r="O87" s="50" t="str">
        <f t="shared" si="33"/>
        <v>NBR.C.Produto.de.Telecom</v>
      </c>
      <c r="P87" s="50" t="s">
        <v>7181</v>
      </c>
      <c r="Q87" s="52" t="str">
        <f t="shared" si="34"/>
        <v>Producto de telecomunicaciones</v>
      </c>
      <c r="R87" s="30" t="s">
        <v>3262</v>
      </c>
      <c r="S87" s="51" t="str">
        <f t="shared" si="35"/>
        <v>Normativos</v>
      </c>
      <c r="T87" s="51" t="str">
        <f t="shared" si="36"/>
        <v>NBR.Temáticas</v>
      </c>
      <c r="U87" s="50" t="str">
        <f t="shared" si="37"/>
        <v>NBR.Construção</v>
      </c>
      <c r="V87" s="30" t="s">
        <v>6928</v>
      </c>
      <c r="W87" s="57" t="str">
        <f t="shared" si="21"/>
        <v>Key-ABNT-87</v>
      </c>
      <c r="X87" s="30" t="s">
        <v>7491</v>
      </c>
      <c r="Y87" s="30" t="s">
        <v>7491</v>
      </c>
      <c r="Z87" s="55" t="s">
        <v>7102</v>
      </c>
      <c r="AA87" s="52" t="str">
        <f t="shared" si="38"/>
        <v>Telecom Product</v>
      </c>
    </row>
    <row r="88" spans="1:27" ht="8.25" customHeight="1" x14ac:dyDescent="0.2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L89" si="39">CONCATENATE("", C88)</f>
        <v>Normativos</v>
      </c>
      <c r="M88" s="50" t="str">
        <f t="shared" ref="M88:M89" si="40">CONCATENATE("", D88)</f>
        <v>NBR.Temáticas</v>
      </c>
      <c r="N88" s="50" t="str">
        <f t="shared" ref="N88:N89" si="41">CONCATENATE("", E88)</f>
        <v>NBR.Construção</v>
      </c>
      <c r="O88" s="50" t="str">
        <f t="shared" ref="O88:O89" si="42">F88</f>
        <v>NBR.C.Produto.Multifuncional</v>
      </c>
      <c r="P88" s="50" t="s">
        <v>7182</v>
      </c>
      <c r="Q88" s="52" t="str">
        <f t="shared" si="34"/>
        <v>Producto multifuncional</v>
      </c>
      <c r="R88" s="30" t="s">
        <v>3262</v>
      </c>
      <c r="S88" s="51" t="str">
        <f t="shared" ref="S88:S89" si="43">SUBSTITUTE(C88, "_", " ")</f>
        <v>Normativos</v>
      </c>
      <c r="T88" s="51" t="str">
        <f t="shared" ref="T88:T89" si="44">SUBSTITUTE(D88, "_", " ")</f>
        <v>NBR.Temáticas</v>
      </c>
      <c r="U88" s="50" t="str">
        <f t="shared" ref="U88:U89" si="45">SUBSTITUTE(E88, "_", " ")</f>
        <v>NBR.Construção</v>
      </c>
      <c r="V88" s="30" t="s">
        <v>6928</v>
      </c>
      <c r="W88" s="57" t="str">
        <f t="shared" si="21"/>
        <v>Key-ABNT-88</v>
      </c>
      <c r="X88" s="30" t="s">
        <v>7491</v>
      </c>
      <c r="Y88" s="30" t="s">
        <v>7491</v>
      </c>
      <c r="Z88" s="55" t="s">
        <v>7103</v>
      </c>
      <c r="AA88" s="52" t="str">
        <f t="shared" ref="AA88:AA89" si="46">_xlfn.TRANSLATE(P88,"pt","en")</f>
        <v>Multifunctional Product</v>
      </c>
    </row>
    <row r="89" spans="1:27" ht="8.25" customHeight="1" x14ac:dyDescent="0.2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39"/>
        <v>Normativos</v>
      </c>
      <c r="M89" s="50" t="str">
        <f t="shared" si="40"/>
        <v>NBR.Temáticas</v>
      </c>
      <c r="N89" s="50" t="str">
        <f t="shared" si="41"/>
        <v>NBR.Construção</v>
      </c>
      <c r="O89" s="50" t="str">
        <f t="shared" si="42"/>
        <v>NBR.C.Produto.de.Geração</v>
      </c>
      <c r="P89" s="50" t="s">
        <v>7183</v>
      </c>
      <c r="Q89" s="52" t="str">
        <f t="shared" si="34"/>
        <v>Producto de generación</v>
      </c>
      <c r="R89" s="30" t="s">
        <v>3262</v>
      </c>
      <c r="S89" s="51" t="str">
        <f t="shared" si="43"/>
        <v>Normativos</v>
      </c>
      <c r="T89" s="51" t="str">
        <f t="shared" si="44"/>
        <v>NBR.Temáticas</v>
      </c>
      <c r="U89" s="50" t="str">
        <f t="shared" si="45"/>
        <v>NBR.Construção</v>
      </c>
      <c r="V89" s="30" t="s">
        <v>6928</v>
      </c>
      <c r="W89" s="57" t="str">
        <f t="shared" si="21"/>
        <v>Key-ABNT-89</v>
      </c>
      <c r="X89" s="30" t="s">
        <v>7491</v>
      </c>
      <c r="Y89" s="30" t="s">
        <v>7491</v>
      </c>
      <c r="Z89" s="55" t="s">
        <v>7104</v>
      </c>
      <c r="AA89" s="52" t="str">
        <f t="shared" si="46"/>
        <v>Generation Product</v>
      </c>
    </row>
  </sheetData>
  <conditionalFormatting sqref="F2:F14">
    <cfRule type="duplicateValues" dxfId="11" priority="2"/>
  </conditionalFormatting>
  <conditionalFormatting sqref="F31:F1048576 F1 F15:F29">
    <cfRule type="duplicateValues" dxfId="10" priority="13"/>
  </conditionalFormatting>
  <conditionalFormatting sqref="Q15:Q89">
    <cfRule type="cellIs" dxfId="9" priority="22" operator="equal">
      <formula>"null"</formula>
    </cfRule>
  </conditionalFormatting>
  <conditionalFormatting sqref="Z15:Z89">
    <cfRule type="duplicateValues" dxfId="8" priority="14"/>
    <cfRule type="duplicateValues" dxfId="7" priority="15"/>
  </conditionalFormatting>
  <conditionalFormatting sqref="AA1:AA89 A2:B89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6715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160" zoomScaleNormal="160" workbookViewId="0">
      <selection activeCell="C10" sqref="C10"/>
    </sheetView>
  </sheetViews>
  <sheetFormatPr defaultRowHeight="7.35" customHeight="1" x14ac:dyDescent="0.2"/>
  <cols>
    <col min="1" max="1" width="3.1640625" bestFit="1" customWidth="1"/>
    <col min="2" max="2" width="11.1640625" bestFit="1" customWidth="1"/>
    <col min="3" max="3" width="16.6640625" bestFit="1" customWidth="1"/>
    <col min="4" max="4" width="8.1640625" bestFit="1" customWidth="1"/>
    <col min="5" max="5" width="7.6640625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4.6640625" customWidth="1"/>
    <col min="12" max="12" width="4.6640625" bestFit="1" customWidth="1"/>
    <col min="13" max="13" width="21.83203125" customWidth="1"/>
    <col min="14" max="14" width="7.33203125" customWidth="1"/>
    <col min="15" max="15" width="50" bestFit="1" customWidth="1"/>
    <col min="16" max="16" width="8.6640625" customWidth="1"/>
    <col min="17" max="17" width="3.6640625" bestFit="1" customWidth="1"/>
    <col min="18" max="18" width="6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3.1640625" bestFit="1" customWidth="1"/>
    <col min="25" max="25" width="3.6640625" bestFit="1" customWidth="1"/>
  </cols>
  <sheetData>
    <row r="1" spans="1:25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35" customHeight="1" x14ac:dyDescent="0.2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35" customHeight="1" x14ac:dyDescent="0.2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35" customHeight="1" x14ac:dyDescent="0.2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35" customHeight="1" x14ac:dyDescent="0.2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35" customHeight="1" x14ac:dyDescent="0.2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35" customHeight="1" x14ac:dyDescent="0.2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35" customHeight="1" x14ac:dyDescent="0.2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35" customHeight="1" x14ac:dyDescent="0.2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35" customHeight="1" x14ac:dyDescent="0.2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35" customHeight="1" x14ac:dyDescent="0.2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35" customHeight="1" x14ac:dyDescent="0.2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35" customHeight="1" x14ac:dyDescent="0.2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35" customHeight="1" x14ac:dyDescent="0.2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35" customHeight="1" x14ac:dyDescent="0.2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35" customHeight="1" x14ac:dyDescent="0.2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35" customHeight="1" x14ac:dyDescent="0.2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35" customHeight="1" x14ac:dyDescent="0.2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35" customHeight="1" x14ac:dyDescent="0.2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35" customHeight="1" x14ac:dyDescent="0.2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35" customHeight="1" x14ac:dyDescent="0.2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35" customHeight="1" x14ac:dyDescent="0.2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35" customHeight="1" x14ac:dyDescent="0.2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35" customHeight="1" x14ac:dyDescent="0.2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35" customHeight="1" x14ac:dyDescent="0.2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35" customHeight="1" x14ac:dyDescent="0.2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35" customHeight="1" x14ac:dyDescent="0.2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35" customHeight="1" x14ac:dyDescent="0.2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35" customHeight="1" x14ac:dyDescent="0.2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35" customHeight="1" x14ac:dyDescent="0.2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35" customHeight="1" x14ac:dyDescent="0.2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35" customHeight="1" x14ac:dyDescent="0.2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35" customHeight="1" x14ac:dyDescent="0.2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35" customHeight="1" x14ac:dyDescent="0.2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35" customHeight="1" x14ac:dyDescent="0.2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35" customHeight="1" x14ac:dyDescent="0.2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35" customHeight="1" x14ac:dyDescent="0.2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35" customHeight="1" x14ac:dyDescent="0.2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35" customHeight="1" x14ac:dyDescent="0.2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35" customHeight="1" x14ac:dyDescent="0.2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35" customHeight="1" x14ac:dyDescent="0.2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35" customHeight="1" x14ac:dyDescent="0.2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35" customHeight="1" x14ac:dyDescent="0.2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35" customHeight="1" x14ac:dyDescent="0.2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35" customHeight="1" x14ac:dyDescent="0.2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35" customHeight="1" x14ac:dyDescent="0.2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35" customHeight="1" x14ac:dyDescent="0.2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35" customHeight="1" x14ac:dyDescent="0.2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35" customHeight="1" x14ac:dyDescent="0.2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35" customHeight="1" x14ac:dyDescent="0.2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35" customHeight="1" x14ac:dyDescent="0.2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35" customHeight="1" x14ac:dyDescent="0.2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35" customHeight="1" x14ac:dyDescent="0.2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35" customHeight="1" x14ac:dyDescent="0.2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35" customHeight="1" x14ac:dyDescent="0.2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35" customHeight="1" x14ac:dyDescent="0.2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35" customHeight="1" x14ac:dyDescent="0.2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35" customHeight="1" x14ac:dyDescent="0.2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35" customHeight="1" x14ac:dyDescent="0.2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35" customHeight="1" x14ac:dyDescent="0.2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35" customHeight="1" x14ac:dyDescent="0.2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35" customHeight="1" x14ac:dyDescent="0.2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35" customHeight="1" x14ac:dyDescent="0.2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35" customHeight="1" x14ac:dyDescent="0.2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35" customHeight="1" x14ac:dyDescent="0.2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35" customHeight="1" x14ac:dyDescent="0.2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35" customHeight="1" x14ac:dyDescent="0.2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35" customHeight="1" x14ac:dyDescent="0.2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35" customHeight="1" x14ac:dyDescent="0.2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35" customHeight="1" x14ac:dyDescent="0.2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35" customHeight="1" x14ac:dyDescent="0.2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35" customHeight="1" x14ac:dyDescent="0.2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35" customHeight="1" x14ac:dyDescent="0.2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35" customHeight="1" x14ac:dyDescent="0.2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35" customHeight="1" x14ac:dyDescent="0.2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35" customHeight="1" x14ac:dyDescent="0.2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35" customHeight="1" x14ac:dyDescent="0.2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35" customHeight="1" x14ac:dyDescent="0.2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35" customHeight="1" x14ac:dyDescent="0.2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35" customHeight="1" x14ac:dyDescent="0.2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35" customHeight="1" x14ac:dyDescent="0.2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35" customHeight="1" x14ac:dyDescent="0.2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35" customHeight="1" x14ac:dyDescent="0.2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35" customHeight="1" x14ac:dyDescent="0.2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35" customHeight="1" x14ac:dyDescent="0.2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35" customHeight="1" x14ac:dyDescent="0.2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35" customHeight="1" x14ac:dyDescent="0.2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35" customHeight="1" x14ac:dyDescent="0.2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35" customHeight="1" x14ac:dyDescent="0.2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35" customHeight="1" x14ac:dyDescent="0.2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35" customHeight="1" x14ac:dyDescent="0.2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35" customHeight="1" x14ac:dyDescent="0.2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35" customHeight="1" x14ac:dyDescent="0.2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35" customHeight="1" x14ac:dyDescent="0.2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35" customHeight="1" x14ac:dyDescent="0.2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35" customHeight="1" x14ac:dyDescent="0.2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35" customHeight="1" x14ac:dyDescent="0.2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35" customHeight="1" x14ac:dyDescent="0.2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35" customHeight="1" x14ac:dyDescent="0.2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35" customHeight="1" x14ac:dyDescent="0.2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35" customHeight="1" x14ac:dyDescent="0.2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35" customHeight="1" x14ac:dyDescent="0.2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35" customHeight="1" x14ac:dyDescent="0.2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35" customHeight="1" x14ac:dyDescent="0.2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35" customHeight="1" x14ac:dyDescent="0.2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35" customHeight="1" x14ac:dyDescent="0.2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35" customHeight="1" x14ac:dyDescent="0.2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35" customHeight="1" x14ac:dyDescent="0.2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35" customHeight="1" x14ac:dyDescent="0.2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35" customHeight="1" x14ac:dyDescent="0.2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35" customHeight="1" x14ac:dyDescent="0.2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35" customHeight="1" x14ac:dyDescent="0.2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35" customHeight="1" x14ac:dyDescent="0.2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35" customHeight="1" x14ac:dyDescent="0.2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35" customHeight="1" x14ac:dyDescent="0.2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35" customHeight="1" x14ac:dyDescent="0.2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35" customHeight="1" x14ac:dyDescent="0.2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35" customHeight="1" x14ac:dyDescent="0.2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35" customHeight="1" x14ac:dyDescent="0.2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35" customHeight="1" x14ac:dyDescent="0.2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35" customHeight="1" x14ac:dyDescent="0.2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35" customHeight="1" x14ac:dyDescent="0.2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35" customHeight="1" x14ac:dyDescent="0.2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35" customHeight="1" x14ac:dyDescent="0.2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35" customHeight="1" x14ac:dyDescent="0.2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35" customHeight="1" x14ac:dyDescent="0.2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35" customHeight="1" x14ac:dyDescent="0.2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35" customHeight="1" x14ac:dyDescent="0.2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35" customHeight="1" x14ac:dyDescent="0.2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35" customHeight="1" x14ac:dyDescent="0.2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35" customHeight="1" x14ac:dyDescent="0.2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35" customHeight="1" x14ac:dyDescent="0.2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35" customHeight="1" x14ac:dyDescent="0.2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35" customHeight="1" x14ac:dyDescent="0.2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35" customHeight="1" x14ac:dyDescent="0.2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35" customHeight="1" x14ac:dyDescent="0.2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35" customHeight="1" x14ac:dyDescent="0.2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35" customHeight="1" x14ac:dyDescent="0.2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35" customHeight="1" x14ac:dyDescent="0.2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35" customHeight="1" x14ac:dyDescent="0.2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35" customHeight="1" x14ac:dyDescent="0.2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35" customHeight="1" x14ac:dyDescent="0.2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35" customHeight="1" x14ac:dyDescent="0.2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35" customHeight="1" x14ac:dyDescent="0.2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35" customHeight="1" x14ac:dyDescent="0.2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35" customHeight="1" x14ac:dyDescent="0.2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35" customHeight="1" x14ac:dyDescent="0.2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35" customHeight="1" x14ac:dyDescent="0.2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35" customHeight="1" x14ac:dyDescent="0.2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35" customHeight="1" x14ac:dyDescent="0.2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35" customHeight="1" x14ac:dyDescent="0.2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35" customHeight="1" x14ac:dyDescent="0.2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35" customHeight="1" x14ac:dyDescent="0.2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35" customHeight="1" x14ac:dyDescent="0.2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35" customHeight="1" x14ac:dyDescent="0.2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35" customHeight="1" x14ac:dyDescent="0.2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35" customHeight="1" x14ac:dyDescent="0.2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35" customHeight="1" x14ac:dyDescent="0.2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35" customHeight="1" x14ac:dyDescent="0.2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35" customHeight="1" x14ac:dyDescent="0.2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35" customHeight="1" x14ac:dyDescent="0.2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35" customHeight="1" x14ac:dyDescent="0.2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35" customHeight="1" x14ac:dyDescent="0.2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35" customHeight="1" x14ac:dyDescent="0.2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35" customHeight="1" x14ac:dyDescent="0.2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35" customHeight="1" x14ac:dyDescent="0.2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35" customHeight="1" x14ac:dyDescent="0.2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35" customHeight="1" x14ac:dyDescent="0.2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35" customHeight="1" x14ac:dyDescent="0.2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35" customHeight="1" x14ac:dyDescent="0.2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35" customHeight="1" x14ac:dyDescent="0.2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35" customHeight="1" x14ac:dyDescent="0.2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35" customHeight="1" x14ac:dyDescent="0.2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35" customHeight="1" x14ac:dyDescent="0.2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35" customHeight="1" x14ac:dyDescent="0.2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35" customHeight="1" x14ac:dyDescent="0.2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35" customHeight="1" x14ac:dyDescent="0.2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35" customHeight="1" x14ac:dyDescent="0.2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35" customHeight="1" x14ac:dyDescent="0.2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35" customHeight="1" x14ac:dyDescent="0.2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35" customHeight="1" x14ac:dyDescent="0.2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35" customHeight="1" x14ac:dyDescent="0.2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35" customHeight="1" x14ac:dyDescent="0.2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35" customHeight="1" x14ac:dyDescent="0.2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35" customHeight="1" x14ac:dyDescent="0.2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35" customHeight="1" x14ac:dyDescent="0.2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35" customHeight="1" x14ac:dyDescent="0.2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35" customHeight="1" x14ac:dyDescent="0.2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35" customHeight="1" x14ac:dyDescent="0.2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35" customHeight="1" x14ac:dyDescent="0.2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35" customHeight="1" x14ac:dyDescent="0.2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35" customHeight="1" x14ac:dyDescent="0.2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35" customHeight="1" x14ac:dyDescent="0.2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35" customHeight="1" x14ac:dyDescent="0.2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35" customHeight="1" x14ac:dyDescent="0.2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35" customHeight="1" x14ac:dyDescent="0.2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35" customHeight="1" x14ac:dyDescent="0.2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35" customHeight="1" x14ac:dyDescent="0.2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35" customHeight="1" x14ac:dyDescent="0.2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35" customHeight="1" x14ac:dyDescent="0.2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35" customHeight="1" x14ac:dyDescent="0.2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35" customHeight="1" x14ac:dyDescent="0.2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35" customHeight="1" x14ac:dyDescent="0.2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35" customHeight="1" x14ac:dyDescent="0.2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35" customHeight="1" x14ac:dyDescent="0.2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35" customHeight="1" x14ac:dyDescent="0.2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35" customHeight="1" x14ac:dyDescent="0.2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35" customHeight="1" x14ac:dyDescent="0.2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35" customHeight="1" x14ac:dyDescent="0.2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35" customHeight="1" x14ac:dyDescent="0.2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35" customHeight="1" x14ac:dyDescent="0.2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35" customHeight="1" x14ac:dyDescent="0.2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35" customHeight="1" x14ac:dyDescent="0.2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35" customHeight="1" x14ac:dyDescent="0.2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35" customHeight="1" x14ac:dyDescent="0.2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35" customHeight="1" x14ac:dyDescent="0.2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35" customHeight="1" x14ac:dyDescent="0.2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35" customHeight="1" x14ac:dyDescent="0.2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35" customHeight="1" x14ac:dyDescent="0.2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35" customHeight="1" x14ac:dyDescent="0.2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35" customHeight="1" x14ac:dyDescent="0.2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35" customHeight="1" x14ac:dyDescent="0.2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35" customHeight="1" x14ac:dyDescent="0.2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35" customHeight="1" x14ac:dyDescent="0.2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35" customHeight="1" x14ac:dyDescent="0.2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35" customHeight="1" x14ac:dyDescent="0.2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35" customHeight="1" x14ac:dyDescent="0.2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35" customHeight="1" x14ac:dyDescent="0.2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35" customHeight="1" x14ac:dyDescent="0.2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35" customHeight="1" x14ac:dyDescent="0.2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35" customHeight="1" x14ac:dyDescent="0.2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35" customHeight="1" x14ac:dyDescent="0.2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35" customHeight="1" x14ac:dyDescent="0.2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35" customHeight="1" x14ac:dyDescent="0.2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35" customHeight="1" x14ac:dyDescent="0.2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35" customHeight="1" x14ac:dyDescent="0.2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35" customHeight="1" x14ac:dyDescent="0.2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35" customHeight="1" x14ac:dyDescent="0.2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35" customHeight="1" x14ac:dyDescent="0.2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35" customHeight="1" x14ac:dyDescent="0.2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35" customHeight="1" x14ac:dyDescent="0.2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35" customHeight="1" x14ac:dyDescent="0.2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35" customHeight="1" x14ac:dyDescent="0.2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35" customHeight="1" x14ac:dyDescent="0.2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35" customHeight="1" x14ac:dyDescent="0.2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35" customHeight="1" x14ac:dyDescent="0.2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35" customHeight="1" x14ac:dyDescent="0.2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35" customHeight="1" x14ac:dyDescent="0.2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35" customHeight="1" x14ac:dyDescent="0.2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35" customHeight="1" x14ac:dyDescent="0.2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35" customHeight="1" x14ac:dyDescent="0.2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35" customHeight="1" x14ac:dyDescent="0.2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35" customHeight="1" x14ac:dyDescent="0.2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35" customHeight="1" x14ac:dyDescent="0.2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35" customHeight="1" x14ac:dyDescent="0.2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35" customHeight="1" x14ac:dyDescent="0.2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35" customHeight="1" x14ac:dyDescent="0.2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35" customHeight="1" x14ac:dyDescent="0.2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35" customHeight="1" x14ac:dyDescent="0.2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35" customHeight="1" x14ac:dyDescent="0.2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35" customHeight="1" x14ac:dyDescent="0.2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35" customHeight="1" x14ac:dyDescent="0.2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35" customHeight="1" x14ac:dyDescent="0.2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35" customHeight="1" x14ac:dyDescent="0.2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35" customHeight="1" x14ac:dyDescent="0.2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35" customHeight="1" x14ac:dyDescent="0.2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35" customHeight="1" x14ac:dyDescent="0.2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35" customHeight="1" x14ac:dyDescent="0.2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35" customHeight="1" x14ac:dyDescent="0.2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35" customHeight="1" x14ac:dyDescent="0.2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35" customHeight="1" x14ac:dyDescent="0.2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35" customHeight="1" x14ac:dyDescent="0.2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35" customHeight="1" x14ac:dyDescent="0.2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35" customHeight="1" x14ac:dyDescent="0.2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35" customHeight="1" x14ac:dyDescent="0.2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35" customHeight="1" x14ac:dyDescent="0.2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35" customHeight="1" x14ac:dyDescent="0.2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35" customHeight="1" x14ac:dyDescent="0.2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35" customHeight="1" x14ac:dyDescent="0.2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35" customHeight="1" x14ac:dyDescent="0.2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35" customHeight="1" x14ac:dyDescent="0.2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35" customHeight="1" x14ac:dyDescent="0.2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35" customHeight="1" x14ac:dyDescent="0.2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35" customHeight="1" x14ac:dyDescent="0.2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35" customHeight="1" x14ac:dyDescent="0.2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35" customHeight="1" x14ac:dyDescent="0.2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35" customHeight="1" x14ac:dyDescent="0.2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35" customHeight="1" x14ac:dyDescent="0.2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35" customHeight="1" x14ac:dyDescent="0.2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35" customHeight="1" x14ac:dyDescent="0.2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35" customHeight="1" x14ac:dyDescent="0.2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35" customHeight="1" x14ac:dyDescent="0.2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35" customHeight="1" x14ac:dyDescent="0.2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35" customHeight="1" x14ac:dyDescent="0.2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35" customHeight="1" x14ac:dyDescent="0.2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35" customHeight="1" x14ac:dyDescent="0.2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35" customHeight="1" x14ac:dyDescent="0.2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35" customHeight="1" x14ac:dyDescent="0.2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35" customHeight="1" x14ac:dyDescent="0.2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35" customHeight="1" x14ac:dyDescent="0.2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35" customHeight="1" x14ac:dyDescent="0.2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35" customHeight="1" x14ac:dyDescent="0.2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35" customHeight="1" x14ac:dyDescent="0.2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35" customHeight="1" x14ac:dyDescent="0.2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35" customHeight="1" x14ac:dyDescent="0.2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35" customHeight="1" x14ac:dyDescent="0.2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35" customHeight="1" x14ac:dyDescent="0.2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35" customHeight="1" x14ac:dyDescent="0.2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35" customHeight="1" x14ac:dyDescent="0.2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35" customHeight="1" x14ac:dyDescent="0.2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35" customHeight="1" x14ac:dyDescent="0.2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35" customHeight="1" x14ac:dyDescent="0.2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35" customHeight="1" x14ac:dyDescent="0.2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35" customHeight="1" x14ac:dyDescent="0.2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35" customHeight="1" x14ac:dyDescent="0.2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35" customHeight="1" x14ac:dyDescent="0.2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35" customHeight="1" x14ac:dyDescent="0.2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35" customHeight="1" x14ac:dyDescent="0.2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35" customHeight="1" x14ac:dyDescent="0.2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35" customHeight="1" x14ac:dyDescent="0.2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35" customHeight="1" x14ac:dyDescent="0.2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35" customHeight="1" x14ac:dyDescent="0.2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35" customHeight="1" x14ac:dyDescent="0.2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35" customHeight="1" x14ac:dyDescent="0.2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35" customHeight="1" x14ac:dyDescent="0.2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35" customHeight="1" x14ac:dyDescent="0.2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35" customHeight="1" x14ac:dyDescent="0.2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35" customHeight="1" x14ac:dyDescent="0.2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35" customHeight="1" x14ac:dyDescent="0.2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35" customHeight="1" x14ac:dyDescent="0.2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35" customHeight="1" x14ac:dyDescent="0.2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35" customHeight="1" x14ac:dyDescent="0.2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35" customHeight="1" x14ac:dyDescent="0.2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35" customHeight="1" x14ac:dyDescent="0.2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35" customHeight="1" x14ac:dyDescent="0.2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35" customHeight="1" x14ac:dyDescent="0.2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35" customHeight="1" x14ac:dyDescent="0.2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35" customHeight="1" x14ac:dyDescent="0.2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35" customHeight="1" x14ac:dyDescent="0.2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35" customHeight="1" x14ac:dyDescent="0.2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35" customHeight="1" x14ac:dyDescent="0.2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35" customHeight="1" x14ac:dyDescent="0.2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35" customHeight="1" x14ac:dyDescent="0.2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35" customHeight="1" x14ac:dyDescent="0.2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35" customHeight="1" x14ac:dyDescent="0.2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35" customHeight="1" x14ac:dyDescent="0.2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35" customHeight="1" x14ac:dyDescent="0.2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35" customHeight="1" x14ac:dyDescent="0.2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35" customHeight="1" x14ac:dyDescent="0.2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35" customHeight="1" x14ac:dyDescent="0.2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35" customHeight="1" x14ac:dyDescent="0.2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35" customHeight="1" x14ac:dyDescent="0.2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35" customHeight="1" x14ac:dyDescent="0.2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35" customHeight="1" x14ac:dyDescent="0.2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35" customHeight="1" x14ac:dyDescent="0.2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35" customHeight="1" x14ac:dyDescent="0.2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35" customHeight="1" x14ac:dyDescent="0.2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35" customHeight="1" x14ac:dyDescent="0.2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35" customHeight="1" x14ac:dyDescent="0.2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35" customHeight="1" x14ac:dyDescent="0.2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35" customHeight="1" x14ac:dyDescent="0.2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35" customHeight="1" x14ac:dyDescent="0.2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35" customHeight="1" x14ac:dyDescent="0.2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35" customHeight="1" x14ac:dyDescent="0.2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35" customHeight="1" x14ac:dyDescent="0.2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35" customHeight="1" x14ac:dyDescent="0.2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35" customHeight="1" x14ac:dyDescent="0.2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35" customHeight="1" x14ac:dyDescent="0.2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35" customHeight="1" x14ac:dyDescent="0.2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35" customHeight="1" x14ac:dyDescent="0.2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35" customHeight="1" x14ac:dyDescent="0.2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35" customHeight="1" x14ac:dyDescent="0.2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35" customHeight="1" x14ac:dyDescent="0.2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35" customHeight="1" x14ac:dyDescent="0.2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35" customHeight="1" x14ac:dyDescent="0.2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35" customHeight="1" x14ac:dyDescent="0.2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35" customHeight="1" x14ac:dyDescent="0.2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35" customHeight="1" x14ac:dyDescent="0.2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35" customHeight="1" x14ac:dyDescent="0.2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35" customHeight="1" x14ac:dyDescent="0.2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35" customHeight="1" x14ac:dyDescent="0.2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35" customHeight="1" x14ac:dyDescent="0.2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35" customHeight="1" x14ac:dyDescent="0.2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35" customHeight="1" x14ac:dyDescent="0.2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35" customHeight="1" x14ac:dyDescent="0.2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35" customHeight="1" x14ac:dyDescent="0.2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35" customHeight="1" x14ac:dyDescent="0.2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35" customHeight="1" x14ac:dyDescent="0.2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35" customHeight="1" x14ac:dyDescent="0.2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35" customHeight="1" x14ac:dyDescent="0.2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35" customHeight="1" x14ac:dyDescent="0.2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35" customHeight="1" x14ac:dyDescent="0.2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35" customHeight="1" x14ac:dyDescent="0.2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35" customHeight="1" x14ac:dyDescent="0.2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35" customHeight="1" x14ac:dyDescent="0.2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35" customHeight="1" x14ac:dyDescent="0.2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35" customHeight="1" x14ac:dyDescent="0.2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35" customHeight="1" x14ac:dyDescent="0.2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35" customHeight="1" x14ac:dyDescent="0.2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35" customHeight="1" x14ac:dyDescent="0.2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35" customHeight="1" x14ac:dyDescent="0.2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35" customHeight="1" x14ac:dyDescent="0.2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35" customHeight="1" x14ac:dyDescent="0.2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35" customHeight="1" x14ac:dyDescent="0.2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35" customHeight="1" x14ac:dyDescent="0.2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35" customHeight="1" x14ac:dyDescent="0.2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35" customHeight="1" x14ac:dyDescent="0.2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35" customHeight="1" x14ac:dyDescent="0.2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35" customHeight="1" x14ac:dyDescent="0.2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35" customHeight="1" x14ac:dyDescent="0.2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35" customHeight="1" x14ac:dyDescent="0.2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35" customHeight="1" x14ac:dyDescent="0.2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35" customHeight="1" x14ac:dyDescent="0.2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35" customHeight="1" x14ac:dyDescent="0.2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35" customHeight="1" x14ac:dyDescent="0.2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35" customHeight="1" x14ac:dyDescent="0.2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35" customHeight="1" x14ac:dyDescent="0.2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35" customHeight="1" x14ac:dyDescent="0.2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35" customHeight="1" x14ac:dyDescent="0.2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35" customHeight="1" x14ac:dyDescent="0.2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35" customHeight="1" x14ac:dyDescent="0.2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35" customHeight="1" x14ac:dyDescent="0.2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35" customHeight="1" x14ac:dyDescent="0.2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35" customHeight="1" x14ac:dyDescent="0.2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35" customHeight="1" x14ac:dyDescent="0.2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35" customHeight="1" x14ac:dyDescent="0.2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35" customHeight="1" x14ac:dyDescent="0.2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35" customHeight="1" x14ac:dyDescent="0.2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35" customHeight="1" x14ac:dyDescent="0.2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35" customHeight="1" x14ac:dyDescent="0.2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35" customHeight="1" x14ac:dyDescent="0.2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35" customHeight="1" x14ac:dyDescent="0.2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35" customHeight="1" x14ac:dyDescent="0.2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35" customHeight="1" x14ac:dyDescent="0.2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35" customHeight="1" x14ac:dyDescent="0.2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35" customHeight="1" x14ac:dyDescent="0.2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35" customHeight="1" x14ac:dyDescent="0.2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35" customHeight="1" x14ac:dyDescent="0.2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35" customHeight="1" x14ac:dyDescent="0.2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35" customHeight="1" x14ac:dyDescent="0.2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35" customHeight="1" x14ac:dyDescent="0.2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35" customHeight="1" x14ac:dyDescent="0.2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35" customHeight="1" x14ac:dyDescent="0.2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35" customHeight="1" x14ac:dyDescent="0.2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35" customHeight="1" x14ac:dyDescent="0.2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35" customHeight="1" x14ac:dyDescent="0.2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35" customHeight="1" x14ac:dyDescent="0.2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35" customHeight="1" x14ac:dyDescent="0.2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35" customHeight="1" x14ac:dyDescent="0.2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35" customHeight="1" x14ac:dyDescent="0.2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35" customHeight="1" x14ac:dyDescent="0.2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35" customHeight="1" x14ac:dyDescent="0.2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35" customHeight="1" x14ac:dyDescent="0.2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35" customHeight="1" x14ac:dyDescent="0.2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35" customHeight="1" x14ac:dyDescent="0.2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35" customHeight="1" x14ac:dyDescent="0.2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35" customHeight="1" x14ac:dyDescent="0.2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35" customHeight="1" x14ac:dyDescent="0.2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35" customHeight="1" x14ac:dyDescent="0.2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35" customHeight="1" x14ac:dyDescent="0.2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35" customHeight="1" x14ac:dyDescent="0.2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35" customHeight="1" x14ac:dyDescent="0.2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35" customHeight="1" x14ac:dyDescent="0.2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35" customHeight="1" x14ac:dyDescent="0.2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35" customHeight="1" x14ac:dyDescent="0.2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35" customHeight="1" x14ac:dyDescent="0.2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35" customHeight="1" x14ac:dyDescent="0.2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35" customHeight="1" x14ac:dyDescent="0.2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35" customHeight="1" x14ac:dyDescent="0.2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35" customHeight="1" x14ac:dyDescent="0.2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35" customHeight="1" x14ac:dyDescent="0.2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35" customHeight="1" x14ac:dyDescent="0.2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35" customHeight="1" x14ac:dyDescent="0.2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35" customHeight="1" x14ac:dyDescent="0.2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35" customHeight="1" x14ac:dyDescent="0.2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35" customHeight="1" x14ac:dyDescent="0.2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35" customHeight="1" x14ac:dyDescent="0.2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35" customHeight="1" x14ac:dyDescent="0.2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35" customHeight="1" x14ac:dyDescent="0.2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35" customHeight="1" x14ac:dyDescent="0.2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35" customHeight="1" x14ac:dyDescent="0.2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35" customHeight="1" x14ac:dyDescent="0.2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35" customHeight="1" x14ac:dyDescent="0.2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35" customHeight="1" x14ac:dyDescent="0.2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35" customHeight="1" x14ac:dyDescent="0.2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35" customHeight="1" x14ac:dyDescent="0.2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35" customHeight="1" x14ac:dyDescent="0.2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35" customHeight="1" x14ac:dyDescent="0.2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35" customHeight="1" x14ac:dyDescent="0.2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35" customHeight="1" x14ac:dyDescent="0.2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35" customHeight="1" x14ac:dyDescent="0.2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35" customHeight="1" x14ac:dyDescent="0.2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35" customHeight="1" x14ac:dyDescent="0.2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35" customHeight="1" x14ac:dyDescent="0.2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35" customHeight="1" x14ac:dyDescent="0.2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35" customHeight="1" x14ac:dyDescent="0.2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35" customHeight="1" x14ac:dyDescent="0.2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35" customHeight="1" x14ac:dyDescent="0.2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35" customHeight="1" x14ac:dyDescent="0.2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35" customHeight="1" x14ac:dyDescent="0.2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35" customHeight="1" x14ac:dyDescent="0.2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35" customHeight="1" x14ac:dyDescent="0.2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35" customHeight="1" x14ac:dyDescent="0.2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35" customHeight="1" x14ac:dyDescent="0.2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35" customHeight="1" x14ac:dyDescent="0.2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35" customHeight="1" x14ac:dyDescent="0.2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35" customHeight="1" x14ac:dyDescent="0.2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35" customHeight="1" x14ac:dyDescent="0.2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35" customHeight="1" x14ac:dyDescent="0.2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35" customHeight="1" x14ac:dyDescent="0.2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35" customHeight="1" x14ac:dyDescent="0.2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35" customHeight="1" x14ac:dyDescent="0.2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35" customHeight="1" x14ac:dyDescent="0.2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35" customHeight="1" x14ac:dyDescent="0.2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35" customHeight="1" x14ac:dyDescent="0.2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35" customHeight="1" x14ac:dyDescent="0.2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35" customHeight="1" x14ac:dyDescent="0.2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35" customHeight="1" x14ac:dyDescent="0.2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35" customHeight="1" x14ac:dyDescent="0.2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35" customHeight="1" x14ac:dyDescent="0.2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35" customHeight="1" x14ac:dyDescent="0.2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35" customHeight="1" x14ac:dyDescent="0.2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35" customHeight="1" x14ac:dyDescent="0.2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35" customHeight="1" x14ac:dyDescent="0.2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35" customHeight="1" x14ac:dyDescent="0.2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35" customHeight="1" x14ac:dyDescent="0.2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35" customHeight="1" x14ac:dyDescent="0.2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35" customHeight="1" x14ac:dyDescent="0.2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35" customHeight="1" x14ac:dyDescent="0.2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35" customHeight="1" x14ac:dyDescent="0.2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35" customHeight="1" x14ac:dyDescent="0.2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35" customHeight="1" x14ac:dyDescent="0.2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35" customHeight="1" x14ac:dyDescent="0.2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35" customHeight="1" x14ac:dyDescent="0.2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35" customHeight="1" x14ac:dyDescent="0.2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35" customHeight="1" x14ac:dyDescent="0.2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35" customHeight="1" x14ac:dyDescent="0.2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35" customHeight="1" x14ac:dyDescent="0.2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35" customHeight="1" x14ac:dyDescent="0.2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35" customHeight="1" x14ac:dyDescent="0.2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35" customHeight="1" x14ac:dyDescent="0.2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35" customHeight="1" x14ac:dyDescent="0.2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35" customHeight="1" x14ac:dyDescent="0.2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35" customHeight="1" x14ac:dyDescent="0.2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35" customHeight="1" x14ac:dyDescent="0.2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35" customHeight="1" x14ac:dyDescent="0.2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35" customHeight="1" x14ac:dyDescent="0.2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35" customHeight="1" x14ac:dyDescent="0.2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35" customHeight="1" x14ac:dyDescent="0.2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35" customHeight="1" x14ac:dyDescent="0.2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35" customHeight="1" x14ac:dyDescent="0.2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35" customHeight="1" x14ac:dyDescent="0.2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35" customHeight="1" x14ac:dyDescent="0.2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35" customHeight="1" x14ac:dyDescent="0.2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35" customHeight="1" x14ac:dyDescent="0.2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35" customHeight="1" x14ac:dyDescent="0.2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35" customHeight="1" x14ac:dyDescent="0.2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35" customHeight="1" x14ac:dyDescent="0.2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35" customHeight="1" x14ac:dyDescent="0.2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35" customHeight="1" x14ac:dyDescent="0.2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35" customHeight="1" x14ac:dyDescent="0.2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35" customHeight="1" x14ac:dyDescent="0.2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35" customHeight="1" x14ac:dyDescent="0.2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35" customHeight="1" x14ac:dyDescent="0.2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35" customHeight="1" x14ac:dyDescent="0.2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35" customHeight="1" x14ac:dyDescent="0.2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35" customHeight="1" x14ac:dyDescent="0.2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35" customHeight="1" x14ac:dyDescent="0.2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35" customHeight="1" x14ac:dyDescent="0.2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35" customHeight="1" x14ac:dyDescent="0.2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35" customHeight="1" x14ac:dyDescent="0.2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35" customHeight="1" x14ac:dyDescent="0.2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35" customHeight="1" x14ac:dyDescent="0.2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35" customHeight="1" x14ac:dyDescent="0.2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35" customHeight="1" x14ac:dyDescent="0.2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35" customHeight="1" x14ac:dyDescent="0.2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35" customHeight="1" x14ac:dyDescent="0.2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35" customHeight="1" x14ac:dyDescent="0.2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35" customHeight="1" x14ac:dyDescent="0.2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35" customHeight="1" x14ac:dyDescent="0.2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35" customHeight="1" x14ac:dyDescent="0.2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35" customHeight="1" x14ac:dyDescent="0.2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35" customHeight="1" x14ac:dyDescent="0.2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35" customHeight="1" x14ac:dyDescent="0.2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35" customHeight="1" x14ac:dyDescent="0.2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35" customHeight="1" x14ac:dyDescent="0.2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35" customHeight="1" x14ac:dyDescent="0.2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35" customHeight="1" x14ac:dyDescent="0.2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35" customHeight="1" x14ac:dyDescent="0.2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35" customHeight="1" x14ac:dyDescent="0.2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35" customHeight="1" x14ac:dyDescent="0.2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35" customHeight="1" x14ac:dyDescent="0.2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35" customHeight="1" x14ac:dyDescent="0.2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35" customHeight="1" x14ac:dyDescent="0.2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35" customHeight="1" x14ac:dyDescent="0.2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35" customHeight="1" x14ac:dyDescent="0.2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35" customHeight="1" x14ac:dyDescent="0.2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35" customHeight="1" x14ac:dyDescent="0.2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35" customHeight="1" x14ac:dyDescent="0.2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35" customHeight="1" x14ac:dyDescent="0.2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35" customHeight="1" x14ac:dyDescent="0.2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35" customHeight="1" x14ac:dyDescent="0.2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35" customHeight="1" x14ac:dyDescent="0.2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35" customHeight="1" x14ac:dyDescent="0.2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35" customHeight="1" x14ac:dyDescent="0.2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35" customHeight="1" x14ac:dyDescent="0.2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35" customHeight="1" x14ac:dyDescent="0.2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35" customHeight="1" x14ac:dyDescent="0.2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35" customHeight="1" x14ac:dyDescent="0.2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35" customHeight="1" x14ac:dyDescent="0.2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35" customHeight="1" x14ac:dyDescent="0.2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35" customHeight="1" x14ac:dyDescent="0.2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35" customHeight="1" x14ac:dyDescent="0.2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35" customHeight="1" x14ac:dyDescent="0.2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35" customHeight="1" x14ac:dyDescent="0.2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35" customHeight="1" x14ac:dyDescent="0.2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35" customHeight="1" x14ac:dyDescent="0.2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35" customHeight="1" x14ac:dyDescent="0.2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35" customHeight="1" x14ac:dyDescent="0.2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35" customHeight="1" x14ac:dyDescent="0.2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35" customHeight="1" x14ac:dyDescent="0.2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35" customHeight="1" x14ac:dyDescent="0.2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35" customHeight="1" x14ac:dyDescent="0.2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35" customHeight="1" x14ac:dyDescent="0.2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35" customHeight="1" x14ac:dyDescent="0.2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35" customHeight="1" x14ac:dyDescent="0.2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35" customHeight="1" x14ac:dyDescent="0.2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35" customHeight="1" x14ac:dyDescent="0.2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35" customHeight="1" x14ac:dyDescent="0.2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35" customHeight="1" x14ac:dyDescent="0.2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35" customHeight="1" x14ac:dyDescent="0.2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35" customHeight="1" x14ac:dyDescent="0.2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35" customHeight="1" x14ac:dyDescent="0.2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35" customHeight="1" x14ac:dyDescent="0.2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35" customHeight="1" x14ac:dyDescent="0.2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35" customHeight="1" x14ac:dyDescent="0.2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35" customHeight="1" x14ac:dyDescent="0.2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35" customHeight="1" x14ac:dyDescent="0.2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35" customHeight="1" x14ac:dyDescent="0.2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35" customHeight="1" x14ac:dyDescent="0.2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35" customHeight="1" x14ac:dyDescent="0.2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35" customHeight="1" x14ac:dyDescent="0.2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35" customHeight="1" x14ac:dyDescent="0.2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35" customHeight="1" x14ac:dyDescent="0.2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35" customHeight="1" x14ac:dyDescent="0.2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35" customHeight="1" x14ac:dyDescent="0.2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35" customHeight="1" x14ac:dyDescent="0.2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35" customHeight="1" x14ac:dyDescent="0.2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35" customHeight="1" x14ac:dyDescent="0.2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35" customHeight="1" x14ac:dyDescent="0.2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35" customHeight="1" x14ac:dyDescent="0.2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35" customHeight="1" x14ac:dyDescent="0.2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35" customHeight="1" x14ac:dyDescent="0.2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35" customHeight="1" x14ac:dyDescent="0.2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35" customHeight="1" x14ac:dyDescent="0.2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35" customHeight="1" x14ac:dyDescent="0.2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35" customHeight="1" x14ac:dyDescent="0.2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35" customHeight="1" x14ac:dyDescent="0.2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35" customHeight="1" x14ac:dyDescent="0.2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35" customHeight="1" x14ac:dyDescent="0.2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35" customHeight="1" x14ac:dyDescent="0.2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35" customHeight="1" x14ac:dyDescent="0.2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35" customHeight="1" x14ac:dyDescent="0.2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35" customHeight="1" x14ac:dyDescent="0.2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35" customHeight="1" x14ac:dyDescent="0.2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35" customHeight="1" x14ac:dyDescent="0.2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35" customHeight="1" x14ac:dyDescent="0.2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35" customHeight="1" x14ac:dyDescent="0.2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35" customHeight="1" x14ac:dyDescent="0.2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35" customHeight="1" x14ac:dyDescent="0.2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35" customHeight="1" x14ac:dyDescent="0.2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35" customHeight="1" x14ac:dyDescent="0.2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35" customHeight="1" x14ac:dyDescent="0.2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35" customHeight="1" x14ac:dyDescent="0.2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35" customHeight="1" x14ac:dyDescent="0.2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35" customHeight="1" x14ac:dyDescent="0.2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35" customHeight="1" x14ac:dyDescent="0.2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35" customHeight="1" x14ac:dyDescent="0.2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35" customHeight="1" x14ac:dyDescent="0.2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35" customHeight="1" x14ac:dyDescent="0.2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35" customHeight="1" x14ac:dyDescent="0.2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35" customHeight="1" x14ac:dyDescent="0.2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35" customHeight="1" x14ac:dyDescent="0.2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35" customHeight="1" x14ac:dyDescent="0.2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35" customHeight="1" x14ac:dyDescent="0.2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35" customHeight="1" x14ac:dyDescent="0.2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35" customHeight="1" x14ac:dyDescent="0.2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35" customHeight="1" x14ac:dyDescent="0.2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35" customHeight="1" x14ac:dyDescent="0.2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35" customHeight="1" x14ac:dyDescent="0.2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35" customHeight="1" x14ac:dyDescent="0.2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35" customHeight="1" x14ac:dyDescent="0.2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35" customHeight="1" x14ac:dyDescent="0.2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35" customHeight="1" x14ac:dyDescent="0.2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35" customHeight="1" x14ac:dyDescent="0.2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35" customHeight="1" x14ac:dyDescent="0.2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35" customHeight="1" x14ac:dyDescent="0.2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35" customHeight="1" x14ac:dyDescent="0.2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35" customHeight="1" x14ac:dyDescent="0.2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35" customHeight="1" x14ac:dyDescent="0.2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35" customHeight="1" x14ac:dyDescent="0.2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35" customHeight="1" x14ac:dyDescent="0.2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35" customHeight="1" x14ac:dyDescent="0.2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35" customHeight="1" x14ac:dyDescent="0.2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35" customHeight="1" x14ac:dyDescent="0.2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35" customHeight="1" x14ac:dyDescent="0.2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35" customHeight="1" x14ac:dyDescent="0.2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35" customHeight="1" x14ac:dyDescent="0.2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35" customHeight="1" x14ac:dyDescent="0.2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35" customHeight="1" x14ac:dyDescent="0.2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35" customHeight="1" x14ac:dyDescent="0.2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35" customHeight="1" x14ac:dyDescent="0.2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35" customHeight="1" x14ac:dyDescent="0.2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35" customHeight="1" x14ac:dyDescent="0.2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35" customHeight="1" x14ac:dyDescent="0.2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35" customHeight="1" x14ac:dyDescent="0.2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35" customHeight="1" x14ac:dyDescent="0.2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35" customHeight="1" x14ac:dyDescent="0.2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35" customHeight="1" x14ac:dyDescent="0.2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35" customHeight="1" x14ac:dyDescent="0.2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35" customHeight="1" x14ac:dyDescent="0.2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35" customHeight="1" x14ac:dyDescent="0.2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35" customHeight="1" x14ac:dyDescent="0.2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35" customHeight="1" x14ac:dyDescent="0.2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35" customHeight="1" x14ac:dyDescent="0.2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35" customHeight="1" x14ac:dyDescent="0.2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35" customHeight="1" x14ac:dyDescent="0.2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35" customHeight="1" x14ac:dyDescent="0.2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35" customHeight="1" x14ac:dyDescent="0.2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35" customHeight="1" x14ac:dyDescent="0.2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35" customHeight="1" x14ac:dyDescent="0.2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35" customHeight="1" x14ac:dyDescent="0.2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35" customHeight="1" x14ac:dyDescent="0.2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35" customHeight="1" x14ac:dyDescent="0.2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35" customHeight="1" x14ac:dyDescent="0.2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35" customHeight="1" x14ac:dyDescent="0.2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35" customHeight="1" x14ac:dyDescent="0.2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35" customHeight="1" x14ac:dyDescent="0.2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35" customHeight="1" x14ac:dyDescent="0.2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35" customHeight="1" x14ac:dyDescent="0.2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35" customHeight="1" x14ac:dyDescent="0.2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35" customHeight="1" x14ac:dyDescent="0.2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35" customHeight="1" x14ac:dyDescent="0.2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35" customHeight="1" x14ac:dyDescent="0.2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35" customHeight="1" x14ac:dyDescent="0.2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35" customHeight="1" x14ac:dyDescent="0.2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35" customHeight="1" x14ac:dyDescent="0.2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35" customHeight="1" x14ac:dyDescent="0.2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35" customHeight="1" x14ac:dyDescent="0.2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35" customHeight="1" x14ac:dyDescent="0.2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35" customHeight="1" x14ac:dyDescent="0.2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35" customHeight="1" x14ac:dyDescent="0.2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35" customHeight="1" x14ac:dyDescent="0.2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35" customHeight="1" x14ac:dyDescent="0.2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35" customHeight="1" x14ac:dyDescent="0.2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35" customHeight="1" x14ac:dyDescent="0.2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35" customHeight="1" x14ac:dyDescent="0.2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35" customHeight="1" x14ac:dyDescent="0.2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35" customHeight="1" x14ac:dyDescent="0.2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35" customHeight="1" x14ac:dyDescent="0.2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35" customHeight="1" x14ac:dyDescent="0.2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35" customHeight="1" x14ac:dyDescent="0.2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35" customHeight="1" x14ac:dyDescent="0.2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35" customHeight="1" x14ac:dyDescent="0.2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35" customHeight="1" x14ac:dyDescent="0.2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35" customHeight="1" x14ac:dyDescent="0.2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35" customHeight="1" x14ac:dyDescent="0.2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35" customHeight="1" x14ac:dyDescent="0.2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35" customHeight="1" x14ac:dyDescent="0.2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35" customHeight="1" x14ac:dyDescent="0.2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35" customHeight="1" x14ac:dyDescent="0.2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35" customHeight="1" x14ac:dyDescent="0.2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35" customHeight="1" x14ac:dyDescent="0.2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35" customHeight="1" x14ac:dyDescent="0.2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35" customHeight="1" x14ac:dyDescent="0.2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35" customHeight="1" x14ac:dyDescent="0.2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35" customHeight="1" x14ac:dyDescent="0.2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35" customHeight="1" x14ac:dyDescent="0.2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35" customHeight="1" x14ac:dyDescent="0.2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35" customHeight="1" x14ac:dyDescent="0.2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35" customHeight="1" x14ac:dyDescent="0.2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35" customHeight="1" x14ac:dyDescent="0.2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35" customHeight="1" x14ac:dyDescent="0.2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35" customHeight="1" x14ac:dyDescent="0.2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35" customHeight="1" x14ac:dyDescent="0.2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35" customHeight="1" x14ac:dyDescent="0.2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35" customHeight="1" x14ac:dyDescent="0.2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35" customHeight="1" x14ac:dyDescent="0.2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35" customHeight="1" x14ac:dyDescent="0.2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35" customHeight="1" x14ac:dyDescent="0.2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35" customHeight="1" x14ac:dyDescent="0.2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35" customHeight="1" x14ac:dyDescent="0.2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35" customHeight="1" x14ac:dyDescent="0.2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35" customHeight="1" x14ac:dyDescent="0.2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35" customHeight="1" x14ac:dyDescent="0.2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35" customHeight="1" x14ac:dyDescent="0.2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35" customHeight="1" x14ac:dyDescent="0.2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35" customHeight="1" x14ac:dyDescent="0.2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35" customHeight="1" x14ac:dyDescent="0.2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35" customHeight="1" x14ac:dyDescent="0.2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35" customHeight="1" x14ac:dyDescent="0.2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35" customHeight="1" x14ac:dyDescent="0.2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35" customHeight="1" x14ac:dyDescent="0.2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35" customHeight="1" x14ac:dyDescent="0.2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35" customHeight="1" x14ac:dyDescent="0.2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35" customHeight="1" x14ac:dyDescent="0.2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35" customHeight="1" x14ac:dyDescent="0.2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35" customHeight="1" x14ac:dyDescent="0.2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35" customHeight="1" x14ac:dyDescent="0.2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35" customHeight="1" x14ac:dyDescent="0.2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35" customHeight="1" x14ac:dyDescent="0.2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35" customHeight="1" x14ac:dyDescent="0.2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35" customHeight="1" x14ac:dyDescent="0.2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35" customHeight="1" x14ac:dyDescent="0.2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35" customHeight="1" x14ac:dyDescent="0.2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35" customHeight="1" x14ac:dyDescent="0.2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35" customHeight="1" x14ac:dyDescent="0.2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35" customHeight="1" x14ac:dyDescent="0.2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35" customHeight="1" x14ac:dyDescent="0.2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35" customHeight="1" x14ac:dyDescent="0.2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35" customHeight="1" x14ac:dyDescent="0.2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35" customHeight="1" x14ac:dyDescent="0.2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35" customHeight="1" x14ac:dyDescent="0.2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35" customHeight="1" x14ac:dyDescent="0.2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35" customHeight="1" x14ac:dyDescent="0.2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35" customHeight="1" x14ac:dyDescent="0.2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35" customHeight="1" x14ac:dyDescent="0.2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35" customHeight="1" x14ac:dyDescent="0.2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35" customHeight="1" x14ac:dyDescent="0.2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35" customHeight="1" x14ac:dyDescent="0.2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35" customHeight="1" x14ac:dyDescent="0.2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35" customHeight="1" x14ac:dyDescent="0.2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35" customHeight="1" x14ac:dyDescent="0.2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35" customHeight="1" x14ac:dyDescent="0.2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35" customHeight="1" x14ac:dyDescent="0.2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35" customHeight="1" x14ac:dyDescent="0.2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35" customHeight="1" x14ac:dyDescent="0.2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35" customHeight="1" x14ac:dyDescent="0.2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35" customHeight="1" x14ac:dyDescent="0.2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35" customHeight="1" x14ac:dyDescent="0.2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35" customHeight="1" x14ac:dyDescent="0.2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35" customHeight="1" x14ac:dyDescent="0.2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35" customHeight="1" x14ac:dyDescent="0.2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35" customHeight="1" x14ac:dyDescent="0.2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35" customHeight="1" x14ac:dyDescent="0.2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35" customHeight="1" x14ac:dyDescent="0.2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35" customHeight="1" x14ac:dyDescent="0.2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35" customHeight="1" x14ac:dyDescent="0.2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35" customHeight="1" x14ac:dyDescent="0.2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35" customHeight="1" x14ac:dyDescent="0.2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35" customHeight="1" x14ac:dyDescent="0.2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35" customHeight="1" x14ac:dyDescent="0.2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35" customHeight="1" x14ac:dyDescent="0.2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35" customHeight="1" x14ac:dyDescent="0.2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35" customHeight="1" x14ac:dyDescent="0.2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35" customHeight="1" x14ac:dyDescent="0.2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35" customHeight="1" x14ac:dyDescent="0.2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35" customHeight="1" x14ac:dyDescent="0.2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35" customHeight="1" x14ac:dyDescent="0.2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35" customHeight="1" x14ac:dyDescent="0.2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35" customHeight="1" x14ac:dyDescent="0.2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35" customHeight="1" x14ac:dyDescent="0.2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35" customHeight="1" x14ac:dyDescent="0.2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35" customHeight="1" x14ac:dyDescent="0.2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35" customHeight="1" x14ac:dyDescent="0.2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35" customHeight="1" x14ac:dyDescent="0.2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35" customHeight="1" x14ac:dyDescent="0.2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35" customHeight="1" x14ac:dyDescent="0.2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35" customHeight="1" x14ac:dyDescent="0.2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35" customHeight="1" x14ac:dyDescent="0.2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35" customHeight="1" x14ac:dyDescent="0.2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35" customHeight="1" x14ac:dyDescent="0.2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35" customHeight="1" x14ac:dyDescent="0.2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35" customHeight="1" x14ac:dyDescent="0.2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35" customHeight="1" x14ac:dyDescent="0.2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35" customHeight="1" x14ac:dyDescent="0.2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35" customHeight="1" x14ac:dyDescent="0.2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35" customHeight="1" x14ac:dyDescent="0.2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35" customHeight="1" x14ac:dyDescent="0.2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35" customHeight="1" x14ac:dyDescent="0.2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35" customHeight="1" x14ac:dyDescent="0.2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35" customHeight="1" x14ac:dyDescent="0.2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35" customHeight="1" x14ac:dyDescent="0.2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35" customHeight="1" x14ac:dyDescent="0.2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35" customHeight="1" x14ac:dyDescent="0.2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35" customHeight="1" x14ac:dyDescent="0.2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35" customHeight="1" x14ac:dyDescent="0.2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35" customHeight="1" x14ac:dyDescent="0.2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35" customHeight="1" x14ac:dyDescent="0.2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35" customHeight="1" x14ac:dyDescent="0.2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35" customHeight="1" x14ac:dyDescent="0.2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35" customHeight="1" x14ac:dyDescent="0.2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35" customHeight="1" x14ac:dyDescent="0.2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35" customHeight="1" x14ac:dyDescent="0.2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35" customHeight="1" x14ac:dyDescent="0.2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35" customHeight="1" x14ac:dyDescent="0.2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35" customHeight="1" x14ac:dyDescent="0.2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35" customHeight="1" x14ac:dyDescent="0.2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35" customHeight="1" x14ac:dyDescent="0.2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35" customHeight="1" x14ac:dyDescent="0.2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35" customHeight="1" x14ac:dyDescent="0.2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35" customHeight="1" x14ac:dyDescent="0.2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35" customHeight="1" x14ac:dyDescent="0.2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35" customHeight="1" x14ac:dyDescent="0.2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35" customHeight="1" x14ac:dyDescent="0.2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35" customHeight="1" x14ac:dyDescent="0.2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35" customHeight="1" x14ac:dyDescent="0.2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35" customHeight="1" x14ac:dyDescent="0.2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35" customHeight="1" x14ac:dyDescent="0.2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35" customHeight="1" x14ac:dyDescent="0.2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35" customHeight="1" x14ac:dyDescent="0.2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35" customHeight="1" x14ac:dyDescent="0.2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35" customHeight="1" x14ac:dyDescent="0.2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35" customHeight="1" x14ac:dyDescent="0.2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35" customHeight="1" x14ac:dyDescent="0.2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35" customHeight="1" x14ac:dyDescent="0.2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35" customHeight="1" x14ac:dyDescent="0.2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35" customHeight="1" x14ac:dyDescent="0.2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35" customHeight="1" x14ac:dyDescent="0.2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35" customHeight="1" x14ac:dyDescent="0.2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35" customHeight="1" x14ac:dyDescent="0.2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35" customHeight="1" x14ac:dyDescent="0.2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35" customHeight="1" x14ac:dyDescent="0.2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35" customHeight="1" x14ac:dyDescent="0.2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35" customHeight="1" x14ac:dyDescent="0.2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35" customHeight="1" x14ac:dyDescent="0.2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35" customHeight="1" x14ac:dyDescent="0.2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35" customHeight="1" x14ac:dyDescent="0.2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35" customHeight="1" x14ac:dyDescent="0.2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35" customHeight="1" x14ac:dyDescent="0.2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35" customHeight="1" x14ac:dyDescent="0.2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35" customHeight="1" x14ac:dyDescent="0.2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35" customHeight="1" x14ac:dyDescent="0.2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35" customHeight="1" x14ac:dyDescent="0.2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35" customHeight="1" x14ac:dyDescent="0.2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35" customHeight="1" x14ac:dyDescent="0.2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35" customHeight="1" x14ac:dyDescent="0.2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35" customHeight="1" x14ac:dyDescent="0.2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35" customHeight="1" x14ac:dyDescent="0.2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35" customHeight="1" x14ac:dyDescent="0.2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35" customHeight="1" x14ac:dyDescent="0.2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35" customHeight="1" x14ac:dyDescent="0.2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35" customHeight="1" x14ac:dyDescent="0.2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35" customHeight="1" x14ac:dyDescent="0.2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35" customHeight="1" x14ac:dyDescent="0.2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35" customHeight="1" x14ac:dyDescent="0.2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35" customHeight="1" x14ac:dyDescent="0.2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35" customHeight="1" x14ac:dyDescent="0.2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35" customHeight="1" x14ac:dyDescent="0.2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35" customHeight="1" x14ac:dyDescent="0.2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35" customHeight="1" x14ac:dyDescent="0.2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35" customHeight="1" x14ac:dyDescent="0.2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35" customHeight="1" x14ac:dyDescent="0.2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35" customHeight="1" x14ac:dyDescent="0.2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35" customHeight="1" x14ac:dyDescent="0.2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35" customHeight="1" x14ac:dyDescent="0.2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35" customHeight="1" x14ac:dyDescent="0.2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35" customHeight="1" x14ac:dyDescent="0.2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35" customHeight="1" x14ac:dyDescent="0.2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35" customHeight="1" x14ac:dyDescent="0.2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35" customHeight="1" x14ac:dyDescent="0.2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35" customHeight="1" x14ac:dyDescent="0.2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35" customHeight="1" x14ac:dyDescent="0.2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35" customHeight="1" x14ac:dyDescent="0.2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35" customHeight="1" x14ac:dyDescent="0.2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35" customHeight="1" x14ac:dyDescent="0.2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35" customHeight="1" x14ac:dyDescent="0.2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35" customHeight="1" x14ac:dyDescent="0.2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35" customHeight="1" x14ac:dyDescent="0.2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35" customHeight="1" x14ac:dyDescent="0.2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35" customHeight="1" x14ac:dyDescent="0.2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35" customHeight="1" x14ac:dyDescent="0.2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35" customHeight="1" x14ac:dyDescent="0.2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35" customHeight="1" x14ac:dyDescent="0.2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35" customHeight="1" x14ac:dyDescent="0.2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35" customHeight="1" x14ac:dyDescent="0.2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35" customHeight="1" x14ac:dyDescent="0.2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35" customHeight="1" x14ac:dyDescent="0.2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35" customHeight="1" x14ac:dyDescent="0.2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35" customHeight="1" x14ac:dyDescent="0.2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35" customHeight="1" x14ac:dyDescent="0.2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35" customHeight="1" x14ac:dyDescent="0.2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35" customHeight="1" x14ac:dyDescent="0.2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35" customHeight="1" x14ac:dyDescent="0.2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35" customHeight="1" x14ac:dyDescent="0.2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35" customHeight="1" x14ac:dyDescent="0.2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35" customHeight="1" x14ac:dyDescent="0.2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35" customHeight="1" x14ac:dyDescent="0.2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35" customHeight="1" x14ac:dyDescent="0.2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35" customHeight="1" x14ac:dyDescent="0.2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35" customHeight="1" x14ac:dyDescent="0.2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35" customHeight="1" x14ac:dyDescent="0.2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35" customHeight="1" x14ac:dyDescent="0.2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35" customHeight="1" x14ac:dyDescent="0.2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35" customHeight="1" x14ac:dyDescent="0.2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35" customHeight="1" x14ac:dyDescent="0.2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35" customHeight="1" x14ac:dyDescent="0.2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35" customHeight="1" x14ac:dyDescent="0.2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35" customHeight="1" x14ac:dyDescent="0.2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35" customHeight="1" x14ac:dyDescent="0.2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35" customHeight="1" x14ac:dyDescent="0.2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35" customHeight="1" x14ac:dyDescent="0.2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35" customHeight="1" x14ac:dyDescent="0.2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35" customHeight="1" x14ac:dyDescent="0.2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35" customHeight="1" x14ac:dyDescent="0.2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35" customHeight="1" x14ac:dyDescent="0.2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35" customHeight="1" x14ac:dyDescent="0.2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35" customHeight="1" x14ac:dyDescent="0.2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35" customHeight="1" x14ac:dyDescent="0.2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35" customHeight="1" x14ac:dyDescent="0.2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35" customHeight="1" x14ac:dyDescent="0.2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35" customHeight="1" x14ac:dyDescent="0.2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35" customHeight="1" x14ac:dyDescent="0.2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35" customHeight="1" x14ac:dyDescent="0.2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35" customHeight="1" x14ac:dyDescent="0.2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35" customHeight="1" x14ac:dyDescent="0.2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35" customHeight="1" x14ac:dyDescent="0.2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35" customHeight="1" x14ac:dyDescent="0.2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35" customHeight="1" x14ac:dyDescent="0.2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35" customHeight="1" x14ac:dyDescent="0.2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35" customHeight="1" x14ac:dyDescent="0.2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35" customHeight="1" x14ac:dyDescent="0.2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35" customHeight="1" x14ac:dyDescent="0.2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35" customHeight="1" x14ac:dyDescent="0.2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35" customHeight="1" x14ac:dyDescent="0.2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35" customHeight="1" x14ac:dyDescent="0.2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35" customHeight="1" x14ac:dyDescent="0.2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35" customHeight="1" x14ac:dyDescent="0.2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35" customHeight="1" x14ac:dyDescent="0.2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35" customHeight="1" x14ac:dyDescent="0.2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35" customHeight="1" x14ac:dyDescent="0.2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35" customHeight="1" x14ac:dyDescent="0.2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35" customHeight="1" x14ac:dyDescent="0.2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35" customHeight="1" x14ac:dyDescent="0.2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35" customHeight="1" x14ac:dyDescent="0.2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35" customHeight="1" x14ac:dyDescent="0.2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35" customHeight="1" x14ac:dyDescent="0.2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35" customHeight="1" x14ac:dyDescent="0.2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35" customHeight="1" x14ac:dyDescent="0.2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35" customHeight="1" x14ac:dyDescent="0.2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35" customHeight="1" x14ac:dyDescent="0.2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35" customHeight="1" x14ac:dyDescent="0.2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35" customHeight="1" x14ac:dyDescent="0.2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35" customHeight="1" x14ac:dyDescent="0.2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35" customHeight="1" x14ac:dyDescent="0.2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35" customHeight="1" x14ac:dyDescent="0.2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35" customHeight="1" x14ac:dyDescent="0.2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35" customHeight="1" x14ac:dyDescent="0.2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35" customHeight="1" x14ac:dyDescent="0.2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35" customHeight="1" x14ac:dyDescent="0.2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35" customHeight="1" x14ac:dyDescent="0.2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35" customHeight="1" x14ac:dyDescent="0.2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35" customHeight="1" x14ac:dyDescent="0.2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35" customHeight="1" x14ac:dyDescent="0.2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35" customHeight="1" x14ac:dyDescent="0.2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35" customHeight="1" x14ac:dyDescent="0.2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35" customHeight="1" x14ac:dyDescent="0.2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35" customHeight="1" x14ac:dyDescent="0.2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35" customHeight="1" x14ac:dyDescent="0.2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35" customHeight="1" x14ac:dyDescent="0.2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35" customHeight="1" x14ac:dyDescent="0.2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35" customHeight="1" x14ac:dyDescent="0.2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35" customHeight="1" x14ac:dyDescent="0.2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35" customHeight="1" x14ac:dyDescent="0.2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35" customHeight="1" x14ac:dyDescent="0.2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35" customHeight="1" x14ac:dyDescent="0.2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35" customHeight="1" x14ac:dyDescent="0.2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35" customHeight="1" x14ac:dyDescent="0.2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35" customHeight="1" x14ac:dyDescent="0.2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35" customHeight="1" x14ac:dyDescent="0.2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35" customHeight="1" x14ac:dyDescent="0.2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35" customHeight="1" x14ac:dyDescent="0.2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35" customHeight="1" x14ac:dyDescent="0.2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35" customHeight="1" x14ac:dyDescent="0.2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35" customHeight="1" x14ac:dyDescent="0.2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35" customHeight="1" x14ac:dyDescent="0.2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35" customHeight="1" x14ac:dyDescent="0.2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35" customHeight="1" x14ac:dyDescent="0.2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35" customHeight="1" x14ac:dyDescent="0.2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35" customHeight="1" x14ac:dyDescent="0.2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35" customHeight="1" x14ac:dyDescent="0.2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35" customHeight="1" x14ac:dyDescent="0.2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35" customHeight="1" x14ac:dyDescent="0.2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35" customHeight="1" x14ac:dyDescent="0.2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35" customHeight="1" x14ac:dyDescent="0.2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35" customHeight="1" x14ac:dyDescent="0.2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35" customHeight="1" x14ac:dyDescent="0.2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35" customHeight="1" x14ac:dyDescent="0.2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35" customHeight="1" x14ac:dyDescent="0.2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35" customHeight="1" x14ac:dyDescent="0.2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35" customHeight="1" x14ac:dyDescent="0.2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35" customHeight="1" x14ac:dyDescent="0.2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35" customHeight="1" x14ac:dyDescent="0.2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35" customHeight="1" x14ac:dyDescent="0.2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35" customHeight="1" x14ac:dyDescent="0.2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35" customHeight="1" x14ac:dyDescent="0.2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35" customHeight="1" x14ac:dyDescent="0.2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35" customHeight="1" x14ac:dyDescent="0.2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35" customHeight="1" x14ac:dyDescent="0.2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35" customHeight="1" x14ac:dyDescent="0.2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35" customHeight="1" x14ac:dyDescent="0.2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35" customHeight="1" x14ac:dyDescent="0.2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35" customHeight="1" x14ac:dyDescent="0.2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35" customHeight="1" x14ac:dyDescent="0.2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35" customHeight="1" x14ac:dyDescent="0.2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35" customHeight="1" x14ac:dyDescent="0.2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35" customHeight="1" x14ac:dyDescent="0.2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35" customHeight="1" x14ac:dyDescent="0.2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35" customHeight="1" x14ac:dyDescent="0.2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35" customHeight="1" x14ac:dyDescent="0.2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35" customHeight="1" x14ac:dyDescent="0.2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35" customHeight="1" x14ac:dyDescent="0.2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35" customHeight="1" x14ac:dyDescent="0.2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35" customHeight="1" x14ac:dyDescent="0.2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35" customHeight="1" x14ac:dyDescent="0.2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35" customHeight="1" x14ac:dyDescent="0.2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35" customHeight="1" x14ac:dyDescent="0.2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35" customHeight="1" x14ac:dyDescent="0.2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35" customHeight="1" x14ac:dyDescent="0.2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35" customHeight="1" x14ac:dyDescent="0.2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35" customHeight="1" x14ac:dyDescent="0.2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35" customHeight="1" x14ac:dyDescent="0.2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35" customHeight="1" x14ac:dyDescent="0.2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35" customHeight="1" x14ac:dyDescent="0.2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35" customHeight="1" x14ac:dyDescent="0.2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35" customHeight="1" x14ac:dyDescent="0.2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35" customHeight="1" x14ac:dyDescent="0.2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35" customHeight="1" x14ac:dyDescent="0.2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35" customHeight="1" x14ac:dyDescent="0.2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35" customHeight="1" x14ac:dyDescent="0.2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35" customHeight="1" x14ac:dyDescent="0.2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35" customHeight="1" x14ac:dyDescent="0.2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35" customHeight="1" x14ac:dyDescent="0.2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35" customHeight="1" x14ac:dyDescent="0.2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35" customHeight="1" x14ac:dyDescent="0.2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35" customHeight="1" x14ac:dyDescent="0.2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35" customHeight="1" x14ac:dyDescent="0.2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35" customHeight="1" x14ac:dyDescent="0.2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35" customHeight="1" x14ac:dyDescent="0.2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35" customHeight="1" x14ac:dyDescent="0.2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35" customHeight="1" x14ac:dyDescent="0.2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35" customHeight="1" x14ac:dyDescent="0.2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35" customHeight="1" x14ac:dyDescent="0.2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35" customHeight="1" x14ac:dyDescent="0.2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35" customHeight="1" x14ac:dyDescent="0.2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35" customHeight="1" x14ac:dyDescent="0.2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35" customHeight="1" x14ac:dyDescent="0.2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35" customHeight="1" x14ac:dyDescent="0.2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35" customHeight="1" x14ac:dyDescent="0.2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35" customHeight="1" x14ac:dyDescent="0.2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35" customHeight="1" x14ac:dyDescent="0.2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35" customHeight="1" x14ac:dyDescent="0.2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35" customHeight="1" x14ac:dyDescent="0.2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35" customHeight="1" x14ac:dyDescent="0.2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35" customHeight="1" x14ac:dyDescent="0.2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35" customHeight="1" x14ac:dyDescent="0.2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35" customHeight="1" x14ac:dyDescent="0.2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35" customHeight="1" x14ac:dyDescent="0.2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35" customHeight="1" x14ac:dyDescent="0.2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35" customHeight="1" x14ac:dyDescent="0.2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35" customHeight="1" x14ac:dyDescent="0.2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35" customHeight="1" x14ac:dyDescent="0.2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35" customHeight="1" x14ac:dyDescent="0.2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35" customHeight="1" x14ac:dyDescent="0.2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35" customHeight="1" x14ac:dyDescent="0.2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35" customHeight="1" x14ac:dyDescent="0.2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35" customHeight="1" x14ac:dyDescent="0.2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35" customHeight="1" x14ac:dyDescent="0.2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35" customHeight="1" x14ac:dyDescent="0.2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35" customHeight="1" x14ac:dyDescent="0.2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35" customHeight="1" x14ac:dyDescent="0.2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35" customHeight="1" x14ac:dyDescent="0.2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35" customHeight="1" x14ac:dyDescent="0.2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35" customHeight="1" x14ac:dyDescent="0.2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35" customHeight="1" x14ac:dyDescent="0.2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35" customHeight="1" x14ac:dyDescent="0.2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35" customHeight="1" x14ac:dyDescent="0.2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35" customHeight="1" x14ac:dyDescent="0.2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35" customHeight="1" x14ac:dyDescent="0.2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35" customHeight="1" x14ac:dyDescent="0.2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35" customHeight="1" x14ac:dyDescent="0.2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35" customHeight="1" x14ac:dyDescent="0.2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35" customHeight="1" x14ac:dyDescent="0.2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35" customHeight="1" x14ac:dyDescent="0.2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35" customHeight="1" x14ac:dyDescent="0.2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35" customHeight="1" x14ac:dyDescent="0.2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35" customHeight="1" x14ac:dyDescent="0.2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35" customHeight="1" x14ac:dyDescent="0.2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35" customHeight="1" x14ac:dyDescent="0.2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35" customHeight="1" x14ac:dyDescent="0.2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35" customHeight="1" x14ac:dyDescent="0.2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35" customHeight="1" x14ac:dyDescent="0.2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35" customHeight="1" x14ac:dyDescent="0.2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35" customHeight="1" x14ac:dyDescent="0.2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35" customHeight="1" x14ac:dyDescent="0.2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35" customHeight="1" x14ac:dyDescent="0.2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35" customHeight="1" x14ac:dyDescent="0.2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35" customHeight="1" x14ac:dyDescent="0.2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35" customHeight="1" x14ac:dyDescent="0.2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35" customHeight="1" x14ac:dyDescent="0.2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35" customHeight="1" x14ac:dyDescent="0.2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35" customHeight="1" x14ac:dyDescent="0.2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35" customHeight="1" x14ac:dyDescent="0.2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35" customHeight="1" x14ac:dyDescent="0.2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35" customHeight="1" x14ac:dyDescent="0.2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35" customHeight="1" x14ac:dyDescent="0.2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35" customHeight="1" x14ac:dyDescent="0.2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35" customHeight="1" x14ac:dyDescent="0.2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35" customHeight="1" x14ac:dyDescent="0.2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35" customHeight="1" x14ac:dyDescent="0.2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35" customHeight="1" x14ac:dyDescent="0.2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35" customHeight="1" x14ac:dyDescent="0.2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35" customHeight="1" x14ac:dyDescent="0.2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35" customHeight="1" x14ac:dyDescent="0.2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35" customHeight="1" x14ac:dyDescent="0.2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35" customHeight="1" x14ac:dyDescent="0.2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35" customHeight="1" x14ac:dyDescent="0.2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35" customHeight="1" x14ac:dyDescent="0.2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35" customHeight="1" x14ac:dyDescent="0.2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35" customHeight="1" x14ac:dyDescent="0.2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35" customHeight="1" x14ac:dyDescent="0.2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35" customHeight="1" x14ac:dyDescent="0.2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35" customHeight="1" x14ac:dyDescent="0.2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35" customHeight="1" x14ac:dyDescent="0.2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35" customHeight="1" x14ac:dyDescent="0.2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35" customHeight="1" x14ac:dyDescent="0.2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35" customHeight="1" x14ac:dyDescent="0.2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35" customHeight="1" x14ac:dyDescent="0.2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35" customHeight="1" x14ac:dyDescent="0.2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35" customHeight="1" x14ac:dyDescent="0.2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35" customHeight="1" x14ac:dyDescent="0.2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35" customHeight="1" x14ac:dyDescent="0.2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35" customHeight="1" x14ac:dyDescent="0.2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35" customHeight="1" x14ac:dyDescent="0.2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35" customHeight="1" x14ac:dyDescent="0.2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35" customHeight="1" x14ac:dyDescent="0.2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35" customHeight="1" x14ac:dyDescent="0.2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35" customHeight="1" x14ac:dyDescent="0.2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35" customHeight="1" x14ac:dyDescent="0.2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35" customHeight="1" x14ac:dyDescent="0.2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35" customHeight="1" x14ac:dyDescent="0.2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35" customHeight="1" x14ac:dyDescent="0.2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35" customHeight="1" x14ac:dyDescent="0.2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35" customHeight="1" x14ac:dyDescent="0.2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35" customHeight="1" x14ac:dyDescent="0.2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35" customHeight="1" x14ac:dyDescent="0.2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35" customHeight="1" x14ac:dyDescent="0.2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35" customHeight="1" x14ac:dyDescent="0.2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35" customHeight="1" x14ac:dyDescent="0.2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35" customHeight="1" x14ac:dyDescent="0.2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35" customHeight="1" x14ac:dyDescent="0.2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35" customHeight="1" x14ac:dyDescent="0.2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35" customHeight="1" x14ac:dyDescent="0.2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35" customHeight="1" x14ac:dyDescent="0.2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35" customHeight="1" x14ac:dyDescent="0.2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35" customHeight="1" x14ac:dyDescent="0.2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35" customHeight="1" x14ac:dyDescent="0.2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35" customHeight="1" x14ac:dyDescent="0.2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35" customHeight="1" x14ac:dyDescent="0.2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35" customHeight="1" x14ac:dyDescent="0.2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35" customHeight="1" x14ac:dyDescent="0.2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35" customHeight="1" x14ac:dyDescent="0.2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35" customHeight="1" x14ac:dyDescent="0.2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35" customHeight="1" x14ac:dyDescent="0.2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35" customHeight="1" x14ac:dyDescent="0.2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35" customHeight="1" x14ac:dyDescent="0.2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35" customHeight="1" x14ac:dyDescent="0.2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35" customHeight="1" x14ac:dyDescent="0.2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35" customHeight="1" x14ac:dyDescent="0.2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35" customHeight="1" x14ac:dyDescent="0.2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35" customHeight="1" x14ac:dyDescent="0.2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35" customHeight="1" x14ac:dyDescent="0.2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35" customHeight="1" x14ac:dyDescent="0.2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35" customHeight="1" x14ac:dyDescent="0.2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35" customHeight="1" x14ac:dyDescent="0.2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35" customHeight="1" x14ac:dyDescent="0.2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35" customHeight="1" x14ac:dyDescent="0.2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35" customHeight="1" x14ac:dyDescent="0.2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35" customHeight="1" x14ac:dyDescent="0.2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35" customHeight="1" x14ac:dyDescent="0.2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35" customHeight="1" x14ac:dyDescent="0.2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35" customHeight="1" x14ac:dyDescent="0.2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35" customHeight="1" x14ac:dyDescent="0.2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35" customHeight="1" x14ac:dyDescent="0.2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35" customHeight="1" x14ac:dyDescent="0.2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35" customHeight="1" x14ac:dyDescent="0.2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35" customHeight="1" x14ac:dyDescent="0.2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35" customHeight="1" x14ac:dyDescent="0.2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35" customHeight="1" x14ac:dyDescent="0.2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35" customHeight="1" x14ac:dyDescent="0.2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35" customHeight="1" x14ac:dyDescent="0.2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35" customHeight="1" x14ac:dyDescent="0.2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35" customHeight="1" x14ac:dyDescent="0.2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35" customHeight="1" x14ac:dyDescent="0.2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35" customHeight="1" x14ac:dyDescent="0.2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35" customHeight="1" x14ac:dyDescent="0.2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35" customHeight="1" x14ac:dyDescent="0.2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35" customHeight="1" x14ac:dyDescent="0.2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35" customHeight="1" x14ac:dyDescent="0.2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35" customHeight="1" x14ac:dyDescent="0.2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35" customHeight="1" x14ac:dyDescent="0.2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35" customHeight="1" x14ac:dyDescent="0.2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35" customHeight="1" x14ac:dyDescent="0.2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35" customHeight="1" x14ac:dyDescent="0.2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35" customHeight="1" x14ac:dyDescent="0.2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35" customHeight="1" x14ac:dyDescent="0.2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35" customHeight="1" x14ac:dyDescent="0.2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35" customHeight="1" x14ac:dyDescent="0.2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35" customHeight="1" x14ac:dyDescent="0.2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35" customHeight="1" x14ac:dyDescent="0.2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35" customHeight="1" x14ac:dyDescent="0.2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35" customHeight="1" x14ac:dyDescent="0.2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35" customHeight="1" x14ac:dyDescent="0.2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35" customHeight="1" x14ac:dyDescent="0.2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35" customHeight="1" x14ac:dyDescent="0.2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35" customHeight="1" x14ac:dyDescent="0.2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35" customHeight="1" x14ac:dyDescent="0.2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35" customHeight="1" x14ac:dyDescent="0.2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35" customHeight="1" x14ac:dyDescent="0.2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35" customHeight="1" x14ac:dyDescent="0.2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35" customHeight="1" x14ac:dyDescent="0.2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35" customHeight="1" x14ac:dyDescent="0.2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35" customHeight="1" x14ac:dyDescent="0.2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35" customHeight="1" x14ac:dyDescent="0.2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35" customHeight="1" x14ac:dyDescent="0.2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35" customHeight="1" x14ac:dyDescent="0.2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35" customHeight="1" x14ac:dyDescent="0.2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35" customHeight="1" x14ac:dyDescent="0.2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35" customHeight="1" x14ac:dyDescent="0.2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35" customHeight="1" x14ac:dyDescent="0.2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35" customHeight="1" x14ac:dyDescent="0.2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35" customHeight="1" x14ac:dyDescent="0.2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35" customHeight="1" x14ac:dyDescent="0.2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35" customHeight="1" x14ac:dyDescent="0.2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35" customHeight="1" x14ac:dyDescent="0.2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35" customHeight="1" x14ac:dyDescent="0.2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35" customHeight="1" x14ac:dyDescent="0.2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35" customHeight="1" x14ac:dyDescent="0.2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35" customHeight="1" x14ac:dyDescent="0.2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35" customHeight="1" x14ac:dyDescent="0.2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35" customHeight="1" x14ac:dyDescent="0.2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35" customHeight="1" x14ac:dyDescent="0.2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35" customHeight="1" x14ac:dyDescent="0.2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35" customHeight="1" x14ac:dyDescent="0.2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35" customHeight="1" x14ac:dyDescent="0.2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35" customHeight="1" x14ac:dyDescent="0.2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35" customHeight="1" x14ac:dyDescent="0.2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35" customHeight="1" x14ac:dyDescent="0.2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35" customHeight="1" x14ac:dyDescent="0.2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35" customHeight="1" x14ac:dyDescent="0.2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35" customHeight="1" x14ac:dyDescent="0.2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35" customHeight="1" x14ac:dyDescent="0.2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35" customHeight="1" x14ac:dyDescent="0.2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35" customHeight="1" x14ac:dyDescent="0.2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35" customHeight="1" x14ac:dyDescent="0.2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35" customHeight="1" x14ac:dyDescent="0.2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35" customHeight="1" x14ac:dyDescent="0.2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35" customHeight="1" x14ac:dyDescent="0.2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35" customHeight="1" x14ac:dyDescent="0.2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35" customHeight="1" x14ac:dyDescent="0.2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35" customHeight="1" x14ac:dyDescent="0.2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35" customHeight="1" x14ac:dyDescent="0.2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35" customHeight="1" x14ac:dyDescent="0.2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35" customHeight="1" x14ac:dyDescent="0.2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35" customHeight="1" x14ac:dyDescent="0.2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35" customHeight="1" x14ac:dyDescent="0.2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35" customHeight="1" x14ac:dyDescent="0.2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35" customHeight="1" x14ac:dyDescent="0.2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35" customHeight="1" x14ac:dyDescent="0.2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35" customHeight="1" x14ac:dyDescent="0.2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35" customHeight="1" x14ac:dyDescent="0.2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35" customHeight="1" x14ac:dyDescent="0.2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35" customHeight="1" x14ac:dyDescent="0.2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35" customHeight="1" x14ac:dyDescent="0.2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35" customHeight="1" x14ac:dyDescent="0.2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35" customHeight="1" x14ac:dyDescent="0.2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35" customHeight="1" x14ac:dyDescent="0.2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35" customHeight="1" x14ac:dyDescent="0.2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35" customHeight="1" x14ac:dyDescent="0.2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35" customHeight="1" x14ac:dyDescent="0.2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35" customHeight="1" x14ac:dyDescent="0.2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35" customHeight="1" x14ac:dyDescent="0.2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35" customHeight="1" x14ac:dyDescent="0.2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35" customHeight="1" x14ac:dyDescent="0.2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35" customHeight="1" x14ac:dyDescent="0.2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35" customHeight="1" x14ac:dyDescent="0.2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35" customHeight="1" x14ac:dyDescent="0.2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35" customHeight="1" x14ac:dyDescent="0.2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35" customHeight="1" x14ac:dyDescent="0.2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35" customHeight="1" x14ac:dyDescent="0.2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35" customHeight="1" x14ac:dyDescent="0.2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35" customHeight="1" x14ac:dyDescent="0.2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35" customHeight="1" x14ac:dyDescent="0.2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35" customHeight="1" x14ac:dyDescent="0.2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35" customHeight="1" x14ac:dyDescent="0.2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35" customHeight="1" x14ac:dyDescent="0.2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35" customHeight="1" x14ac:dyDescent="0.2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35" customHeight="1" x14ac:dyDescent="0.2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35" customHeight="1" x14ac:dyDescent="0.2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35" customHeight="1" x14ac:dyDescent="0.2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35" customHeight="1" x14ac:dyDescent="0.2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35" customHeight="1" x14ac:dyDescent="0.2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35" customHeight="1" x14ac:dyDescent="0.2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35" customHeight="1" x14ac:dyDescent="0.2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35" customHeight="1" x14ac:dyDescent="0.2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35" customHeight="1" x14ac:dyDescent="0.2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35" customHeight="1" x14ac:dyDescent="0.2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35" customHeight="1" x14ac:dyDescent="0.2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35" customHeight="1" x14ac:dyDescent="0.2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35" customHeight="1" x14ac:dyDescent="0.2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35" customHeight="1" x14ac:dyDescent="0.2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35" customHeight="1" x14ac:dyDescent="0.2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35" customHeight="1" x14ac:dyDescent="0.2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35" customHeight="1" x14ac:dyDescent="0.2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35" customHeight="1" x14ac:dyDescent="0.2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35" customHeight="1" x14ac:dyDescent="0.2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35" customHeight="1" x14ac:dyDescent="0.2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35" customHeight="1" x14ac:dyDescent="0.2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35" customHeight="1" x14ac:dyDescent="0.2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35" customHeight="1" x14ac:dyDescent="0.2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35" customHeight="1" x14ac:dyDescent="0.2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35" customHeight="1" x14ac:dyDescent="0.2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35" customHeight="1" x14ac:dyDescent="0.2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35" customHeight="1" x14ac:dyDescent="0.2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35" customHeight="1" x14ac:dyDescent="0.2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35" customHeight="1" x14ac:dyDescent="0.2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35" customHeight="1" x14ac:dyDescent="0.2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35" customHeight="1" x14ac:dyDescent="0.2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35" customHeight="1" x14ac:dyDescent="0.2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35" customHeight="1" x14ac:dyDescent="0.2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35" customHeight="1" x14ac:dyDescent="0.2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35" customHeight="1" x14ac:dyDescent="0.2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35" customHeight="1" x14ac:dyDescent="0.2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35" customHeight="1" x14ac:dyDescent="0.2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35" customHeight="1" x14ac:dyDescent="0.2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35" customHeight="1" x14ac:dyDescent="0.2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35" customHeight="1" x14ac:dyDescent="0.2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35" customHeight="1" x14ac:dyDescent="0.2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35" customHeight="1" x14ac:dyDescent="0.2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35" customHeight="1" x14ac:dyDescent="0.2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35" customHeight="1" x14ac:dyDescent="0.2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35" customHeight="1" x14ac:dyDescent="0.2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35" customHeight="1" x14ac:dyDescent="0.2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35" customHeight="1" x14ac:dyDescent="0.2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35" customHeight="1" x14ac:dyDescent="0.2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35" customHeight="1" x14ac:dyDescent="0.2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35" customHeight="1" x14ac:dyDescent="0.2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35" customHeight="1" x14ac:dyDescent="0.2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35" customHeight="1" x14ac:dyDescent="0.2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35" customHeight="1" x14ac:dyDescent="0.2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35" customHeight="1" x14ac:dyDescent="0.2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35" customHeight="1" x14ac:dyDescent="0.2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35" customHeight="1" x14ac:dyDescent="0.2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35" customHeight="1" x14ac:dyDescent="0.2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35" customHeight="1" x14ac:dyDescent="0.2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35" customHeight="1" x14ac:dyDescent="0.2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35" customHeight="1" x14ac:dyDescent="0.2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35" customHeight="1" x14ac:dyDescent="0.2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35" customHeight="1" x14ac:dyDescent="0.2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35" customHeight="1" x14ac:dyDescent="0.2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35" customHeight="1" x14ac:dyDescent="0.2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35" customHeight="1" x14ac:dyDescent="0.2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35" customHeight="1" x14ac:dyDescent="0.2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35" customHeight="1" x14ac:dyDescent="0.2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35" customHeight="1" x14ac:dyDescent="0.2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35" customHeight="1" x14ac:dyDescent="0.2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35" customHeight="1" x14ac:dyDescent="0.2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35" customHeight="1" x14ac:dyDescent="0.2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35" customHeight="1" x14ac:dyDescent="0.2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35" customHeight="1" x14ac:dyDescent="0.2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35" customHeight="1" x14ac:dyDescent="0.2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35" customHeight="1" x14ac:dyDescent="0.2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35" customHeight="1" x14ac:dyDescent="0.2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35" customHeight="1" x14ac:dyDescent="0.2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35" customHeight="1" x14ac:dyDescent="0.2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35" customHeight="1" x14ac:dyDescent="0.2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35" customHeight="1" x14ac:dyDescent="0.2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35" customHeight="1" x14ac:dyDescent="0.2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35" customHeight="1" x14ac:dyDescent="0.2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35" customHeight="1" x14ac:dyDescent="0.2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35" customHeight="1" x14ac:dyDescent="0.2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35" customHeight="1" x14ac:dyDescent="0.2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35" customHeight="1" x14ac:dyDescent="0.2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35" customHeight="1" x14ac:dyDescent="0.2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35" customHeight="1" x14ac:dyDescent="0.2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35" customHeight="1" x14ac:dyDescent="0.2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35" customHeight="1" x14ac:dyDescent="0.2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35" customHeight="1" x14ac:dyDescent="0.2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35" customHeight="1" x14ac:dyDescent="0.2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35" customHeight="1" x14ac:dyDescent="0.2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35" customHeight="1" x14ac:dyDescent="0.2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35" customHeight="1" x14ac:dyDescent="0.2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35" customHeight="1" x14ac:dyDescent="0.2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35" customHeight="1" x14ac:dyDescent="0.2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35" customHeight="1" x14ac:dyDescent="0.2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35" customHeight="1" x14ac:dyDescent="0.2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35" customHeight="1" x14ac:dyDescent="0.2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35" customHeight="1" x14ac:dyDescent="0.2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35" customHeight="1" x14ac:dyDescent="0.2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35" customHeight="1" x14ac:dyDescent="0.2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35" customHeight="1" x14ac:dyDescent="0.2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35" customHeight="1" x14ac:dyDescent="0.2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35" customHeight="1" x14ac:dyDescent="0.2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35" customHeight="1" x14ac:dyDescent="0.2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35" customHeight="1" x14ac:dyDescent="0.2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35" customHeight="1" x14ac:dyDescent="0.2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35" customHeight="1" x14ac:dyDescent="0.2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35" customHeight="1" x14ac:dyDescent="0.2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35" customHeight="1" x14ac:dyDescent="0.2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35" customHeight="1" x14ac:dyDescent="0.2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35" customHeight="1" x14ac:dyDescent="0.2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35" customHeight="1" x14ac:dyDescent="0.2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35" customHeight="1" x14ac:dyDescent="0.2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35" customHeight="1" x14ac:dyDescent="0.2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35" customHeight="1" x14ac:dyDescent="0.2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35" customHeight="1" x14ac:dyDescent="0.2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35" customHeight="1" x14ac:dyDescent="0.2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35" customHeight="1" x14ac:dyDescent="0.2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35" customHeight="1" x14ac:dyDescent="0.2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35" customHeight="1" x14ac:dyDescent="0.2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35" customHeight="1" x14ac:dyDescent="0.2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35" customHeight="1" x14ac:dyDescent="0.2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35" customHeight="1" x14ac:dyDescent="0.2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35" customHeight="1" x14ac:dyDescent="0.2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35" customHeight="1" x14ac:dyDescent="0.2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35" customHeight="1" x14ac:dyDescent="0.2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35" customHeight="1" x14ac:dyDescent="0.2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35" customHeight="1" x14ac:dyDescent="0.2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35" customHeight="1" x14ac:dyDescent="0.2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35" customHeight="1" x14ac:dyDescent="0.2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35" customHeight="1" x14ac:dyDescent="0.2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35" customHeight="1" x14ac:dyDescent="0.2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35" customHeight="1" x14ac:dyDescent="0.2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35" customHeight="1" x14ac:dyDescent="0.2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35" customHeight="1" x14ac:dyDescent="0.2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35" customHeight="1" x14ac:dyDescent="0.2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35" customHeight="1" x14ac:dyDescent="0.2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35" customHeight="1" x14ac:dyDescent="0.2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35" customHeight="1" x14ac:dyDescent="0.2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35" customHeight="1" x14ac:dyDescent="0.2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35" customHeight="1" x14ac:dyDescent="0.2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35" customHeight="1" x14ac:dyDescent="0.2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35" customHeight="1" x14ac:dyDescent="0.2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35" customHeight="1" x14ac:dyDescent="0.2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35" customHeight="1" x14ac:dyDescent="0.2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35" customHeight="1" x14ac:dyDescent="0.2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35" customHeight="1" x14ac:dyDescent="0.2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35" customHeight="1" x14ac:dyDescent="0.2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35" customHeight="1" x14ac:dyDescent="0.2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35" customHeight="1" x14ac:dyDescent="0.2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35" customHeight="1" x14ac:dyDescent="0.2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35" customHeight="1" x14ac:dyDescent="0.2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35" customHeight="1" x14ac:dyDescent="0.2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35" customHeight="1" x14ac:dyDescent="0.2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35" customHeight="1" x14ac:dyDescent="0.2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35" customHeight="1" x14ac:dyDescent="0.2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35" customHeight="1" x14ac:dyDescent="0.2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35" customHeight="1" x14ac:dyDescent="0.2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35" customHeight="1" x14ac:dyDescent="0.2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35" customHeight="1" x14ac:dyDescent="0.2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35" customHeight="1" x14ac:dyDescent="0.2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35" customHeight="1" x14ac:dyDescent="0.2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35" customHeight="1" x14ac:dyDescent="0.2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35" customHeight="1" x14ac:dyDescent="0.2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35" customHeight="1" x14ac:dyDescent="0.2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35" customHeight="1" x14ac:dyDescent="0.2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35" customHeight="1" x14ac:dyDescent="0.2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35" customHeight="1" x14ac:dyDescent="0.2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35" customHeight="1" x14ac:dyDescent="0.2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35" customHeight="1" x14ac:dyDescent="0.2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35" customHeight="1" x14ac:dyDescent="0.2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35" customHeight="1" x14ac:dyDescent="0.2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35" customHeight="1" x14ac:dyDescent="0.2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35" customHeight="1" x14ac:dyDescent="0.2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35" customHeight="1" x14ac:dyDescent="0.2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35" customHeight="1" x14ac:dyDescent="0.2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35" customHeight="1" x14ac:dyDescent="0.2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35" customHeight="1" x14ac:dyDescent="0.2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35" customHeight="1" x14ac:dyDescent="0.2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35" customHeight="1" x14ac:dyDescent="0.2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35" customHeight="1" x14ac:dyDescent="0.2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35" customHeight="1" x14ac:dyDescent="0.2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35" customHeight="1" x14ac:dyDescent="0.2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35" customHeight="1" x14ac:dyDescent="0.2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35" customHeight="1" x14ac:dyDescent="0.2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35" customHeight="1" x14ac:dyDescent="0.2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35" customHeight="1" x14ac:dyDescent="0.2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35" customHeight="1" x14ac:dyDescent="0.2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35" customHeight="1" x14ac:dyDescent="0.2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35" customHeight="1" x14ac:dyDescent="0.2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35" customHeight="1" x14ac:dyDescent="0.2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35" customHeight="1" x14ac:dyDescent="0.2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35" customHeight="1" x14ac:dyDescent="0.2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35" customHeight="1" x14ac:dyDescent="0.2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35" customHeight="1" x14ac:dyDescent="0.2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35" customHeight="1" x14ac:dyDescent="0.2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35" customHeight="1" x14ac:dyDescent="0.2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35" customHeight="1" x14ac:dyDescent="0.2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35" customHeight="1" x14ac:dyDescent="0.2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35" customHeight="1" x14ac:dyDescent="0.2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35" customHeight="1" x14ac:dyDescent="0.2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35" customHeight="1" x14ac:dyDescent="0.2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35" customHeight="1" x14ac:dyDescent="0.2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35" customHeight="1" x14ac:dyDescent="0.2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35" customHeight="1" x14ac:dyDescent="0.2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35" customHeight="1" x14ac:dyDescent="0.2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35" customHeight="1" x14ac:dyDescent="0.2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35" customHeight="1" x14ac:dyDescent="0.2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35" customHeight="1" x14ac:dyDescent="0.2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35" customHeight="1" x14ac:dyDescent="0.2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35" customHeight="1" x14ac:dyDescent="0.2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35" customHeight="1" x14ac:dyDescent="0.2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35" customHeight="1" x14ac:dyDescent="0.2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35" customHeight="1" x14ac:dyDescent="0.2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35" customHeight="1" x14ac:dyDescent="0.2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35" customHeight="1" x14ac:dyDescent="0.2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35" customHeight="1" x14ac:dyDescent="0.2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35" customHeight="1" x14ac:dyDescent="0.2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35" customHeight="1" x14ac:dyDescent="0.2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35" customHeight="1" x14ac:dyDescent="0.2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35" customHeight="1" x14ac:dyDescent="0.2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35" customHeight="1" x14ac:dyDescent="0.2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35" customHeight="1" x14ac:dyDescent="0.2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35" customHeight="1" x14ac:dyDescent="0.2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35" customHeight="1" x14ac:dyDescent="0.2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35" customHeight="1" x14ac:dyDescent="0.2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35" customHeight="1" x14ac:dyDescent="0.2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35" customHeight="1" x14ac:dyDescent="0.2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35" customHeight="1" x14ac:dyDescent="0.2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35" customHeight="1" x14ac:dyDescent="0.2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35" customHeight="1" x14ac:dyDescent="0.2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35" customHeight="1" x14ac:dyDescent="0.2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35" customHeight="1" x14ac:dyDescent="0.2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35" customHeight="1" x14ac:dyDescent="0.2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35" customHeight="1" x14ac:dyDescent="0.2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35" customHeight="1" x14ac:dyDescent="0.2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35" customHeight="1" x14ac:dyDescent="0.2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35" customHeight="1" x14ac:dyDescent="0.2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35" customHeight="1" x14ac:dyDescent="0.2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35" customHeight="1" x14ac:dyDescent="0.2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35" customHeight="1" x14ac:dyDescent="0.2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35" customHeight="1" x14ac:dyDescent="0.2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35" customHeight="1" x14ac:dyDescent="0.2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35" customHeight="1" x14ac:dyDescent="0.2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35" customHeight="1" x14ac:dyDescent="0.2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35" customHeight="1" x14ac:dyDescent="0.2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35" customHeight="1" x14ac:dyDescent="0.2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35" customHeight="1" x14ac:dyDescent="0.2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35" customHeight="1" x14ac:dyDescent="0.2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35" customHeight="1" x14ac:dyDescent="0.2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35" customHeight="1" x14ac:dyDescent="0.2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35" customHeight="1" x14ac:dyDescent="0.2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35" customHeight="1" x14ac:dyDescent="0.2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35" customHeight="1" x14ac:dyDescent="0.2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35" customHeight="1" x14ac:dyDescent="0.2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35" customHeight="1" x14ac:dyDescent="0.2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35" customHeight="1" x14ac:dyDescent="0.2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35" customHeight="1" x14ac:dyDescent="0.2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35" customHeight="1" x14ac:dyDescent="0.2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35" customHeight="1" x14ac:dyDescent="0.2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35" customHeight="1" x14ac:dyDescent="0.2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35" customHeight="1" x14ac:dyDescent="0.2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35" customHeight="1" x14ac:dyDescent="0.2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35" customHeight="1" x14ac:dyDescent="0.2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35" customHeight="1" x14ac:dyDescent="0.2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35" customHeight="1" x14ac:dyDescent="0.2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35" customHeight="1" x14ac:dyDescent="0.2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35" customHeight="1" x14ac:dyDescent="0.2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35" customHeight="1" x14ac:dyDescent="0.2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35" customHeight="1" x14ac:dyDescent="0.2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35" customHeight="1" x14ac:dyDescent="0.2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35" customHeight="1" x14ac:dyDescent="0.2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35" customHeight="1" x14ac:dyDescent="0.2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35" customHeight="1" x14ac:dyDescent="0.2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35" customHeight="1" x14ac:dyDescent="0.2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35" customHeight="1" x14ac:dyDescent="0.2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35" customHeight="1" x14ac:dyDescent="0.2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35" customHeight="1" x14ac:dyDescent="0.2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35" customHeight="1" x14ac:dyDescent="0.2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35" customHeight="1" x14ac:dyDescent="0.2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35" customHeight="1" x14ac:dyDescent="0.2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35" customHeight="1" x14ac:dyDescent="0.2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35" customHeight="1" x14ac:dyDescent="0.2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35" customHeight="1" x14ac:dyDescent="0.2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35" customHeight="1" x14ac:dyDescent="0.2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35" customHeight="1" x14ac:dyDescent="0.2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35" customHeight="1" x14ac:dyDescent="0.2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35" customHeight="1" x14ac:dyDescent="0.2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35" customHeight="1" x14ac:dyDescent="0.2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35" customHeight="1" x14ac:dyDescent="0.2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35" customHeight="1" x14ac:dyDescent="0.2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35" customHeight="1" x14ac:dyDescent="0.2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35" customHeight="1" x14ac:dyDescent="0.2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35" customHeight="1" x14ac:dyDescent="0.2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35" customHeight="1" x14ac:dyDescent="0.2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35" customHeight="1" x14ac:dyDescent="0.2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35" customHeight="1" x14ac:dyDescent="0.2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35" customHeight="1" x14ac:dyDescent="0.2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35" customHeight="1" x14ac:dyDescent="0.2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35" customHeight="1" x14ac:dyDescent="0.2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35" customHeight="1" x14ac:dyDescent="0.2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35" customHeight="1" x14ac:dyDescent="0.2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35" customHeight="1" x14ac:dyDescent="0.2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35" customHeight="1" x14ac:dyDescent="0.2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35" customHeight="1" x14ac:dyDescent="0.2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35" customHeight="1" x14ac:dyDescent="0.2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35" customHeight="1" x14ac:dyDescent="0.2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35" customHeight="1" x14ac:dyDescent="0.2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35" customHeight="1" x14ac:dyDescent="0.2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35" customHeight="1" x14ac:dyDescent="0.2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35" customHeight="1" x14ac:dyDescent="0.2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35" customHeight="1" x14ac:dyDescent="0.2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35" customHeight="1" x14ac:dyDescent="0.2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35" customHeight="1" x14ac:dyDescent="0.2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35" customHeight="1" x14ac:dyDescent="0.2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35" customHeight="1" x14ac:dyDescent="0.2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35" customHeight="1" x14ac:dyDescent="0.2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35" customHeight="1" x14ac:dyDescent="0.2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35" customHeight="1" x14ac:dyDescent="0.2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35" customHeight="1" x14ac:dyDescent="0.2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35" customHeight="1" x14ac:dyDescent="0.2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35" customHeight="1" x14ac:dyDescent="0.2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35" customHeight="1" x14ac:dyDescent="0.2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35" customHeight="1" x14ac:dyDescent="0.2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35" customHeight="1" x14ac:dyDescent="0.2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35" customHeight="1" x14ac:dyDescent="0.2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35" customHeight="1" x14ac:dyDescent="0.2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35" customHeight="1" x14ac:dyDescent="0.2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35" customHeight="1" x14ac:dyDescent="0.2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35" customHeight="1" x14ac:dyDescent="0.2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35" customHeight="1" x14ac:dyDescent="0.2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35" customHeight="1" x14ac:dyDescent="0.2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35" customHeight="1" x14ac:dyDescent="0.2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35" customHeight="1" x14ac:dyDescent="0.2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35" customHeight="1" x14ac:dyDescent="0.2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35" customHeight="1" x14ac:dyDescent="0.2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35" customHeight="1" x14ac:dyDescent="0.2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35" customHeight="1" x14ac:dyDescent="0.2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35" customHeight="1" x14ac:dyDescent="0.2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35" customHeight="1" x14ac:dyDescent="0.2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35" customHeight="1" x14ac:dyDescent="0.2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35" customHeight="1" x14ac:dyDescent="0.2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35" customHeight="1" x14ac:dyDescent="0.2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35" customHeight="1" x14ac:dyDescent="0.2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35" customHeight="1" x14ac:dyDescent="0.2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35" customHeight="1" x14ac:dyDescent="0.2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35" customHeight="1" x14ac:dyDescent="0.2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35" customHeight="1" x14ac:dyDescent="0.2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35" customHeight="1" x14ac:dyDescent="0.2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35" customHeight="1" x14ac:dyDescent="0.2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35" customHeight="1" x14ac:dyDescent="0.2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35" customHeight="1" x14ac:dyDescent="0.2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35" customHeight="1" x14ac:dyDescent="0.2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35" customHeight="1" x14ac:dyDescent="0.2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35" customHeight="1" x14ac:dyDescent="0.2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35" customHeight="1" x14ac:dyDescent="0.2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35" customHeight="1" x14ac:dyDescent="0.2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35" customHeight="1" x14ac:dyDescent="0.2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35" customHeight="1" x14ac:dyDescent="0.2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35" customHeight="1" x14ac:dyDescent="0.2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35" customHeight="1" x14ac:dyDescent="0.2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35" customHeight="1" x14ac:dyDescent="0.2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35" customHeight="1" x14ac:dyDescent="0.2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35" customHeight="1" x14ac:dyDescent="0.2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35" customHeight="1" x14ac:dyDescent="0.2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35" customHeight="1" x14ac:dyDescent="0.2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35" customHeight="1" x14ac:dyDescent="0.2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35" customHeight="1" x14ac:dyDescent="0.2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35" customHeight="1" x14ac:dyDescent="0.2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35" customHeight="1" x14ac:dyDescent="0.2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35" customHeight="1" x14ac:dyDescent="0.2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35" customHeight="1" x14ac:dyDescent="0.2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35" customHeight="1" x14ac:dyDescent="0.2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35" customHeight="1" x14ac:dyDescent="0.2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35" customHeight="1" x14ac:dyDescent="0.2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35" customHeight="1" x14ac:dyDescent="0.2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35" customHeight="1" x14ac:dyDescent="0.2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35" customHeight="1" x14ac:dyDescent="0.2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35" customHeight="1" x14ac:dyDescent="0.2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35" customHeight="1" x14ac:dyDescent="0.2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35" customHeight="1" x14ac:dyDescent="0.2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35" customHeight="1" x14ac:dyDescent="0.2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35" customHeight="1" x14ac:dyDescent="0.2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35" customHeight="1" x14ac:dyDescent="0.2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35" customHeight="1" x14ac:dyDescent="0.2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35" customHeight="1" x14ac:dyDescent="0.2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35" customHeight="1" x14ac:dyDescent="0.2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35" customHeight="1" x14ac:dyDescent="0.2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35" customHeight="1" x14ac:dyDescent="0.2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35" customHeight="1" x14ac:dyDescent="0.2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35" customHeight="1" x14ac:dyDescent="0.2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35" customHeight="1" x14ac:dyDescent="0.2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35" customHeight="1" x14ac:dyDescent="0.2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35" customHeight="1" x14ac:dyDescent="0.2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35" customHeight="1" x14ac:dyDescent="0.2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35" customHeight="1" x14ac:dyDescent="0.2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35" customHeight="1" x14ac:dyDescent="0.2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35" customHeight="1" x14ac:dyDescent="0.2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35" customHeight="1" x14ac:dyDescent="0.2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35" customHeight="1" x14ac:dyDescent="0.2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35" customHeight="1" x14ac:dyDescent="0.2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35" customHeight="1" x14ac:dyDescent="0.2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35" customHeight="1" x14ac:dyDescent="0.2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35" customHeight="1" x14ac:dyDescent="0.2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35" customHeight="1" x14ac:dyDescent="0.2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35" customHeight="1" x14ac:dyDescent="0.2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35" customHeight="1" x14ac:dyDescent="0.2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35" customHeight="1" x14ac:dyDescent="0.2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35" customHeight="1" x14ac:dyDescent="0.2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35" customHeight="1" x14ac:dyDescent="0.2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35" customHeight="1" x14ac:dyDescent="0.2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35" customHeight="1" x14ac:dyDescent="0.2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35" customHeight="1" x14ac:dyDescent="0.2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35" customHeight="1" x14ac:dyDescent="0.2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35" customHeight="1" x14ac:dyDescent="0.2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35" customHeight="1" x14ac:dyDescent="0.2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35" customHeight="1" x14ac:dyDescent="0.2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35" customHeight="1" x14ac:dyDescent="0.2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35" customHeight="1" x14ac:dyDescent="0.2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35" customHeight="1" x14ac:dyDescent="0.2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35" customHeight="1" x14ac:dyDescent="0.2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35" customHeight="1" x14ac:dyDescent="0.2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35" customHeight="1" x14ac:dyDescent="0.2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35" customHeight="1" x14ac:dyDescent="0.2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35" customHeight="1" x14ac:dyDescent="0.2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35" customHeight="1" x14ac:dyDescent="0.2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35" customHeight="1" x14ac:dyDescent="0.2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35" customHeight="1" x14ac:dyDescent="0.2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35" customHeight="1" x14ac:dyDescent="0.2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35" customHeight="1" x14ac:dyDescent="0.2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35" customHeight="1" x14ac:dyDescent="0.2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35" customHeight="1" x14ac:dyDescent="0.2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35" customHeight="1" x14ac:dyDescent="0.2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35" customHeight="1" x14ac:dyDescent="0.2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35" customHeight="1" x14ac:dyDescent="0.2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35" customHeight="1" x14ac:dyDescent="0.2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35" customHeight="1" x14ac:dyDescent="0.2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35" customHeight="1" x14ac:dyDescent="0.2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35" customHeight="1" x14ac:dyDescent="0.2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35" customHeight="1" x14ac:dyDescent="0.2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35" customHeight="1" x14ac:dyDescent="0.2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35" customHeight="1" x14ac:dyDescent="0.2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35" customHeight="1" x14ac:dyDescent="0.2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35" customHeight="1" x14ac:dyDescent="0.2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35" customHeight="1" x14ac:dyDescent="0.2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35" customHeight="1" x14ac:dyDescent="0.2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35" customHeight="1" x14ac:dyDescent="0.2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35" customHeight="1" x14ac:dyDescent="0.2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35" customHeight="1" x14ac:dyDescent="0.2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35" customHeight="1" x14ac:dyDescent="0.2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35" customHeight="1" x14ac:dyDescent="0.2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35" customHeight="1" x14ac:dyDescent="0.2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35" customHeight="1" x14ac:dyDescent="0.2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35" customHeight="1" x14ac:dyDescent="0.2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35" customHeight="1" x14ac:dyDescent="0.2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35" customHeight="1" x14ac:dyDescent="0.2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35" customHeight="1" x14ac:dyDescent="0.2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35" customHeight="1" x14ac:dyDescent="0.2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35" customHeight="1" x14ac:dyDescent="0.2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35" customHeight="1" x14ac:dyDescent="0.2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35" customHeight="1" x14ac:dyDescent="0.2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35" customHeight="1" x14ac:dyDescent="0.2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35" customHeight="1" x14ac:dyDescent="0.2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35" customHeight="1" x14ac:dyDescent="0.2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35" customHeight="1" x14ac:dyDescent="0.2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35" customHeight="1" x14ac:dyDescent="0.2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35" customHeight="1" x14ac:dyDescent="0.2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35" customHeight="1" x14ac:dyDescent="0.2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35" customHeight="1" x14ac:dyDescent="0.2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35" customHeight="1" x14ac:dyDescent="0.2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35" customHeight="1" x14ac:dyDescent="0.2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35" customHeight="1" x14ac:dyDescent="0.2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35" customHeight="1" x14ac:dyDescent="0.2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35" customHeight="1" x14ac:dyDescent="0.2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35" customHeight="1" x14ac:dyDescent="0.2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35" customHeight="1" x14ac:dyDescent="0.2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35" customHeight="1" x14ac:dyDescent="0.2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35" customHeight="1" x14ac:dyDescent="0.2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35" customHeight="1" x14ac:dyDescent="0.2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35" customHeight="1" x14ac:dyDescent="0.2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35" customHeight="1" x14ac:dyDescent="0.2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35" customHeight="1" x14ac:dyDescent="0.2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35" customHeight="1" x14ac:dyDescent="0.2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35" customHeight="1" x14ac:dyDescent="0.2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35" customHeight="1" x14ac:dyDescent="0.2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35" customHeight="1" x14ac:dyDescent="0.2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35" customHeight="1" x14ac:dyDescent="0.2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35" customHeight="1" x14ac:dyDescent="0.2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35" customHeight="1" x14ac:dyDescent="0.2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35" customHeight="1" x14ac:dyDescent="0.2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35" customHeight="1" x14ac:dyDescent="0.2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35" customHeight="1" x14ac:dyDescent="0.2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35" customHeight="1" x14ac:dyDescent="0.2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35" customHeight="1" x14ac:dyDescent="0.2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35" customHeight="1" x14ac:dyDescent="0.2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35" customHeight="1" x14ac:dyDescent="0.2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35" customHeight="1" x14ac:dyDescent="0.2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35" customHeight="1" x14ac:dyDescent="0.2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35" customHeight="1" x14ac:dyDescent="0.2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35" customHeight="1" x14ac:dyDescent="0.2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35" customHeight="1" x14ac:dyDescent="0.2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35" customHeight="1" x14ac:dyDescent="0.2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35" customHeight="1" x14ac:dyDescent="0.2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35" customHeight="1" x14ac:dyDescent="0.2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35" customHeight="1" x14ac:dyDescent="0.2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35" customHeight="1" x14ac:dyDescent="0.2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35" customHeight="1" x14ac:dyDescent="0.2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35" customHeight="1" x14ac:dyDescent="0.2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35" customHeight="1" x14ac:dyDescent="0.2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35" customHeight="1" x14ac:dyDescent="0.2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35" customHeight="1" x14ac:dyDescent="0.2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35" customHeight="1" x14ac:dyDescent="0.2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35" customHeight="1" x14ac:dyDescent="0.2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35" customHeight="1" x14ac:dyDescent="0.2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35" customHeight="1" x14ac:dyDescent="0.2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35" customHeight="1" x14ac:dyDescent="0.2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35" customHeight="1" x14ac:dyDescent="0.2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35" customHeight="1" x14ac:dyDescent="0.2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35" customHeight="1" x14ac:dyDescent="0.2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35" customHeight="1" x14ac:dyDescent="0.2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35" customHeight="1" x14ac:dyDescent="0.2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35" customHeight="1" x14ac:dyDescent="0.2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35" customHeight="1" x14ac:dyDescent="0.2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35" customHeight="1" x14ac:dyDescent="0.2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35" customHeight="1" x14ac:dyDescent="0.2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35" customHeight="1" x14ac:dyDescent="0.2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35" customHeight="1" x14ac:dyDescent="0.2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35" customHeight="1" x14ac:dyDescent="0.2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35" customHeight="1" x14ac:dyDescent="0.2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35" customHeight="1" x14ac:dyDescent="0.2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35" customHeight="1" x14ac:dyDescent="0.2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35" customHeight="1" x14ac:dyDescent="0.2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35" customHeight="1" x14ac:dyDescent="0.2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35" customHeight="1" x14ac:dyDescent="0.2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35" customHeight="1" x14ac:dyDescent="0.2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35" customHeight="1" x14ac:dyDescent="0.2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35" customHeight="1" x14ac:dyDescent="0.2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35" customHeight="1" x14ac:dyDescent="0.2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35" customHeight="1" x14ac:dyDescent="0.2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35" customHeight="1" x14ac:dyDescent="0.2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35" customHeight="1" x14ac:dyDescent="0.2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35" customHeight="1" x14ac:dyDescent="0.2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35" customHeight="1" x14ac:dyDescent="0.2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35" customHeight="1" x14ac:dyDescent="0.2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35" customHeight="1" x14ac:dyDescent="0.2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35" customHeight="1" x14ac:dyDescent="0.2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35" customHeight="1" x14ac:dyDescent="0.2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35" customHeight="1" x14ac:dyDescent="0.2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35" customHeight="1" x14ac:dyDescent="0.2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35" customHeight="1" x14ac:dyDescent="0.2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35" customHeight="1" x14ac:dyDescent="0.2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35" customHeight="1" x14ac:dyDescent="0.2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35" customHeight="1" x14ac:dyDescent="0.2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35" customHeight="1" x14ac:dyDescent="0.2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35" customHeight="1" x14ac:dyDescent="0.2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35" customHeight="1" x14ac:dyDescent="0.2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35" customHeight="1" x14ac:dyDescent="0.2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35" customHeight="1" x14ac:dyDescent="0.2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35" customHeight="1" x14ac:dyDescent="0.2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35" customHeight="1" x14ac:dyDescent="0.2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35" customHeight="1" x14ac:dyDescent="0.2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35" customHeight="1" x14ac:dyDescent="0.2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35" customHeight="1" x14ac:dyDescent="0.2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35" customHeight="1" x14ac:dyDescent="0.2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35" customHeight="1" x14ac:dyDescent="0.2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35" customHeight="1" x14ac:dyDescent="0.2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35" customHeight="1" x14ac:dyDescent="0.2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35" customHeight="1" x14ac:dyDescent="0.2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35" customHeight="1" x14ac:dyDescent="0.2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35" customHeight="1" x14ac:dyDescent="0.2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35" customHeight="1" x14ac:dyDescent="0.2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35" customHeight="1" x14ac:dyDescent="0.2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35" customHeight="1" x14ac:dyDescent="0.2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35" customHeight="1" x14ac:dyDescent="0.2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35" customHeight="1" x14ac:dyDescent="0.2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35" customHeight="1" x14ac:dyDescent="0.2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35" customHeight="1" x14ac:dyDescent="0.2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35" customHeight="1" x14ac:dyDescent="0.2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35" customHeight="1" x14ac:dyDescent="0.2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35" customHeight="1" x14ac:dyDescent="0.2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35" customHeight="1" x14ac:dyDescent="0.2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35" customHeight="1" x14ac:dyDescent="0.2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35" customHeight="1" x14ac:dyDescent="0.2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35" customHeight="1" x14ac:dyDescent="0.2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35" customHeight="1" x14ac:dyDescent="0.2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35" customHeight="1" x14ac:dyDescent="0.2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35" customHeight="1" x14ac:dyDescent="0.2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35" customHeight="1" x14ac:dyDescent="0.2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35" customHeight="1" x14ac:dyDescent="0.2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35" customHeight="1" x14ac:dyDescent="0.2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35" customHeight="1" x14ac:dyDescent="0.2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35" customHeight="1" x14ac:dyDescent="0.2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35" customHeight="1" x14ac:dyDescent="0.2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35" customHeight="1" x14ac:dyDescent="0.2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35" customHeight="1" x14ac:dyDescent="0.2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35" customHeight="1" x14ac:dyDescent="0.2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35" customHeight="1" x14ac:dyDescent="0.2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35" customHeight="1" x14ac:dyDescent="0.2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35" customHeight="1" x14ac:dyDescent="0.2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35" customHeight="1" x14ac:dyDescent="0.2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35" customHeight="1" x14ac:dyDescent="0.2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35" customHeight="1" x14ac:dyDescent="0.2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35" customHeight="1" x14ac:dyDescent="0.2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35" customHeight="1" x14ac:dyDescent="0.2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35" customHeight="1" x14ac:dyDescent="0.2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35" customHeight="1" x14ac:dyDescent="0.2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35" customHeight="1" x14ac:dyDescent="0.2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35" customHeight="1" x14ac:dyDescent="0.2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35" customHeight="1" x14ac:dyDescent="0.2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35" customHeight="1" x14ac:dyDescent="0.2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35" customHeight="1" x14ac:dyDescent="0.2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35" customHeight="1" x14ac:dyDescent="0.2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35" customHeight="1" x14ac:dyDescent="0.2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35" customHeight="1" x14ac:dyDescent="0.2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35" customHeight="1" x14ac:dyDescent="0.2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35" customHeight="1" x14ac:dyDescent="0.2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35" customHeight="1" x14ac:dyDescent="0.2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35" customHeight="1" x14ac:dyDescent="0.2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35" customHeight="1" x14ac:dyDescent="0.2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35" customHeight="1" x14ac:dyDescent="0.2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35" customHeight="1" x14ac:dyDescent="0.2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35" customHeight="1" x14ac:dyDescent="0.2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35" customHeight="1" x14ac:dyDescent="0.2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35" customHeight="1" x14ac:dyDescent="0.2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35" customHeight="1" x14ac:dyDescent="0.2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35" customHeight="1" x14ac:dyDescent="0.2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35" customHeight="1" x14ac:dyDescent="0.2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35" customHeight="1" x14ac:dyDescent="0.2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35" customHeight="1" x14ac:dyDescent="0.2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35" customHeight="1" x14ac:dyDescent="0.2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35" customHeight="1" x14ac:dyDescent="0.2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35" customHeight="1" x14ac:dyDescent="0.2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35" customHeight="1" x14ac:dyDescent="0.2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35" customHeight="1" x14ac:dyDescent="0.2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35" customHeight="1" x14ac:dyDescent="0.2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35" customHeight="1" x14ac:dyDescent="0.2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35" customHeight="1" x14ac:dyDescent="0.2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35" customHeight="1" x14ac:dyDescent="0.2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35" customHeight="1" x14ac:dyDescent="0.2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35" customHeight="1" x14ac:dyDescent="0.2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35" customHeight="1" x14ac:dyDescent="0.2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35" customHeight="1" x14ac:dyDescent="0.2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35" customHeight="1" x14ac:dyDescent="0.2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35" customHeight="1" x14ac:dyDescent="0.2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35" customHeight="1" x14ac:dyDescent="0.2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35" customHeight="1" x14ac:dyDescent="0.2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35" customHeight="1" x14ac:dyDescent="0.2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35" customHeight="1" x14ac:dyDescent="0.2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35" customHeight="1" x14ac:dyDescent="0.2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35" customHeight="1" x14ac:dyDescent="0.2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35" customHeight="1" x14ac:dyDescent="0.2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35" customHeight="1" x14ac:dyDescent="0.2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35" customHeight="1" x14ac:dyDescent="0.2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35" customHeight="1" x14ac:dyDescent="0.2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35" customHeight="1" x14ac:dyDescent="0.2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35" customHeight="1" x14ac:dyDescent="0.2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35" customHeight="1" x14ac:dyDescent="0.2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35" customHeight="1" x14ac:dyDescent="0.2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35" customHeight="1" x14ac:dyDescent="0.2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35" customHeight="1" x14ac:dyDescent="0.2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35" customHeight="1" x14ac:dyDescent="0.2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35" customHeight="1" x14ac:dyDescent="0.2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35" customHeight="1" x14ac:dyDescent="0.2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35" customHeight="1" x14ac:dyDescent="0.2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35" customHeight="1" x14ac:dyDescent="0.2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35" customHeight="1" x14ac:dyDescent="0.2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35" customHeight="1" x14ac:dyDescent="0.2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35" customHeight="1" x14ac:dyDescent="0.2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35" customHeight="1" x14ac:dyDescent="0.2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35" customHeight="1" x14ac:dyDescent="0.2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35" customHeight="1" x14ac:dyDescent="0.2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35" customHeight="1" x14ac:dyDescent="0.2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35" customHeight="1" x14ac:dyDescent="0.2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35" customHeight="1" x14ac:dyDescent="0.2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35" customHeight="1" x14ac:dyDescent="0.2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35" customHeight="1" x14ac:dyDescent="0.2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35" customHeight="1" x14ac:dyDescent="0.2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35" customHeight="1" x14ac:dyDescent="0.2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35" customHeight="1" x14ac:dyDescent="0.2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35" customHeight="1" x14ac:dyDescent="0.2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35" customHeight="1" x14ac:dyDescent="0.2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35" customHeight="1" x14ac:dyDescent="0.2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35" customHeight="1" x14ac:dyDescent="0.2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35" customHeight="1" x14ac:dyDescent="0.2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35" customHeight="1" x14ac:dyDescent="0.2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35" customHeight="1" x14ac:dyDescent="0.2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35" customHeight="1" x14ac:dyDescent="0.2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35" customHeight="1" x14ac:dyDescent="0.2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35" customHeight="1" x14ac:dyDescent="0.2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35" customHeight="1" x14ac:dyDescent="0.2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35" customHeight="1" x14ac:dyDescent="0.2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35" customHeight="1" x14ac:dyDescent="0.2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35" customHeight="1" x14ac:dyDescent="0.2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35" customHeight="1" x14ac:dyDescent="0.2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35" customHeight="1" x14ac:dyDescent="0.2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35" customHeight="1" x14ac:dyDescent="0.2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35" customHeight="1" x14ac:dyDescent="0.2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35" customHeight="1" x14ac:dyDescent="0.2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35" customHeight="1" x14ac:dyDescent="0.2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35" customHeight="1" x14ac:dyDescent="0.2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35" customHeight="1" x14ac:dyDescent="0.2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35" customHeight="1" x14ac:dyDescent="0.2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35" customHeight="1" x14ac:dyDescent="0.2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35" customHeight="1" x14ac:dyDescent="0.2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35" customHeight="1" x14ac:dyDescent="0.2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35" customHeight="1" x14ac:dyDescent="0.2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35" customHeight="1" x14ac:dyDescent="0.2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35" customHeight="1" x14ac:dyDescent="0.2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35" customHeight="1" x14ac:dyDescent="0.2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35" customHeight="1" x14ac:dyDescent="0.2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35" customHeight="1" x14ac:dyDescent="0.2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35" customHeight="1" x14ac:dyDescent="0.2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35" customHeight="1" x14ac:dyDescent="0.2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35" customHeight="1" x14ac:dyDescent="0.2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35" customHeight="1" x14ac:dyDescent="0.2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35" customHeight="1" x14ac:dyDescent="0.2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35" customHeight="1" x14ac:dyDescent="0.2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35" customHeight="1" x14ac:dyDescent="0.2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35" customHeight="1" x14ac:dyDescent="0.2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35" customHeight="1" x14ac:dyDescent="0.2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35" customHeight="1" x14ac:dyDescent="0.2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35" customHeight="1" x14ac:dyDescent="0.2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35" customHeight="1" x14ac:dyDescent="0.2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35" customHeight="1" x14ac:dyDescent="0.2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35" customHeight="1" x14ac:dyDescent="0.2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35" customHeight="1" x14ac:dyDescent="0.2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35" customHeight="1" x14ac:dyDescent="0.2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35" customHeight="1" x14ac:dyDescent="0.2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35" customHeight="1" x14ac:dyDescent="0.2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35" customHeight="1" x14ac:dyDescent="0.2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35" customHeight="1" x14ac:dyDescent="0.2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35" customHeight="1" x14ac:dyDescent="0.2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35" customHeight="1" x14ac:dyDescent="0.2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35" customHeight="1" x14ac:dyDescent="0.2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35" customHeight="1" x14ac:dyDescent="0.2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35" customHeight="1" x14ac:dyDescent="0.2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35" customHeight="1" x14ac:dyDescent="0.2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35" customHeight="1" x14ac:dyDescent="0.2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35" customHeight="1" x14ac:dyDescent="0.2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35" customHeight="1" x14ac:dyDescent="0.2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35" customHeight="1" x14ac:dyDescent="0.2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35" customHeight="1" x14ac:dyDescent="0.2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35" customHeight="1" x14ac:dyDescent="0.2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35" customHeight="1" x14ac:dyDescent="0.2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35" customHeight="1" x14ac:dyDescent="0.2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35" customHeight="1" x14ac:dyDescent="0.2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35" customHeight="1" x14ac:dyDescent="0.2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35" customHeight="1" x14ac:dyDescent="0.2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35" customHeight="1" x14ac:dyDescent="0.2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35" customHeight="1" x14ac:dyDescent="0.2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35" customHeight="1" x14ac:dyDescent="0.2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35" customHeight="1" x14ac:dyDescent="0.2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35" customHeight="1" x14ac:dyDescent="0.2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35" customHeight="1" x14ac:dyDescent="0.2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35" customHeight="1" x14ac:dyDescent="0.2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35" customHeight="1" x14ac:dyDescent="0.2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35" customHeight="1" x14ac:dyDescent="0.2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35" customHeight="1" x14ac:dyDescent="0.2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35" customHeight="1" x14ac:dyDescent="0.2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35" customHeight="1" x14ac:dyDescent="0.2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35" customHeight="1" x14ac:dyDescent="0.2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35" customHeight="1" x14ac:dyDescent="0.2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35" customHeight="1" x14ac:dyDescent="0.2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35" customHeight="1" x14ac:dyDescent="0.2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35" customHeight="1" x14ac:dyDescent="0.2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35" customHeight="1" x14ac:dyDescent="0.2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35" customHeight="1" x14ac:dyDescent="0.2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35" customHeight="1" x14ac:dyDescent="0.2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35" customHeight="1" x14ac:dyDescent="0.2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35" customHeight="1" x14ac:dyDescent="0.2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35" customHeight="1" x14ac:dyDescent="0.2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35" customHeight="1" x14ac:dyDescent="0.2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35" customHeight="1" x14ac:dyDescent="0.2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35" customHeight="1" x14ac:dyDescent="0.2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35" customHeight="1" x14ac:dyDescent="0.2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35" customHeight="1" x14ac:dyDescent="0.2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35" customHeight="1" x14ac:dyDescent="0.2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35" customHeight="1" x14ac:dyDescent="0.2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35" customHeight="1" x14ac:dyDescent="0.2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35" customHeight="1" x14ac:dyDescent="0.2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35" customHeight="1" x14ac:dyDescent="0.2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35" customHeight="1" x14ac:dyDescent="0.2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35" customHeight="1" x14ac:dyDescent="0.2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35" customHeight="1" x14ac:dyDescent="0.2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35" customHeight="1" x14ac:dyDescent="0.2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35" customHeight="1" x14ac:dyDescent="0.2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35" customHeight="1" x14ac:dyDescent="0.2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35" customHeight="1" x14ac:dyDescent="0.2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35" customHeight="1" x14ac:dyDescent="0.2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35" customHeight="1" x14ac:dyDescent="0.2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35" customHeight="1" x14ac:dyDescent="0.2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35" customHeight="1" x14ac:dyDescent="0.2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35" customHeight="1" x14ac:dyDescent="0.2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35" customHeight="1" x14ac:dyDescent="0.2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35" customHeight="1" x14ac:dyDescent="0.2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35" customHeight="1" x14ac:dyDescent="0.2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35" customHeight="1" x14ac:dyDescent="0.2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35" customHeight="1" x14ac:dyDescent="0.2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35" customHeight="1" x14ac:dyDescent="0.2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35" customHeight="1" x14ac:dyDescent="0.2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35" customHeight="1" x14ac:dyDescent="0.2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35" customHeight="1" x14ac:dyDescent="0.2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35" customHeight="1" x14ac:dyDescent="0.2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35" customHeight="1" x14ac:dyDescent="0.2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35" customHeight="1" x14ac:dyDescent="0.2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35" customHeight="1" x14ac:dyDescent="0.2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35" customHeight="1" x14ac:dyDescent="0.2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35" customHeight="1" x14ac:dyDescent="0.2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35" customHeight="1" x14ac:dyDescent="0.2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35" customHeight="1" x14ac:dyDescent="0.2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35" customHeight="1" x14ac:dyDescent="0.2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35" customHeight="1" x14ac:dyDescent="0.2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35" customHeight="1" x14ac:dyDescent="0.2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35" customHeight="1" x14ac:dyDescent="0.2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35" customHeight="1" x14ac:dyDescent="0.2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35" customHeight="1" x14ac:dyDescent="0.2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35" customHeight="1" x14ac:dyDescent="0.2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35" customHeight="1" x14ac:dyDescent="0.2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35" customHeight="1" x14ac:dyDescent="0.2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35" customHeight="1" x14ac:dyDescent="0.2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35" customHeight="1" x14ac:dyDescent="0.2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35" customHeight="1" x14ac:dyDescent="0.2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35" customHeight="1" x14ac:dyDescent="0.2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35" customHeight="1" x14ac:dyDescent="0.2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35" customHeight="1" x14ac:dyDescent="0.2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35" customHeight="1" x14ac:dyDescent="0.2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35" customHeight="1" x14ac:dyDescent="0.2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35" customHeight="1" x14ac:dyDescent="0.2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35" customHeight="1" x14ac:dyDescent="0.2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35" customHeight="1" x14ac:dyDescent="0.2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35" customHeight="1" x14ac:dyDescent="0.2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35" customHeight="1" x14ac:dyDescent="0.2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35" customHeight="1" x14ac:dyDescent="0.2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35" customHeight="1" x14ac:dyDescent="0.2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35" customHeight="1" x14ac:dyDescent="0.2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35" customHeight="1" x14ac:dyDescent="0.2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35" customHeight="1" x14ac:dyDescent="0.2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35" customHeight="1" x14ac:dyDescent="0.2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35" customHeight="1" x14ac:dyDescent="0.2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35" customHeight="1" x14ac:dyDescent="0.2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35" customHeight="1" x14ac:dyDescent="0.2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35" customHeight="1" x14ac:dyDescent="0.2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35" customHeight="1" x14ac:dyDescent="0.2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35" customHeight="1" x14ac:dyDescent="0.2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35" customHeight="1" x14ac:dyDescent="0.2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35" customHeight="1" x14ac:dyDescent="0.2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35" customHeight="1" x14ac:dyDescent="0.2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35" customHeight="1" x14ac:dyDescent="0.2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35" customHeight="1" x14ac:dyDescent="0.2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35" customHeight="1" x14ac:dyDescent="0.2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35" customHeight="1" x14ac:dyDescent="0.2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35" customHeight="1" x14ac:dyDescent="0.2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35" customHeight="1" x14ac:dyDescent="0.2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35" customHeight="1" x14ac:dyDescent="0.2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35" customHeight="1" x14ac:dyDescent="0.2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35" customHeight="1" x14ac:dyDescent="0.2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35" customHeight="1" x14ac:dyDescent="0.2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35" customHeight="1" x14ac:dyDescent="0.2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35" customHeight="1" x14ac:dyDescent="0.2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35" customHeight="1" x14ac:dyDescent="0.2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35" customHeight="1" x14ac:dyDescent="0.2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35" customHeight="1" x14ac:dyDescent="0.2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35" customHeight="1" x14ac:dyDescent="0.2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35" customHeight="1" x14ac:dyDescent="0.2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35" customHeight="1" x14ac:dyDescent="0.2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35" customHeight="1" x14ac:dyDescent="0.2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35" customHeight="1" x14ac:dyDescent="0.2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35" customHeight="1" x14ac:dyDescent="0.2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35" customHeight="1" x14ac:dyDescent="0.2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35" customHeight="1" x14ac:dyDescent="0.2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35" customHeight="1" x14ac:dyDescent="0.2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35" customHeight="1" x14ac:dyDescent="0.2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35" customHeight="1" x14ac:dyDescent="0.2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35" customHeight="1" x14ac:dyDescent="0.2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35" customHeight="1" x14ac:dyDescent="0.2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35" customHeight="1" x14ac:dyDescent="0.2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35" customHeight="1" x14ac:dyDescent="0.2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35" customHeight="1" x14ac:dyDescent="0.2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35" customHeight="1" x14ac:dyDescent="0.2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35" customHeight="1" x14ac:dyDescent="0.2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35" customHeight="1" x14ac:dyDescent="0.2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35" customHeight="1" x14ac:dyDescent="0.2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35" customHeight="1" x14ac:dyDescent="0.2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35" customHeight="1" x14ac:dyDescent="0.2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35" customHeight="1" x14ac:dyDescent="0.2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35" customHeight="1" x14ac:dyDescent="0.2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35" customHeight="1" x14ac:dyDescent="0.2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35" customHeight="1" x14ac:dyDescent="0.2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35" customHeight="1" x14ac:dyDescent="0.2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35" customHeight="1" x14ac:dyDescent="0.2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35" customHeight="1" x14ac:dyDescent="0.2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35" customHeight="1" x14ac:dyDescent="0.2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35" customHeight="1" x14ac:dyDescent="0.2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35" customHeight="1" x14ac:dyDescent="0.2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35" customHeight="1" x14ac:dyDescent="0.2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35" customHeight="1" x14ac:dyDescent="0.2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35" customHeight="1" x14ac:dyDescent="0.2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35" customHeight="1" x14ac:dyDescent="0.2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35" customHeight="1" x14ac:dyDescent="0.2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35" customHeight="1" x14ac:dyDescent="0.2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35" customHeight="1" x14ac:dyDescent="0.2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35" customHeight="1" x14ac:dyDescent="0.2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35" customHeight="1" x14ac:dyDescent="0.2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35" customHeight="1" x14ac:dyDescent="0.2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35" customHeight="1" x14ac:dyDescent="0.2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35" customHeight="1" x14ac:dyDescent="0.2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35" customHeight="1" x14ac:dyDescent="0.2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35" customHeight="1" x14ac:dyDescent="0.2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35" customHeight="1" x14ac:dyDescent="0.2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35" customHeight="1" x14ac:dyDescent="0.2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35" customHeight="1" x14ac:dyDescent="0.2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35" customHeight="1" x14ac:dyDescent="0.2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35" customHeight="1" x14ac:dyDescent="0.2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35" customHeight="1" x14ac:dyDescent="0.2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35" customHeight="1" x14ac:dyDescent="0.2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35" customHeight="1" x14ac:dyDescent="0.2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35" customHeight="1" x14ac:dyDescent="0.2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35" customHeight="1" x14ac:dyDescent="0.2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35" customHeight="1" x14ac:dyDescent="0.2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35" customHeight="1" x14ac:dyDescent="0.2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35" customHeight="1" x14ac:dyDescent="0.2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35" customHeight="1" x14ac:dyDescent="0.2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35" customHeight="1" x14ac:dyDescent="0.2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35" customHeight="1" x14ac:dyDescent="0.2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35" customHeight="1" x14ac:dyDescent="0.2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35" customHeight="1" x14ac:dyDescent="0.2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35" customHeight="1" x14ac:dyDescent="0.2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35" customHeight="1" x14ac:dyDescent="0.2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35" customHeight="1" x14ac:dyDescent="0.2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35" customHeight="1" x14ac:dyDescent="0.2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35" customHeight="1" x14ac:dyDescent="0.2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35" customHeight="1" x14ac:dyDescent="0.2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35" customHeight="1" x14ac:dyDescent="0.2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35" customHeight="1" x14ac:dyDescent="0.2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35" customHeight="1" x14ac:dyDescent="0.2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35" customHeight="1" x14ac:dyDescent="0.2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35" customHeight="1" x14ac:dyDescent="0.2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35" customHeight="1" x14ac:dyDescent="0.2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35" customHeight="1" x14ac:dyDescent="0.2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35" customHeight="1" x14ac:dyDescent="0.2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35" customHeight="1" x14ac:dyDescent="0.2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35" customHeight="1" x14ac:dyDescent="0.2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35" customHeight="1" x14ac:dyDescent="0.2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35" customHeight="1" x14ac:dyDescent="0.2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35" customHeight="1" x14ac:dyDescent="0.2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35" customHeight="1" x14ac:dyDescent="0.2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35" customHeight="1" x14ac:dyDescent="0.2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35" customHeight="1" x14ac:dyDescent="0.2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35" customHeight="1" x14ac:dyDescent="0.2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35" customHeight="1" x14ac:dyDescent="0.2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35" customHeight="1" x14ac:dyDescent="0.2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35" customHeight="1" x14ac:dyDescent="0.2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35" customHeight="1" x14ac:dyDescent="0.2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35" customHeight="1" x14ac:dyDescent="0.2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35" customHeight="1" x14ac:dyDescent="0.2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35" customHeight="1" x14ac:dyDescent="0.2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35" customHeight="1" x14ac:dyDescent="0.2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35" customHeight="1" x14ac:dyDescent="0.2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35" customHeight="1" x14ac:dyDescent="0.2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35" customHeight="1" x14ac:dyDescent="0.2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35" customHeight="1" x14ac:dyDescent="0.2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35" customHeight="1" x14ac:dyDescent="0.2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35" customHeight="1" x14ac:dyDescent="0.2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35" customHeight="1" x14ac:dyDescent="0.2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35" customHeight="1" x14ac:dyDescent="0.2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35" customHeight="1" x14ac:dyDescent="0.2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35" customHeight="1" x14ac:dyDescent="0.2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35" customHeight="1" x14ac:dyDescent="0.2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35" customHeight="1" x14ac:dyDescent="0.2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35" customHeight="1" x14ac:dyDescent="0.2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35" customHeight="1" x14ac:dyDescent="0.2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35" customHeight="1" x14ac:dyDescent="0.2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35" customHeight="1" x14ac:dyDescent="0.2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35" customHeight="1" x14ac:dyDescent="0.2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35" customHeight="1" x14ac:dyDescent="0.2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35" customHeight="1" x14ac:dyDescent="0.2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35" customHeight="1" x14ac:dyDescent="0.2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35" customHeight="1" x14ac:dyDescent="0.2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35" customHeight="1" x14ac:dyDescent="0.2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35" customHeight="1" x14ac:dyDescent="0.2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35" customHeight="1" x14ac:dyDescent="0.2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35" customHeight="1" x14ac:dyDescent="0.2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35" customHeight="1" x14ac:dyDescent="0.2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35" customHeight="1" x14ac:dyDescent="0.2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35" customHeight="1" x14ac:dyDescent="0.2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35" customHeight="1" x14ac:dyDescent="0.2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35" customHeight="1" x14ac:dyDescent="0.2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35" customHeight="1" x14ac:dyDescent="0.2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35" customHeight="1" x14ac:dyDescent="0.2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35" customHeight="1" x14ac:dyDescent="0.2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35" customHeight="1" x14ac:dyDescent="0.2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35" customHeight="1" x14ac:dyDescent="0.2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35" customHeight="1" x14ac:dyDescent="0.2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35" customHeight="1" x14ac:dyDescent="0.2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35" customHeight="1" x14ac:dyDescent="0.2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35" customHeight="1" x14ac:dyDescent="0.2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35" customHeight="1" x14ac:dyDescent="0.2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35" customHeight="1" x14ac:dyDescent="0.2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35" customHeight="1" x14ac:dyDescent="0.2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35" customHeight="1" x14ac:dyDescent="0.2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35" customHeight="1" x14ac:dyDescent="0.2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35" customHeight="1" x14ac:dyDescent="0.2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35" customHeight="1" x14ac:dyDescent="0.2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35" customHeight="1" x14ac:dyDescent="0.2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35" customHeight="1" x14ac:dyDescent="0.2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35" customHeight="1" x14ac:dyDescent="0.2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35" customHeight="1" x14ac:dyDescent="0.2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35" customHeight="1" x14ac:dyDescent="0.2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35" customHeight="1" x14ac:dyDescent="0.2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35" customHeight="1" x14ac:dyDescent="0.2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35" customHeight="1" x14ac:dyDescent="0.2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35" customHeight="1" x14ac:dyDescent="0.2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35" customHeight="1" x14ac:dyDescent="0.2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35" customHeight="1" x14ac:dyDescent="0.2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35" customHeight="1" x14ac:dyDescent="0.2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35" customHeight="1" x14ac:dyDescent="0.2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35" customHeight="1" x14ac:dyDescent="0.2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35" customHeight="1" x14ac:dyDescent="0.2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35" customHeight="1" x14ac:dyDescent="0.2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35" customHeight="1" x14ac:dyDescent="0.2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35" customHeight="1" x14ac:dyDescent="0.2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35" customHeight="1" x14ac:dyDescent="0.2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35" customHeight="1" x14ac:dyDescent="0.2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35" customHeight="1" x14ac:dyDescent="0.2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35" customHeight="1" x14ac:dyDescent="0.2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35" customHeight="1" x14ac:dyDescent="0.2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35" customHeight="1" x14ac:dyDescent="0.2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35" customHeight="1" x14ac:dyDescent="0.2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35" customHeight="1" x14ac:dyDescent="0.2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35" customHeight="1" x14ac:dyDescent="0.2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35" customHeight="1" x14ac:dyDescent="0.2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35" customHeight="1" x14ac:dyDescent="0.2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35" customHeight="1" x14ac:dyDescent="0.2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35" customHeight="1" x14ac:dyDescent="0.2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35" customHeight="1" x14ac:dyDescent="0.2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35" customHeight="1" x14ac:dyDescent="0.2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35" customHeight="1" x14ac:dyDescent="0.2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35" customHeight="1" x14ac:dyDescent="0.2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35" customHeight="1" x14ac:dyDescent="0.2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35" customHeight="1" x14ac:dyDescent="0.2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35" customHeight="1" x14ac:dyDescent="0.2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35" customHeight="1" x14ac:dyDescent="0.2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35" customHeight="1" x14ac:dyDescent="0.2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35" customHeight="1" x14ac:dyDescent="0.2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35" customHeight="1" x14ac:dyDescent="0.2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35" customHeight="1" x14ac:dyDescent="0.2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35" customHeight="1" x14ac:dyDescent="0.2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35" customHeight="1" x14ac:dyDescent="0.2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35" customHeight="1" x14ac:dyDescent="0.2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35" customHeight="1" x14ac:dyDescent="0.2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35" customHeight="1" x14ac:dyDescent="0.2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35" customHeight="1" x14ac:dyDescent="0.2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35" customHeight="1" x14ac:dyDescent="0.2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35" customHeight="1" x14ac:dyDescent="0.2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35" customHeight="1" x14ac:dyDescent="0.2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35" customHeight="1" x14ac:dyDescent="0.2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35" customHeight="1" x14ac:dyDescent="0.2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35" customHeight="1" x14ac:dyDescent="0.2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35" customHeight="1" x14ac:dyDescent="0.2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35" customHeight="1" x14ac:dyDescent="0.2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35" customHeight="1" x14ac:dyDescent="0.2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35" customHeight="1" x14ac:dyDescent="0.2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35" customHeight="1" x14ac:dyDescent="0.2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35" customHeight="1" x14ac:dyDescent="0.2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35" customHeight="1" x14ac:dyDescent="0.2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35" customHeight="1" x14ac:dyDescent="0.2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35" customHeight="1" x14ac:dyDescent="0.2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35" customHeight="1" x14ac:dyDescent="0.2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35" customHeight="1" x14ac:dyDescent="0.2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35" customHeight="1" x14ac:dyDescent="0.2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35" customHeight="1" x14ac:dyDescent="0.2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35" customHeight="1" x14ac:dyDescent="0.2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35" customHeight="1" x14ac:dyDescent="0.2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35" customHeight="1" x14ac:dyDescent="0.2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35" customHeight="1" x14ac:dyDescent="0.2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35" customHeight="1" x14ac:dyDescent="0.2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35" customHeight="1" x14ac:dyDescent="0.2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35" customHeight="1" x14ac:dyDescent="0.2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35" customHeight="1" x14ac:dyDescent="0.2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35" customHeight="1" x14ac:dyDescent="0.2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35" customHeight="1" x14ac:dyDescent="0.2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35" customHeight="1" x14ac:dyDescent="0.2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35" customHeight="1" x14ac:dyDescent="0.2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35" customHeight="1" x14ac:dyDescent="0.2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35" customHeight="1" x14ac:dyDescent="0.2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35" customHeight="1" x14ac:dyDescent="0.2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35" customHeight="1" x14ac:dyDescent="0.2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35" customHeight="1" x14ac:dyDescent="0.2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35" customHeight="1" x14ac:dyDescent="0.2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35" customHeight="1" x14ac:dyDescent="0.2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35" customHeight="1" x14ac:dyDescent="0.2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35" customHeight="1" x14ac:dyDescent="0.2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35" customHeight="1" x14ac:dyDescent="0.2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35" customHeight="1" x14ac:dyDescent="0.2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35" customHeight="1" x14ac:dyDescent="0.2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35" customHeight="1" x14ac:dyDescent="0.2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35" customHeight="1" x14ac:dyDescent="0.2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35" customHeight="1" x14ac:dyDescent="0.2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35" customHeight="1" x14ac:dyDescent="0.2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35" customHeight="1" x14ac:dyDescent="0.2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35" customHeight="1" x14ac:dyDescent="0.2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35" customHeight="1" x14ac:dyDescent="0.2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35" customHeight="1" x14ac:dyDescent="0.2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35" customHeight="1" x14ac:dyDescent="0.2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35" customHeight="1" x14ac:dyDescent="0.2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35" customHeight="1" x14ac:dyDescent="0.2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35" customHeight="1" x14ac:dyDescent="0.2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35" customHeight="1" x14ac:dyDescent="0.2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35" customHeight="1" x14ac:dyDescent="0.2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35" customHeight="1" x14ac:dyDescent="0.2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35" customHeight="1" x14ac:dyDescent="0.2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35" customHeight="1" x14ac:dyDescent="0.2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35" customHeight="1" x14ac:dyDescent="0.2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35" customHeight="1" x14ac:dyDescent="0.2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35" customHeight="1" x14ac:dyDescent="0.2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35" customHeight="1" x14ac:dyDescent="0.2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35" customHeight="1" x14ac:dyDescent="0.2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35" customHeight="1" x14ac:dyDescent="0.2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35" customHeight="1" x14ac:dyDescent="0.2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35" customHeight="1" x14ac:dyDescent="0.2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35" customHeight="1" x14ac:dyDescent="0.2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35" customHeight="1" x14ac:dyDescent="0.2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35" customHeight="1" x14ac:dyDescent="0.2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35" customHeight="1" x14ac:dyDescent="0.2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35" customHeight="1" x14ac:dyDescent="0.2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35" customHeight="1" x14ac:dyDescent="0.2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35" customHeight="1" x14ac:dyDescent="0.2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35" customHeight="1" x14ac:dyDescent="0.2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35" customHeight="1" x14ac:dyDescent="0.2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35" customHeight="1" x14ac:dyDescent="0.2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35" customHeight="1" x14ac:dyDescent="0.2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35" customHeight="1" x14ac:dyDescent="0.2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35" customHeight="1" x14ac:dyDescent="0.2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35" customHeight="1" x14ac:dyDescent="0.2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35" customHeight="1" x14ac:dyDescent="0.2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35" customHeight="1" x14ac:dyDescent="0.2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35" customHeight="1" x14ac:dyDescent="0.2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35" customHeight="1" x14ac:dyDescent="0.2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35" customHeight="1" x14ac:dyDescent="0.2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35" customHeight="1" x14ac:dyDescent="0.2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35" customHeight="1" x14ac:dyDescent="0.2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35" customHeight="1" x14ac:dyDescent="0.2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35" customHeight="1" x14ac:dyDescent="0.2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35" customHeight="1" x14ac:dyDescent="0.2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35" customHeight="1" x14ac:dyDescent="0.2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35" customHeight="1" x14ac:dyDescent="0.2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35" customHeight="1" x14ac:dyDescent="0.2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35" customHeight="1" x14ac:dyDescent="0.2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35" customHeight="1" x14ac:dyDescent="0.2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35" customHeight="1" x14ac:dyDescent="0.2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35" customHeight="1" x14ac:dyDescent="0.2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35" customHeight="1" x14ac:dyDescent="0.2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35" customHeight="1" x14ac:dyDescent="0.2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35" customHeight="1" x14ac:dyDescent="0.2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35" customHeight="1" x14ac:dyDescent="0.2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35" customHeight="1" x14ac:dyDescent="0.2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35" customHeight="1" x14ac:dyDescent="0.2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35" customHeight="1" x14ac:dyDescent="0.2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35" customHeight="1" x14ac:dyDescent="0.2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35" customHeight="1" x14ac:dyDescent="0.2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35" customHeight="1" x14ac:dyDescent="0.2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35" customHeight="1" x14ac:dyDescent="0.2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35" customHeight="1" x14ac:dyDescent="0.2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35" customHeight="1" x14ac:dyDescent="0.2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35" customHeight="1" x14ac:dyDescent="0.2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35" customHeight="1" x14ac:dyDescent="0.2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35" customHeight="1" x14ac:dyDescent="0.2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35" customHeight="1" x14ac:dyDescent="0.2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35" customHeight="1" x14ac:dyDescent="0.2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35" customHeight="1" x14ac:dyDescent="0.2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35" customHeight="1" x14ac:dyDescent="0.2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35" customHeight="1" x14ac:dyDescent="0.2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35" customHeight="1" x14ac:dyDescent="0.2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35" customHeight="1" x14ac:dyDescent="0.2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35" customHeight="1" x14ac:dyDescent="0.2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35" customHeight="1" x14ac:dyDescent="0.2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35" customHeight="1" x14ac:dyDescent="0.2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35" customHeight="1" x14ac:dyDescent="0.2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35" customHeight="1" x14ac:dyDescent="0.2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35" customHeight="1" x14ac:dyDescent="0.2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35" customHeight="1" x14ac:dyDescent="0.2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35" customHeight="1" x14ac:dyDescent="0.2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35" customHeight="1" x14ac:dyDescent="0.2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35" customHeight="1" x14ac:dyDescent="0.2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35" customHeight="1" x14ac:dyDescent="0.2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35" customHeight="1" x14ac:dyDescent="0.2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35" customHeight="1" x14ac:dyDescent="0.2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35" customHeight="1" x14ac:dyDescent="0.2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35" customHeight="1" x14ac:dyDescent="0.2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35" customHeight="1" x14ac:dyDescent="0.2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35" customHeight="1" x14ac:dyDescent="0.2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35" customHeight="1" x14ac:dyDescent="0.2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35" customHeight="1" x14ac:dyDescent="0.2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35" customHeight="1" x14ac:dyDescent="0.2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35" customHeight="1" x14ac:dyDescent="0.2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35" customHeight="1" x14ac:dyDescent="0.2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35" customHeight="1" x14ac:dyDescent="0.2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35" customHeight="1" x14ac:dyDescent="0.2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35" customHeight="1" x14ac:dyDescent="0.2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35" customHeight="1" x14ac:dyDescent="0.2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35" customHeight="1" x14ac:dyDescent="0.2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35" customHeight="1" x14ac:dyDescent="0.2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35" customHeight="1" x14ac:dyDescent="0.2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35" customHeight="1" x14ac:dyDescent="0.2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35" customHeight="1" x14ac:dyDescent="0.2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35" customHeight="1" x14ac:dyDescent="0.2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35" customHeight="1" x14ac:dyDescent="0.2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35" customHeight="1" x14ac:dyDescent="0.2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35" customHeight="1" x14ac:dyDescent="0.2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35" customHeight="1" x14ac:dyDescent="0.2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35" customHeight="1" x14ac:dyDescent="0.2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35" customHeight="1" x14ac:dyDescent="0.2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35" customHeight="1" x14ac:dyDescent="0.2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35" customHeight="1" x14ac:dyDescent="0.2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35" customHeight="1" x14ac:dyDescent="0.2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35" customHeight="1" x14ac:dyDescent="0.2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35" customHeight="1" x14ac:dyDescent="0.2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35" customHeight="1" x14ac:dyDescent="0.2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35" customHeight="1" x14ac:dyDescent="0.2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35" customHeight="1" x14ac:dyDescent="0.2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35" customHeight="1" x14ac:dyDescent="0.2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35" customHeight="1" x14ac:dyDescent="0.2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35" customHeight="1" x14ac:dyDescent="0.2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35" customHeight="1" x14ac:dyDescent="0.2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35" customHeight="1" x14ac:dyDescent="0.2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35" customHeight="1" x14ac:dyDescent="0.2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35" customHeight="1" x14ac:dyDescent="0.2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35" customHeight="1" x14ac:dyDescent="0.2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35" customHeight="1" x14ac:dyDescent="0.2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35" customHeight="1" x14ac:dyDescent="0.2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35" customHeight="1" x14ac:dyDescent="0.2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35" customHeight="1" x14ac:dyDescent="0.2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35" customHeight="1" x14ac:dyDescent="0.2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35" customHeight="1" x14ac:dyDescent="0.2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35" customHeight="1" x14ac:dyDescent="0.2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35" customHeight="1" x14ac:dyDescent="0.2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35" customHeight="1" x14ac:dyDescent="0.2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35" customHeight="1" x14ac:dyDescent="0.2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35" customHeight="1" x14ac:dyDescent="0.2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35" customHeight="1" x14ac:dyDescent="0.2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35" customHeight="1" x14ac:dyDescent="0.2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35" customHeight="1" x14ac:dyDescent="0.2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35" customHeight="1" x14ac:dyDescent="0.2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35" customHeight="1" x14ac:dyDescent="0.2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35" customHeight="1" x14ac:dyDescent="0.2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35" customHeight="1" x14ac:dyDescent="0.2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35" customHeight="1" x14ac:dyDescent="0.2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35" customHeight="1" x14ac:dyDescent="0.2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35" customHeight="1" x14ac:dyDescent="0.2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35" customHeight="1" x14ac:dyDescent="0.2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35" customHeight="1" x14ac:dyDescent="0.2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35" customHeight="1" x14ac:dyDescent="0.2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35" customHeight="1" x14ac:dyDescent="0.2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35" customHeight="1" x14ac:dyDescent="0.2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35" customHeight="1" x14ac:dyDescent="0.2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35" customHeight="1" x14ac:dyDescent="0.2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35" customHeight="1" x14ac:dyDescent="0.2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35" customHeight="1" x14ac:dyDescent="0.2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35" customHeight="1" x14ac:dyDescent="0.2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35" customHeight="1" x14ac:dyDescent="0.2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35" customHeight="1" x14ac:dyDescent="0.2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35" customHeight="1" x14ac:dyDescent="0.2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35" customHeight="1" x14ac:dyDescent="0.2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35" customHeight="1" x14ac:dyDescent="0.2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35" customHeight="1" x14ac:dyDescent="0.2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35" customHeight="1" x14ac:dyDescent="0.2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35" customHeight="1" x14ac:dyDescent="0.2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35" customHeight="1" x14ac:dyDescent="0.2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35" customHeight="1" x14ac:dyDescent="0.2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35" customHeight="1" x14ac:dyDescent="0.2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35" customHeight="1" x14ac:dyDescent="0.2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35" customHeight="1" x14ac:dyDescent="0.2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35" customHeight="1" x14ac:dyDescent="0.2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35" customHeight="1" x14ac:dyDescent="0.2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35" customHeight="1" x14ac:dyDescent="0.2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35" customHeight="1" x14ac:dyDescent="0.2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35" customHeight="1" x14ac:dyDescent="0.2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35" customHeight="1" x14ac:dyDescent="0.2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35" customHeight="1" x14ac:dyDescent="0.2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35" customHeight="1" x14ac:dyDescent="0.2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35" customHeight="1" x14ac:dyDescent="0.2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35" customHeight="1" x14ac:dyDescent="0.2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35" customHeight="1" x14ac:dyDescent="0.2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35" customHeight="1" x14ac:dyDescent="0.2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35" customHeight="1" x14ac:dyDescent="0.2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35" customHeight="1" x14ac:dyDescent="0.2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35" customHeight="1" x14ac:dyDescent="0.2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35" customHeight="1" x14ac:dyDescent="0.2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35" customHeight="1" x14ac:dyDescent="0.2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35" customHeight="1" x14ac:dyDescent="0.2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35" customHeight="1" x14ac:dyDescent="0.2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35" customHeight="1" x14ac:dyDescent="0.2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35" customHeight="1" x14ac:dyDescent="0.2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35" customHeight="1" x14ac:dyDescent="0.2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35" customHeight="1" x14ac:dyDescent="0.2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35" customHeight="1" x14ac:dyDescent="0.2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35" customHeight="1" x14ac:dyDescent="0.2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35" customHeight="1" x14ac:dyDescent="0.2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35" customHeight="1" x14ac:dyDescent="0.2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35" customHeight="1" x14ac:dyDescent="0.2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35" customHeight="1" x14ac:dyDescent="0.2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35" customHeight="1" x14ac:dyDescent="0.2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35" customHeight="1" x14ac:dyDescent="0.2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35" customHeight="1" x14ac:dyDescent="0.2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35" customHeight="1" x14ac:dyDescent="0.2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35" customHeight="1" x14ac:dyDescent="0.2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35" customHeight="1" x14ac:dyDescent="0.2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35" customHeight="1" x14ac:dyDescent="0.2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35" customHeight="1" x14ac:dyDescent="0.2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35" customHeight="1" x14ac:dyDescent="0.2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35" customHeight="1" x14ac:dyDescent="0.2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35" customHeight="1" x14ac:dyDescent="0.2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35" customHeight="1" x14ac:dyDescent="0.2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35" customHeight="1" x14ac:dyDescent="0.2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35" customHeight="1" x14ac:dyDescent="0.2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35" customHeight="1" x14ac:dyDescent="0.2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35" customHeight="1" x14ac:dyDescent="0.2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35" customHeight="1" x14ac:dyDescent="0.2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35" customHeight="1" x14ac:dyDescent="0.2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35" customHeight="1" x14ac:dyDescent="0.2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35" customHeight="1" x14ac:dyDescent="0.2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35" customHeight="1" x14ac:dyDescent="0.2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35" customHeight="1" x14ac:dyDescent="0.2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35" customHeight="1" x14ac:dyDescent="0.2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35" customHeight="1" x14ac:dyDescent="0.2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35" customHeight="1" x14ac:dyDescent="0.2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35" customHeight="1" x14ac:dyDescent="0.2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35" customHeight="1" x14ac:dyDescent="0.2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35" customHeight="1" x14ac:dyDescent="0.2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35" customHeight="1" x14ac:dyDescent="0.2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35" customHeight="1" x14ac:dyDescent="0.2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35" customHeight="1" x14ac:dyDescent="0.2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35" customHeight="1" x14ac:dyDescent="0.2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35" customHeight="1" x14ac:dyDescent="0.2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35" customHeight="1" x14ac:dyDescent="0.2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35" customHeight="1" x14ac:dyDescent="0.2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35" customHeight="1" x14ac:dyDescent="0.2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35" customHeight="1" x14ac:dyDescent="0.2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35" customHeight="1" x14ac:dyDescent="0.2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35" customHeight="1" x14ac:dyDescent="0.2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35" customHeight="1" x14ac:dyDescent="0.2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35" customHeight="1" x14ac:dyDescent="0.2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35" customHeight="1" x14ac:dyDescent="0.2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35" customHeight="1" x14ac:dyDescent="0.2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35" customHeight="1" x14ac:dyDescent="0.2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35" customHeight="1" x14ac:dyDescent="0.2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35" customHeight="1" x14ac:dyDescent="0.2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35" customHeight="1" x14ac:dyDescent="0.2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35" customHeight="1" x14ac:dyDescent="0.2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35" customHeight="1" x14ac:dyDescent="0.2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35" customHeight="1" x14ac:dyDescent="0.2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35" customHeight="1" x14ac:dyDescent="0.2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35" customHeight="1" x14ac:dyDescent="0.2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35" customHeight="1" x14ac:dyDescent="0.2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35" customHeight="1" x14ac:dyDescent="0.2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35" customHeight="1" x14ac:dyDescent="0.2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35" customHeight="1" x14ac:dyDescent="0.2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35" customHeight="1" x14ac:dyDescent="0.2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35" customHeight="1" x14ac:dyDescent="0.2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35" customHeight="1" x14ac:dyDescent="0.2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35" customHeight="1" x14ac:dyDescent="0.2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35" customHeight="1" x14ac:dyDescent="0.2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35" customHeight="1" x14ac:dyDescent="0.2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35" customHeight="1" x14ac:dyDescent="0.2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35" customHeight="1" x14ac:dyDescent="0.2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35" customHeight="1" x14ac:dyDescent="0.2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35" customHeight="1" x14ac:dyDescent="0.2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35" customHeight="1" x14ac:dyDescent="0.2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35" customHeight="1" x14ac:dyDescent="0.2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35" customHeight="1" x14ac:dyDescent="0.2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35" customHeight="1" x14ac:dyDescent="0.2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35" customHeight="1" x14ac:dyDescent="0.2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35" customHeight="1" x14ac:dyDescent="0.2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35" customHeight="1" x14ac:dyDescent="0.2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35" customHeight="1" x14ac:dyDescent="0.2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35" customHeight="1" x14ac:dyDescent="0.2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35" customHeight="1" x14ac:dyDescent="0.2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35" customHeight="1" x14ac:dyDescent="0.2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35" customHeight="1" x14ac:dyDescent="0.2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35" customHeight="1" x14ac:dyDescent="0.2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35" customHeight="1" x14ac:dyDescent="0.2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35" customHeight="1" x14ac:dyDescent="0.2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35" customHeight="1" x14ac:dyDescent="0.2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35" customHeight="1" x14ac:dyDescent="0.2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35" customHeight="1" x14ac:dyDescent="0.2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35" customHeight="1" x14ac:dyDescent="0.2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35" customHeight="1" x14ac:dyDescent="0.2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35" customHeight="1" x14ac:dyDescent="0.2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35" customHeight="1" x14ac:dyDescent="0.2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35" customHeight="1" x14ac:dyDescent="0.2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35" customHeight="1" x14ac:dyDescent="0.2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35" customHeight="1" x14ac:dyDescent="0.2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35" customHeight="1" x14ac:dyDescent="0.2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35" customHeight="1" x14ac:dyDescent="0.2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35" customHeight="1" x14ac:dyDescent="0.2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35" customHeight="1" x14ac:dyDescent="0.2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35" customHeight="1" x14ac:dyDescent="0.2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35" customHeight="1" x14ac:dyDescent="0.2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35" customHeight="1" x14ac:dyDescent="0.2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35" customHeight="1" x14ac:dyDescent="0.2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35" customHeight="1" x14ac:dyDescent="0.2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35" customHeight="1" x14ac:dyDescent="0.2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35" customHeight="1" x14ac:dyDescent="0.2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35" customHeight="1" x14ac:dyDescent="0.2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35" customHeight="1" x14ac:dyDescent="0.2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35" customHeight="1" x14ac:dyDescent="0.2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35" customHeight="1" x14ac:dyDescent="0.2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35" customHeight="1" x14ac:dyDescent="0.2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35" customHeight="1" x14ac:dyDescent="0.2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35" customHeight="1" x14ac:dyDescent="0.2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35" customHeight="1" x14ac:dyDescent="0.2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35" customHeight="1" x14ac:dyDescent="0.2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35" customHeight="1" x14ac:dyDescent="0.2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35" customHeight="1" x14ac:dyDescent="0.2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35" customHeight="1" x14ac:dyDescent="0.2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35" customHeight="1" x14ac:dyDescent="0.2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35" customHeight="1" x14ac:dyDescent="0.2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35" customHeight="1" x14ac:dyDescent="0.2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35" customHeight="1" x14ac:dyDescent="0.2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35" customHeight="1" x14ac:dyDescent="0.2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35" customHeight="1" x14ac:dyDescent="0.2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35" customHeight="1" x14ac:dyDescent="0.2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35" customHeight="1" x14ac:dyDescent="0.2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35" customHeight="1" x14ac:dyDescent="0.2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35" customHeight="1" x14ac:dyDescent="0.2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35" customHeight="1" x14ac:dyDescent="0.2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35" customHeight="1" x14ac:dyDescent="0.2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35" customHeight="1" x14ac:dyDescent="0.2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35" customHeight="1" x14ac:dyDescent="0.2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35" customHeight="1" x14ac:dyDescent="0.2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35" customHeight="1" x14ac:dyDescent="0.2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35" customHeight="1" x14ac:dyDescent="0.2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35" customHeight="1" x14ac:dyDescent="0.2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35" customHeight="1" x14ac:dyDescent="0.2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35" customHeight="1" x14ac:dyDescent="0.2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35" customHeight="1" x14ac:dyDescent="0.2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35" customHeight="1" x14ac:dyDescent="0.2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35" customHeight="1" x14ac:dyDescent="0.2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35" customHeight="1" x14ac:dyDescent="0.2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35" customHeight="1" x14ac:dyDescent="0.2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35" customHeight="1" x14ac:dyDescent="0.2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35" customHeight="1" x14ac:dyDescent="0.2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35" customHeight="1" x14ac:dyDescent="0.2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35" customHeight="1" x14ac:dyDescent="0.2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35" customHeight="1" x14ac:dyDescent="0.2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35" customHeight="1" x14ac:dyDescent="0.2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35" customHeight="1" x14ac:dyDescent="0.2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35" customHeight="1" x14ac:dyDescent="0.2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35" customHeight="1" x14ac:dyDescent="0.2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35" customHeight="1" x14ac:dyDescent="0.2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35" customHeight="1" x14ac:dyDescent="0.2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35" customHeight="1" x14ac:dyDescent="0.2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35" customHeight="1" x14ac:dyDescent="0.2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35" customHeight="1" x14ac:dyDescent="0.2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35" customHeight="1" x14ac:dyDescent="0.2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35" customHeight="1" x14ac:dyDescent="0.2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35" customHeight="1" x14ac:dyDescent="0.2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35" customHeight="1" x14ac:dyDescent="0.2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35" customHeight="1" x14ac:dyDescent="0.2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35" customHeight="1" x14ac:dyDescent="0.2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35" customHeight="1" x14ac:dyDescent="0.2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35" customHeight="1" x14ac:dyDescent="0.2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35" customHeight="1" x14ac:dyDescent="0.2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35" customHeight="1" x14ac:dyDescent="0.2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35" customHeight="1" x14ac:dyDescent="0.2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35" customHeight="1" x14ac:dyDescent="0.2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35" customHeight="1" x14ac:dyDescent="0.2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35" customHeight="1" x14ac:dyDescent="0.2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35" customHeight="1" x14ac:dyDescent="0.2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35" customHeight="1" x14ac:dyDescent="0.2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35" customHeight="1" x14ac:dyDescent="0.2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35" customHeight="1" x14ac:dyDescent="0.2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35" customHeight="1" x14ac:dyDescent="0.2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35" customHeight="1" x14ac:dyDescent="0.2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35" customHeight="1" x14ac:dyDescent="0.2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35" customHeight="1" x14ac:dyDescent="0.2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35" customHeight="1" x14ac:dyDescent="0.2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35" customHeight="1" x14ac:dyDescent="0.2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35" customHeight="1" x14ac:dyDescent="0.2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35" customHeight="1" x14ac:dyDescent="0.2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35" customHeight="1" x14ac:dyDescent="0.2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35" customHeight="1" x14ac:dyDescent="0.2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35" customHeight="1" x14ac:dyDescent="0.2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35" customHeight="1" x14ac:dyDescent="0.2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35" customHeight="1" x14ac:dyDescent="0.2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35" customHeight="1" x14ac:dyDescent="0.2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35" customHeight="1" x14ac:dyDescent="0.2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35" customHeight="1" x14ac:dyDescent="0.2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35" customHeight="1" x14ac:dyDescent="0.2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35" customHeight="1" x14ac:dyDescent="0.2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35" customHeight="1" x14ac:dyDescent="0.2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35" customHeight="1" x14ac:dyDescent="0.2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35" customHeight="1" x14ac:dyDescent="0.2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35" customHeight="1" x14ac:dyDescent="0.2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35" customHeight="1" x14ac:dyDescent="0.2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35" customHeight="1" x14ac:dyDescent="0.2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35" customHeight="1" x14ac:dyDescent="0.2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35" customHeight="1" x14ac:dyDescent="0.2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35" customHeight="1" x14ac:dyDescent="0.2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35" customHeight="1" x14ac:dyDescent="0.2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35" customHeight="1" x14ac:dyDescent="0.2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35" customHeight="1" x14ac:dyDescent="0.2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35" customHeight="1" x14ac:dyDescent="0.2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35" customHeight="1" x14ac:dyDescent="0.2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35" customHeight="1" x14ac:dyDescent="0.2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35" customHeight="1" x14ac:dyDescent="0.2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35" customHeight="1" x14ac:dyDescent="0.2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35" customHeight="1" x14ac:dyDescent="0.2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35" customHeight="1" x14ac:dyDescent="0.2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35" customHeight="1" x14ac:dyDescent="0.2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35" customHeight="1" x14ac:dyDescent="0.2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35" customHeight="1" x14ac:dyDescent="0.2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35" customHeight="1" x14ac:dyDescent="0.2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35" customHeight="1" x14ac:dyDescent="0.2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35" customHeight="1" x14ac:dyDescent="0.2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35" customHeight="1" x14ac:dyDescent="0.2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35" customHeight="1" x14ac:dyDescent="0.2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35" customHeight="1" x14ac:dyDescent="0.2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35" customHeight="1" x14ac:dyDescent="0.2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35" customHeight="1" x14ac:dyDescent="0.2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35" customHeight="1" x14ac:dyDescent="0.2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35" customHeight="1" x14ac:dyDescent="0.2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35" customHeight="1" x14ac:dyDescent="0.2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35" customHeight="1" x14ac:dyDescent="0.2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35" customHeight="1" x14ac:dyDescent="0.2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35" customHeight="1" x14ac:dyDescent="0.2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35" customHeight="1" x14ac:dyDescent="0.2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35" customHeight="1" x14ac:dyDescent="0.2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35" customHeight="1" x14ac:dyDescent="0.2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35" customHeight="1" x14ac:dyDescent="0.2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35" customHeight="1" x14ac:dyDescent="0.2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35" customHeight="1" x14ac:dyDescent="0.2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35" customHeight="1" x14ac:dyDescent="0.2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35" customHeight="1" x14ac:dyDescent="0.2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35" customHeight="1" x14ac:dyDescent="0.2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35" customHeight="1" x14ac:dyDescent="0.2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35" customHeight="1" x14ac:dyDescent="0.2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35" customHeight="1" x14ac:dyDescent="0.2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35" customHeight="1" x14ac:dyDescent="0.2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35" customHeight="1" x14ac:dyDescent="0.2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35" customHeight="1" x14ac:dyDescent="0.2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35" customHeight="1" x14ac:dyDescent="0.2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35" customHeight="1" x14ac:dyDescent="0.2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35" customHeight="1" x14ac:dyDescent="0.2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35" customHeight="1" x14ac:dyDescent="0.2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35" customHeight="1" x14ac:dyDescent="0.2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35" customHeight="1" x14ac:dyDescent="0.2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35" customHeight="1" x14ac:dyDescent="0.2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35" customHeight="1" x14ac:dyDescent="0.2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35" customHeight="1" x14ac:dyDescent="0.2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35" customHeight="1" x14ac:dyDescent="0.2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35" customHeight="1" x14ac:dyDescent="0.2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35" customHeight="1" x14ac:dyDescent="0.2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35" customHeight="1" x14ac:dyDescent="0.2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35" customHeight="1" x14ac:dyDescent="0.2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35" customHeight="1" x14ac:dyDescent="0.2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35" customHeight="1" x14ac:dyDescent="0.2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35" customHeight="1" x14ac:dyDescent="0.2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35" customHeight="1" x14ac:dyDescent="0.2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35" customHeight="1" x14ac:dyDescent="0.2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35" customHeight="1" x14ac:dyDescent="0.2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35" customHeight="1" x14ac:dyDescent="0.2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35" customHeight="1" x14ac:dyDescent="0.2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35" customHeight="1" x14ac:dyDescent="0.2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35" customHeight="1" x14ac:dyDescent="0.2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35" customHeight="1" x14ac:dyDescent="0.2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35" customHeight="1" x14ac:dyDescent="0.2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35" customHeight="1" x14ac:dyDescent="0.2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35" customHeight="1" x14ac:dyDescent="0.2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35" customHeight="1" x14ac:dyDescent="0.2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35" customHeight="1" x14ac:dyDescent="0.2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35" customHeight="1" x14ac:dyDescent="0.2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35" customHeight="1" x14ac:dyDescent="0.2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35" customHeight="1" x14ac:dyDescent="0.2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35" customHeight="1" x14ac:dyDescent="0.2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35" customHeight="1" x14ac:dyDescent="0.2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35" customHeight="1" x14ac:dyDescent="0.2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35" customHeight="1" x14ac:dyDescent="0.2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35" customHeight="1" x14ac:dyDescent="0.2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35" customHeight="1" x14ac:dyDescent="0.2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35" customHeight="1" x14ac:dyDescent="0.2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35" customHeight="1" x14ac:dyDescent="0.2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35" customHeight="1" x14ac:dyDescent="0.2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35" customHeight="1" x14ac:dyDescent="0.2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35" customHeight="1" x14ac:dyDescent="0.2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35" customHeight="1" x14ac:dyDescent="0.2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35" customHeight="1" x14ac:dyDescent="0.2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35" customHeight="1" x14ac:dyDescent="0.2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35" customHeight="1" x14ac:dyDescent="0.2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35" customHeight="1" x14ac:dyDescent="0.2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35" customHeight="1" x14ac:dyDescent="0.2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35" customHeight="1" x14ac:dyDescent="0.2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35" customHeight="1" x14ac:dyDescent="0.2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35" customHeight="1" x14ac:dyDescent="0.2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35" customHeight="1" x14ac:dyDescent="0.2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35" customHeight="1" x14ac:dyDescent="0.2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35" customHeight="1" x14ac:dyDescent="0.2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35" customHeight="1" x14ac:dyDescent="0.2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35" customHeight="1" x14ac:dyDescent="0.2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35" customHeight="1" x14ac:dyDescent="0.2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35" customHeight="1" x14ac:dyDescent="0.2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35" customHeight="1" x14ac:dyDescent="0.2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35" customHeight="1" x14ac:dyDescent="0.2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35" customHeight="1" x14ac:dyDescent="0.2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35" customHeight="1" x14ac:dyDescent="0.2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35" customHeight="1" x14ac:dyDescent="0.2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35" customHeight="1" x14ac:dyDescent="0.2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35" customHeight="1" x14ac:dyDescent="0.2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35" customHeight="1" x14ac:dyDescent="0.2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35" customHeight="1" x14ac:dyDescent="0.2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35" customHeight="1" x14ac:dyDescent="0.2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35" customHeight="1" x14ac:dyDescent="0.2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35" customHeight="1" x14ac:dyDescent="0.2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35" customHeight="1" x14ac:dyDescent="0.2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35" customHeight="1" x14ac:dyDescent="0.2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35" customHeight="1" x14ac:dyDescent="0.2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35" customHeight="1" x14ac:dyDescent="0.2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35" customHeight="1" x14ac:dyDescent="0.2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35" customHeight="1" x14ac:dyDescent="0.2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35" customHeight="1" x14ac:dyDescent="0.2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35" customHeight="1" x14ac:dyDescent="0.2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35" customHeight="1" x14ac:dyDescent="0.2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35" customHeight="1" x14ac:dyDescent="0.2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35" customHeight="1" x14ac:dyDescent="0.2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35" customHeight="1" x14ac:dyDescent="0.2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35" customHeight="1" x14ac:dyDescent="0.2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35" customHeight="1" x14ac:dyDescent="0.2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35" customHeight="1" x14ac:dyDescent="0.2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35" customHeight="1" x14ac:dyDescent="0.2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35" customHeight="1" x14ac:dyDescent="0.2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35" customHeight="1" x14ac:dyDescent="0.2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35" customHeight="1" x14ac:dyDescent="0.2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35" customHeight="1" x14ac:dyDescent="0.2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35" customHeight="1" x14ac:dyDescent="0.2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35" customHeight="1" x14ac:dyDescent="0.2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35" customHeight="1" x14ac:dyDescent="0.2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35" customHeight="1" x14ac:dyDescent="0.2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35" customHeight="1" x14ac:dyDescent="0.2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35" customHeight="1" x14ac:dyDescent="0.2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35" customHeight="1" x14ac:dyDescent="0.2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35" customHeight="1" x14ac:dyDescent="0.2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35" customHeight="1" x14ac:dyDescent="0.2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35" customHeight="1" x14ac:dyDescent="0.2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35" customHeight="1" x14ac:dyDescent="0.2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35" customHeight="1" x14ac:dyDescent="0.2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35" customHeight="1" x14ac:dyDescent="0.2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35" customHeight="1" x14ac:dyDescent="0.2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35" customHeight="1" x14ac:dyDescent="0.2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35" customHeight="1" x14ac:dyDescent="0.2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35" customHeight="1" x14ac:dyDescent="0.2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35" customHeight="1" x14ac:dyDescent="0.2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35" customHeight="1" x14ac:dyDescent="0.2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35" customHeight="1" x14ac:dyDescent="0.2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35" customHeight="1" x14ac:dyDescent="0.2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35" customHeight="1" x14ac:dyDescent="0.2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35" customHeight="1" x14ac:dyDescent="0.2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35" customHeight="1" x14ac:dyDescent="0.2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35" customHeight="1" x14ac:dyDescent="0.2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35" customHeight="1" x14ac:dyDescent="0.2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35" customHeight="1" x14ac:dyDescent="0.2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35" customHeight="1" x14ac:dyDescent="0.2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35" customHeight="1" x14ac:dyDescent="0.2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35" customHeight="1" x14ac:dyDescent="0.2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35" customHeight="1" x14ac:dyDescent="0.2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35" customHeight="1" x14ac:dyDescent="0.2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35" customHeight="1" x14ac:dyDescent="0.2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35" customHeight="1" x14ac:dyDescent="0.2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35" customHeight="1" x14ac:dyDescent="0.2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35" customHeight="1" x14ac:dyDescent="0.2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35" customHeight="1" x14ac:dyDescent="0.2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35" customHeight="1" x14ac:dyDescent="0.2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35" customHeight="1" x14ac:dyDescent="0.2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35" customHeight="1" x14ac:dyDescent="0.2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35" customHeight="1" x14ac:dyDescent="0.2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35" customHeight="1" x14ac:dyDescent="0.2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35" customHeight="1" x14ac:dyDescent="0.2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35" customHeight="1" x14ac:dyDescent="0.2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35" customHeight="1" x14ac:dyDescent="0.2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35" customHeight="1" x14ac:dyDescent="0.2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35" customHeight="1" x14ac:dyDescent="0.2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35" customHeight="1" x14ac:dyDescent="0.2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35" customHeight="1" x14ac:dyDescent="0.2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35" customHeight="1" x14ac:dyDescent="0.2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35" customHeight="1" x14ac:dyDescent="0.2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35" customHeight="1" x14ac:dyDescent="0.2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35" customHeight="1" x14ac:dyDescent="0.2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35" customHeight="1" x14ac:dyDescent="0.2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35" customHeight="1" x14ac:dyDescent="0.2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35" customHeight="1" x14ac:dyDescent="0.2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35" customHeight="1" x14ac:dyDescent="0.2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35" customHeight="1" x14ac:dyDescent="0.2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35" customHeight="1" x14ac:dyDescent="0.2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35" customHeight="1" x14ac:dyDescent="0.2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35" customHeight="1" x14ac:dyDescent="0.2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35" customHeight="1" x14ac:dyDescent="0.2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35" customHeight="1" x14ac:dyDescent="0.2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35" customHeight="1" x14ac:dyDescent="0.2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35" customHeight="1" x14ac:dyDescent="0.2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35" customHeight="1" x14ac:dyDescent="0.2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35" customHeight="1" x14ac:dyDescent="0.2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35" customHeight="1" x14ac:dyDescent="0.2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35" customHeight="1" x14ac:dyDescent="0.2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35" customHeight="1" x14ac:dyDescent="0.2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35" customHeight="1" x14ac:dyDescent="0.2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35" customHeight="1" x14ac:dyDescent="0.2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35" customHeight="1" x14ac:dyDescent="0.2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35" customHeight="1" x14ac:dyDescent="0.2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35" customHeight="1" x14ac:dyDescent="0.2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35" customHeight="1" x14ac:dyDescent="0.2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35" customHeight="1" x14ac:dyDescent="0.2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35" customHeight="1" x14ac:dyDescent="0.2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35" customHeight="1" x14ac:dyDescent="0.2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35" customHeight="1" x14ac:dyDescent="0.2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35" customHeight="1" x14ac:dyDescent="0.2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35" customHeight="1" x14ac:dyDescent="0.2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35" customHeight="1" x14ac:dyDescent="0.2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35" customHeight="1" x14ac:dyDescent="0.2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35" customHeight="1" x14ac:dyDescent="0.2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35" customHeight="1" x14ac:dyDescent="0.2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35" customHeight="1" x14ac:dyDescent="0.2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35" customHeight="1" x14ac:dyDescent="0.2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35" customHeight="1" x14ac:dyDescent="0.2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35" customHeight="1" x14ac:dyDescent="0.2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35" customHeight="1" x14ac:dyDescent="0.2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35" customHeight="1" x14ac:dyDescent="0.2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35" customHeight="1" x14ac:dyDescent="0.2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35" customHeight="1" x14ac:dyDescent="0.2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35" customHeight="1" x14ac:dyDescent="0.2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35" customHeight="1" x14ac:dyDescent="0.2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35" customHeight="1" x14ac:dyDescent="0.2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35" customHeight="1" x14ac:dyDescent="0.2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35" customHeight="1" x14ac:dyDescent="0.2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35" customHeight="1" x14ac:dyDescent="0.2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35" customHeight="1" x14ac:dyDescent="0.2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35" customHeight="1" x14ac:dyDescent="0.2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35" customHeight="1" x14ac:dyDescent="0.2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35" customHeight="1" x14ac:dyDescent="0.2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35" customHeight="1" x14ac:dyDescent="0.2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35" customHeight="1" x14ac:dyDescent="0.2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35" customHeight="1" x14ac:dyDescent="0.2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35" customHeight="1" x14ac:dyDescent="0.2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35" customHeight="1" x14ac:dyDescent="0.2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35" customHeight="1" x14ac:dyDescent="0.2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35" customHeight="1" x14ac:dyDescent="0.2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35" customHeight="1" x14ac:dyDescent="0.2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35" customHeight="1" x14ac:dyDescent="0.2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35" customHeight="1" x14ac:dyDescent="0.2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35" customHeight="1" x14ac:dyDescent="0.2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35" customHeight="1" x14ac:dyDescent="0.2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35" customHeight="1" x14ac:dyDescent="0.2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35" customHeight="1" x14ac:dyDescent="0.2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35" customHeight="1" x14ac:dyDescent="0.2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35" customHeight="1" x14ac:dyDescent="0.2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35" customHeight="1" x14ac:dyDescent="0.2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35" customHeight="1" x14ac:dyDescent="0.2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35" customHeight="1" x14ac:dyDescent="0.2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35" customHeight="1" x14ac:dyDescent="0.2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35" customHeight="1" x14ac:dyDescent="0.2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35" customHeight="1" x14ac:dyDescent="0.2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35" customHeight="1" x14ac:dyDescent="0.2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35" customHeight="1" x14ac:dyDescent="0.2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35" customHeight="1" x14ac:dyDescent="0.2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35" customHeight="1" x14ac:dyDescent="0.2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35" customHeight="1" x14ac:dyDescent="0.2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35" customHeight="1" x14ac:dyDescent="0.2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35" customHeight="1" x14ac:dyDescent="0.2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35" customHeight="1" x14ac:dyDescent="0.2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35" customHeight="1" x14ac:dyDescent="0.2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35" customHeight="1" x14ac:dyDescent="0.2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35" customHeight="1" x14ac:dyDescent="0.2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35" customHeight="1" x14ac:dyDescent="0.2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35" customHeight="1" x14ac:dyDescent="0.2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35" customHeight="1" x14ac:dyDescent="0.2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35" customHeight="1" x14ac:dyDescent="0.2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35" customHeight="1" x14ac:dyDescent="0.2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35" customHeight="1" x14ac:dyDescent="0.2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35" customHeight="1" x14ac:dyDescent="0.2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35" customHeight="1" x14ac:dyDescent="0.2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35" customHeight="1" x14ac:dyDescent="0.2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35" customHeight="1" x14ac:dyDescent="0.2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35" customHeight="1" x14ac:dyDescent="0.2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35" customHeight="1" x14ac:dyDescent="0.2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35" customHeight="1" x14ac:dyDescent="0.2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35" customHeight="1" x14ac:dyDescent="0.2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35" customHeight="1" x14ac:dyDescent="0.2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35" customHeight="1" x14ac:dyDescent="0.2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35" customHeight="1" x14ac:dyDescent="0.2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35" customHeight="1" x14ac:dyDescent="0.2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35" customHeight="1" x14ac:dyDescent="0.2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35" customHeight="1" x14ac:dyDescent="0.2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35" customHeight="1" x14ac:dyDescent="0.2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35" customHeight="1" x14ac:dyDescent="0.2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35" customHeight="1" x14ac:dyDescent="0.2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35" customHeight="1" x14ac:dyDescent="0.2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35" customHeight="1" x14ac:dyDescent="0.2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35" customHeight="1" x14ac:dyDescent="0.2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35" customHeight="1" x14ac:dyDescent="0.2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35" customHeight="1" x14ac:dyDescent="0.2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35" customHeight="1" x14ac:dyDescent="0.2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35" customHeight="1" x14ac:dyDescent="0.2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35" customHeight="1" x14ac:dyDescent="0.2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35" customHeight="1" x14ac:dyDescent="0.2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35" customHeight="1" x14ac:dyDescent="0.2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35" customHeight="1" x14ac:dyDescent="0.2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35" customHeight="1" x14ac:dyDescent="0.2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35" customHeight="1" x14ac:dyDescent="0.2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35" customHeight="1" x14ac:dyDescent="0.2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35" customHeight="1" x14ac:dyDescent="0.2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35" customHeight="1" x14ac:dyDescent="0.2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35" customHeight="1" x14ac:dyDescent="0.2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35" customHeight="1" x14ac:dyDescent="0.2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35" customHeight="1" x14ac:dyDescent="0.2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35" customHeight="1" x14ac:dyDescent="0.2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35" customHeight="1" x14ac:dyDescent="0.2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35" customHeight="1" x14ac:dyDescent="0.2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35" customHeight="1" x14ac:dyDescent="0.2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35" customHeight="1" x14ac:dyDescent="0.2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35" customHeight="1" x14ac:dyDescent="0.2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35" customHeight="1" x14ac:dyDescent="0.2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35" customHeight="1" x14ac:dyDescent="0.2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35" customHeight="1" x14ac:dyDescent="0.2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35" customHeight="1" x14ac:dyDescent="0.2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35" customHeight="1" x14ac:dyDescent="0.2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35" customHeight="1" x14ac:dyDescent="0.2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35" customHeight="1" x14ac:dyDescent="0.2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35" customHeight="1" x14ac:dyDescent="0.2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35" customHeight="1" x14ac:dyDescent="0.2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35" customHeight="1" x14ac:dyDescent="0.2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35" customHeight="1" x14ac:dyDescent="0.2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35" customHeight="1" x14ac:dyDescent="0.2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35" customHeight="1" x14ac:dyDescent="0.2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35" customHeight="1" x14ac:dyDescent="0.2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35" customHeight="1" x14ac:dyDescent="0.2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35" customHeight="1" x14ac:dyDescent="0.2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35" customHeight="1" x14ac:dyDescent="0.2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35" customHeight="1" x14ac:dyDescent="0.2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35" customHeight="1" x14ac:dyDescent="0.2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35" customHeight="1" x14ac:dyDescent="0.2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35" customHeight="1" x14ac:dyDescent="0.2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35" customHeight="1" x14ac:dyDescent="0.2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35" customHeight="1" x14ac:dyDescent="0.2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35" customHeight="1" x14ac:dyDescent="0.2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35" customHeight="1" x14ac:dyDescent="0.2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35" customHeight="1" x14ac:dyDescent="0.2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35" customHeight="1" x14ac:dyDescent="0.2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35" customHeight="1" x14ac:dyDescent="0.2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35" customHeight="1" x14ac:dyDescent="0.2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35" customHeight="1" x14ac:dyDescent="0.2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35" customHeight="1" x14ac:dyDescent="0.2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35" customHeight="1" x14ac:dyDescent="0.2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35" customHeight="1" x14ac:dyDescent="0.2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35" customHeight="1" x14ac:dyDescent="0.2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35" customHeight="1" x14ac:dyDescent="0.2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35" customHeight="1" x14ac:dyDescent="0.2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35" customHeight="1" x14ac:dyDescent="0.2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35" customHeight="1" x14ac:dyDescent="0.2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35" customHeight="1" x14ac:dyDescent="0.2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35" customHeight="1" x14ac:dyDescent="0.2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35" customHeight="1" x14ac:dyDescent="0.2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35" customHeight="1" x14ac:dyDescent="0.2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35" customHeight="1" x14ac:dyDescent="0.2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35" customHeight="1" x14ac:dyDescent="0.2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35" customHeight="1" x14ac:dyDescent="0.2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35" customHeight="1" x14ac:dyDescent="0.2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35" customHeight="1" x14ac:dyDescent="0.2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35" customHeight="1" x14ac:dyDescent="0.2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35" customHeight="1" x14ac:dyDescent="0.2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35" customHeight="1" x14ac:dyDescent="0.2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35" customHeight="1" x14ac:dyDescent="0.2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35" customHeight="1" x14ac:dyDescent="0.2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35" customHeight="1" x14ac:dyDescent="0.2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35" customHeight="1" x14ac:dyDescent="0.2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35" customHeight="1" x14ac:dyDescent="0.2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35" customHeight="1" x14ac:dyDescent="0.2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35" customHeight="1" x14ac:dyDescent="0.2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35" customHeight="1" x14ac:dyDescent="0.2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35" customHeight="1" x14ac:dyDescent="0.2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35" customHeight="1" x14ac:dyDescent="0.2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35" customHeight="1" x14ac:dyDescent="0.2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35" customHeight="1" x14ac:dyDescent="0.2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35" customHeight="1" x14ac:dyDescent="0.2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35" customHeight="1" x14ac:dyDescent="0.2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35" customHeight="1" x14ac:dyDescent="0.2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35" customHeight="1" x14ac:dyDescent="0.2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35" customHeight="1" x14ac:dyDescent="0.2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35" customHeight="1" x14ac:dyDescent="0.2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35" customHeight="1" x14ac:dyDescent="0.2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35" customHeight="1" x14ac:dyDescent="0.2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35" customHeight="1" x14ac:dyDescent="0.2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35" customHeight="1" x14ac:dyDescent="0.2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35" customHeight="1" x14ac:dyDescent="0.2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35" customHeight="1" x14ac:dyDescent="0.2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35" customHeight="1" x14ac:dyDescent="0.2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35" customHeight="1" x14ac:dyDescent="0.2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35" customHeight="1" x14ac:dyDescent="0.2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35" customHeight="1" x14ac:dyDescent="0.2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35" customHeight="1" x14ac:dyDescent="0.2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35" customHeight="1" x14ac:dyDescent="0.2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35" customHeight="1" x14ac:dyDescent="0.2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35" customHeight="1" x14ac:dyDescent="0.2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35" customHeight="1" x14ac:dyDescent="0.2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35" customHeight="1" x14ac:dyDescent="0.2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35" customHeight="1" x14ac:dyDescent="0.2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35" customHeight="1" x14ac:dyDescent="0.2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35" customHeight="1" x14ac:dyDescent="0.2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35" customHeight="1" x14ac:dyDescent="0.2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35" customHeight="1" x14ac:dyDescent="0.2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35" customHeight="1" x14ac:dyDescent="0.2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35" customHeight="1" x14ac:dyDescent="0.2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35" customHeight="1" x14ac:dyDescent="0.2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35" customHeight="1" x14ac:dyDescent="0.2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35" customHeight="1" x14ac:dyDescent="0.2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35" customHeight="1" x14ac:dyDescent="0.2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35" customHeight="1" x14ac:dyDescent="0.2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35" customHeight="1" x14ac:dyDescent="0.2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35" customHeight="1" x14ac:dyDescent="0.2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35" customHeight="1" x14ac:dyDescent="0.2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35" customHeight="1" x14ac:dyDescent="0.2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35" customHeight="1" x14ac:dyDescent="0.2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35" customHeight="1" x14ac:dyDescent="0.2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35" customHeight="1" x14ac:dyDescent="0.2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35" customHeight="1" x14ac:dyDescent="0.2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35" customHeight="1" x14ac:dyDescent="0.2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35" customHeight="1" x14ac:dyDescent="0.2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35" customHeight="1" x14ac:dyDescent="0.2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35" customHeight="1" x14ac:dyDescent="0.2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35" customHeight="1" x14ac:dyDescent="0.2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35" customHeight="1" x14ac:dyDescent="0.2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35" customHeight="1" x14ac:dyDescent="0.2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35" customHeight="1" x14ac:dyDescent="0.2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35" customHeight="1" x14ac:dyDescent="0.2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35" customHeight="1" x14ac:dyDescent="0.2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35" customHeight="1" x14ac:dyDescent="0.2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35" customHeight="1" x14ac:dyDescent="0.2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35" customHeight="1" x14ac:dyDescent="0.2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35" customHeight="1" x14ac:dyDescent="0.2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35" customHeight="1" x14ac:dyDescent="0.2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35" customHeight="1" x14ac:dyDescent="0.2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35" customHeight="1" x14ac:dyDescent="0.2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35" customHeight="1" x14ac:dyDescent="0.2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35" customHeight="1" x14ac:dyDescent="0.2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35" customHeight="1" x14ac:dyDescent="0.2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35" customHeight="1" x14ac:dyDescent="0.2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35" customHeight="1" x14ac:dyDescent="0.2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35" customHeight="1" x14ac:dyDescent="0.2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35" customHeight="1" x14ac:dyDescent="0.2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35" customHeight="1" x14ac:dyDescent="0.2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35" customHeight="1" x14ac:dyDescent="0.2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35" customHeight="1" x14ac:dyDescent="0.2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35" customHeight="1" x14ac:dyDescent="0.2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35" customHeight="1" x14ac:dyDescent="0.2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35" customHeight="1" x14ac:dyDescent="0.2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35" customHeight="1" x14ac:dyDescent="0.2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35" customHeight="1" x14ac:dyDescent="0.2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35" customHeight="1" x14ac:dyDescent="0.2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35" customHeight="1" x14ac:dyDescent="0.2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35" customHeight="1" x14ac:dyDescent="0.2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35" customHeight="1" x14ac:dyDescent="0.2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35" customHeight="1" x14ac:dyDescent="0.2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35" customHeight="1" x14ac:dyDescent="0.2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35" customHeight="1" x14ac:dyDescent="0.2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35" customHeight="1" x14ac:dyDescent="0.2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35" customHeight="1" x14ac:dyDescent="0.2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35" customHeight="1" x14ac:dyDescent="0.2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35" customHeight="1" x14ac:dyDescent="0.2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35" customHeight="1" x14ac:dyDescent="0.2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35" customHeight="1" x14ac:dyDescent="0.2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35" customHeight="1" x14ac:dyDescent="0.2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35" customHeight="1" x14ac:dyDescent="0.2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35" customHeight="1" x14ac:dyDescent="0.2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35" customHeight="1" x14ac:dyDescent="0.2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35" customHeight="1" x14ac:dyDescent="0.2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35" customHeight="1" x14ac:dyDescent="0.2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35" customHeight="1" x14ac:dyDescent="0.2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35" customHeight="1" x14ac:dyDescent="0.2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35" customHeight="1" x14ac:dyDescent="0.2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35" customHeight="1" x14ac:dyDescent="0.2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35" customHeight="1" x14ac:dyDescent="0.2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35" customHeight="1" x14ac:dyDescent="0.2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35" customHeight="1" x14ac:dyDescent="0.2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35" customHeight="1" x14ac:dyDescent="0.2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35" customHeight="1" x14ac:dyDescent="0.2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35" customHeight="1" x14ac:dyDescent="0.2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35" customHeight="1" x14ac:dyDescent="0.2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35" customHeight="1" x14ac:dyDescent="0.2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35" customHeight="1" x14ac:dyDescent="0.2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35" customHeight="1" x14ac:dyDescent="0.2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35" customHeight="1" x14ac:dyDescent="0.2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35" customHeight="1" x14ac:dyDescent="0.2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35" customHeight="1" x14ac:dyDescent="0.2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35" customHeight="1" x14ac:dyDescent="0.2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35" customHeight="1" x14ac:dyDescent="0.2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35" customHeight="1" x14ac:dyDescent="0.2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35" customHeight="1" x14ac:dyDescent="0.2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35" customHeight="1" x14ac:dyDescent="0.2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35" customHeight="1" x14ac:dyDescent="0.2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35" customHeight="1" x14ac:dyDescent="0.2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35" customHeight="1" x14ac:dyDescent="0.2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35" customHeight="1" x14ac:dyDescent="0.2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35" customHeight="1" x14ac:dyDescent="0.2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35" customHeight="1" x14ac:dyDescent="0.2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35" customHeight="1" x14ac:dyDescent="0.2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35" customHeight="1" x14ac:dyDescent="0.2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35" customHeight="1" x14ac:dyDescent="0.2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35" customHeight="1" x14ac:dyDescent="0.2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35" customHeight="1" x14ac:dyDescent="0.2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35" customHeight="1" x14ac:dyDescent="0.2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35" customHeight="1" x14ac:dyDescent="0.2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35" customHeight="1" x14ac:dyDescent="0.2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35" customHeight="1" x14ac:dyDescent="0.2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35" customHeight="1" x14ac:dyDescent="0.2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35" customHeight="1" x14ac:dyDescent="0.2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35" customHeight="1" x14ac:dyDescent="0.2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35" customHeight="1" x14ac:dyDescent="0.2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35" customHeight="1" x14ac:dyDescent="0.2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35" customHeight="1" x14ac:dyDescent="0.2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35" customHeight="1" x14ac:dyDescent="0.2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35" customHeight="1" x14ac:dyDescent="0.2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35" customHeight="1" x14ac:dyDescent="0.2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35" customHeight="1" x14ac:dyDescent="0.2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35" customHeight="1" x14ac:dyDescent="0.2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35" customHeight="1" x14ac:dyDescent="0.2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35" customHeight="1" x14ac:dyDescent="0.2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35" customHeight="1" x14ac:dyDescent="0.2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35" customHeight="1" x14ac:dyDescent="0.2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35" customHeight="1" x14ac:dyDescent="0.2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35" customHeight="1" x14ac:dyDescent="0.2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35" customHeight="1" x14ac:dyDescent="0.2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35" customHeight="1" x14ac:dyDescent="0.2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35" customHeight="1" x14ac:dyDescent="0.2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35" customHeight="1" x14ac:dyDescent="0.2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35" customHeight="1" x14ac:dyDescent="0.2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35" customHeight="1" x14ac:dyDescent="0.2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35" customHeight="1" x14ac:dyDescent="0.2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35" customHeight="1" x14ac:dyDescent="0.2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35" customHeight="1" x14ac:dyDescent="0.2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35" customHeight="1" x14ac:dyDescent="0.2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35" customHeight="1" x14ac:dyDescent="0.2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35" customHeight="1" x14ac:dyDescent="0.2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35" customHeight="1" x14ac:dyDescent="0.2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35" customHeight="1" x14ac:dyDescent="0.2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35" customHeight="1" x14ac:dyDescent="0.2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35" customHeight="1" x14ac:dyDescent="0.2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35" customHeight="1" x14ac:dyDescent="0.2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35" customHeight="1" x14ac:dyDescent="0.2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35" customHeight="1" x14ac:dyDescent="0.2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35" customHeight="1" x14ac:dyDescent="0.2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35" customHeight="1" x14ac:dyDescent="0.2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35" customHeight="1" x14ac:dyDescent="0.2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35" customHeight="1" x14ac:dyDescent="0.2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35" customHeight="1" x14ac:dyDescent="0.2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35" customHeight="1" x14ac:dyDescent="0.2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35" customHeight="1" x14ac:dyDescent="0.2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35" customHeight="1" x14ac:dyDescent="0.2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35" customHeight="1" x14ac:dyDescent="0.2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35" customHeight="1" x14ac:dyDescent="0.2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35" customHeight="1" x14ac:dyDescent="0.2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35" customHeight="1" x14ac:dyDescent="0.2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35" customHeight="1" x14ac:dyDescent="0.2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35" customHeight="1" x14ac:dyDescent="0.2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35" customHeight="1" x14ac:dyDescent="0.2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35" customHeight="1" x14ac:dyDescent="0.2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35" customHeight="1" x14ac:dyDescent="0.2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35" customHeight="1" x14ac:dyDescent="0.2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35" customHeight="1" x14ac:dyDescent="0.2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35" customHeight="1" x14ac:dyDescent="0.2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35" customHeight="1" x14ac:dyDescent="0.2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35" customHeight="1" x14ac:dyDescent="0.2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35" customHeight="1" x14ac:dyDescent="0.2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35" customHeight="1" x14ac:dyDescent="0.2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35" customHeight="1" x14ac:dyDescent="0.2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35" customHeight="1" x14ac:dyDescent="0.2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35" customHeight="1" x14ac:dyDescent="0.2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35" customHeight="1" x14ac:dyDescent="0.2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35" customHeight="1" x14ac:dyDescent="0.2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35" customHeight="1" x14ac:dyDescent="0.2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35" customHeight="1" x14ac:dyDescent="0.2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35" customHeight="1" x14ac:dyDescent="0.2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35" customHeight="1" x14ac:dyDescent="0.2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35" customHeight="1" x14ac:dyDescent="0.2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35" customHeight="1" x14ac:dyDescent="0.2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35" customHeight="1" x14ac:dyDescent="0.2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35" customHeight="1" x14ac:dyDescent="0.2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35" customHeight="1" x14ac:dyDescent="0.2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35" customHeight="1" x14ac:dyDescent="0.2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35" customHeight="1" x14ac:dyDescent="0.2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35" customHeight="1" x14ac:dyDescent="0.2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35" customHeight="1" x14ac:dyDescent="0.2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35" customHeight="1" x14ac:dyDescent="0.2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35" customHeight="1" x14ac:dyDescent="0.2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35" customHeight="1" x14ac:dyDescent="0.2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35" customHeight="1" x14ac:dyDescent="0.2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35" customHeight="1" x14ac:dyDescent="0.2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35" customHeight="1" x14ac:dyDescent="0.2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35" customHeight="1" x14ac:dyDescent="0.2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35" customHeight="1" x14ac:dyDescent="0.2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35" customHeight="1" x14ac:dyDescent="0.2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35" customHeight="1" x14ac:dyDescent="0.2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35" customHeight="1" x14ac:dyDescent="0.2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35" customHeight="1" x14ac:dyDescent="0.2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35" customHeight="1" x14ac:dyDescent="0.2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35" customHeight="1" x14ac:dyDescent="0.2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35" customHeight="1" x14ac:dyDescent="0.2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35" customHeight="1" x14ac:dyDescent="0.2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35" customHeight="1" x14ac:dyDescent="0.2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35" customHeight="1" x14ac:dyDescent="0.2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35" customHeight="1" x14ac:dyDescent="0.2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2026-08-10T14:57:46Z</dcterms:modified>
</cp:coreProperties>
</file>