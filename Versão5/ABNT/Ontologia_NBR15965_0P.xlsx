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DC97ED8-14A4-47E6-9C18-6FAE8715AB6A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8" l="1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W15" i="8" l="1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U32" i="8" l="1"/>
  <c r="T32" i="8"/>
  <c r="S32" i="8"/>
  <c r="O32" i="8"/>
  <c r="N32" i="8"/>
  <c r="M32" i="8"/>
  <c r="L32" i="8"/>
  <c r="U55" i="8"/>
  <c r="T55" i="8"/>
  <c r="S55" i="8"/>
  <c r="O55" i="8"/>
  <c r="N55" i="8"/>
  <c r="M55" i="8"/>
  <c r="L55" i="8"/>
  <c r="U59" i="8"/>
  <c r="T59" i="8"/>
  <c r="S59" i="8"/>
  <c r="O59" i="8"/>
  <c r="N59" i="8"/>
  <c r="M59" i="8"/>
  <c r="L59" i="8"/>
  <c r="U39" i="8"/>
  <c r="T39" i="8"/>
  <c r="S39" i="8"/>
  <c r="O39" i="8"/>
  <c r="N39" i="8"/>
  <c r="M39" i="8"/>
  <c r="L39" i="8"/>
  <c r="U62" i="8"/>
  <c r="T62" i="8"/>
  <c r="S62" i="8"/>
  <c r="O62" i="8"/>
  <c r="N62" i="8"/>
  <c r="M62" i="8"/>
  <c r="L62" i="8"/>
  <c r="U30" i="8"/>
  <c r="T30" i="8"/>
  <c r="S30" i="8"/>
  <c r="O30" i="8"/>
  <c r="N30" i="8"/>
  <c r="M30" i="8"/>
  <c r="L30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8" i="8"/>
  <c r="T38" i="8"/>
  <c r="S38" i="8"/>
  <c r="O38" i="8"/>
  <c r="N38" i="8"/>
  <c r="M38" i="8"/>
  <c r="L38" i="8"/>
  <c r="U37" i="8"/>
  <c r="T37" i="8"/>
  <c r="S37" i="8"/>
  <c r="O37" i="8"/>
  <c r="N37" i="8"/>
  <c r="M37" i="8"/>
  <c r="L37" i="8"/>
  <c r="U61" i="8"/>
  <c r="T61" i="8"/>
  <c r="S61" i="8"/>
  <c r="O61" i="8"/>
  <c r="N61" i="8"/>
  <c r="M61" i="8"/>
  <c r="L61" i="8"/>
  <c r="U60" i="8"/>
  <c r="T60" i="8"/>
  <c r="S60" i="8"/>
  <c r="O60" i="8"/>
  <c r="N60" i="8"/>
  <c r="M60" i="8"/>
  <c r="L60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4" i="8"/>
  <c r="T44" i="8"/>
  <c r="S44" i="8"/>
  <c r="O44" i="8"/>
  <c r="N44" i="8"/>
  <c r="M44" i="8"/>
  <c r="L44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36" i="8"/>
  <c r="T36" i="8"/>
  <c r="S36" i="8"/>
  <c r="O36" i="8"/>
  <c r="N36" i="8"/>
  <c r="M36" i="8"/>
  <c r="L36" i="8"/>
  <c r="U35" i="8"/>
  <c r="T35" i="8"/>
  <c r="S35" i="8"/>
  <c r="O35" i="8"/>
  <c r="N35" i="8"/>
  <c r="M35" i="8"/>
  <c r="L35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1" i="8"/>
  <c r="T31" i="8"/>
  <c r="S31" i="8"/>
  <c r="O31" i="8"/>
  <c r="N31" i="8"/>
  <c r="M31" i="8"/>
  <c r="L31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<sst xmlns="http://schemas.openxmlformats.org/spreadsheetml/2006/main" count="25417" uniqueCount="2703">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</sst>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5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46249.321978125001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3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3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2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2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2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2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2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2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2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2">
      <c r="A37" s="37" t="s">
        <v>2680</v>
      </c>
      <c r="B37" s="57" t="s">
        <v>2681</v>
      </c>
      <c r="C37" s="40" t="s">
        <v>2289</v>
      </c>
    </row>
    <row r="38" spans="1:3" customFormat="1" ht="10" customHeight="1" x14ac:dyDescent="0.3">
      <c r="A38" s="14" t="s">
        <v>2682</v>
      </c>
      <c r="B38" s="60" t="s">
        <v>2683</v>
      </c>
      <c r="C38" s="40" t="s">
        <v>2289</v>
      </c>
    </row>
    <row r="39" spans="1:3" s="62" customFormat="1" ht="9.65" customHeight="1" x14ac:dyDescent="0.2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2"/>
  <sheetViews>
    <sheetView tabSelected="1" zoomScale="205" zoomScaleNormal="205" workbookViewId="0">
      <pane ySplit="1" topLeftCell="A2" activePane="bottomLeft" state="frozen"/>
      <selection pane="bottomLeft"/>
    </sheetView>
  </sheetViews>
  <sheetFormatPr defaultRowHeight="6.75" customHeight="1" x14ac:dyDescent="0.3"/>
  <cols>
    <col min="1" max="1" width="1.8984375" bestFit="1" customWidth="1"/>
    <col min="2" max="2" width="5.5" bestFit="1" customWidth="1"/>
    <col min="3" max="3" width="6.09765625" bestFit="1" customWidth="1"/>
    <col min="4" max="4" width="8" bestFit="1" customWidth="1"/>
    <col min="5" max="5" width="9.59765625" bestFit="1" customWidth="1"/>
    <col min="6" max="6" width="16.5" bestFit="1" customWidth="1"/>
    <col min="7" max="11" width="8.3984375" bestFit="1" customWidth="1"/>
    <col min="12" max="12" width="6.5" bestFit="1" customWidth="1"/>
    <col min="13" max="13" width="8" bestFit="1" customWidth="1"/>
    <col min="14" max="14" width="9.59765625" bestFit="1" customWidth="1"/>
    <col min="15" max="15" width="16.5" bestFit="1" customWidth="1"/>
    <col min="16" max="16" width="62" bestFit="1" customWidth="1"/>
    <col min="17" max="17" width="64.69921875" bestFit="1" customWidth="1"/>
    <col min="18" max="18" width="4.796875" style="53" bestFit="1" customWidth="1"/>
    <col min="19" max="19" width="6.09765625" bestFit="1" customWidth="1"/>
    <col min="20" max="20" width="8" bestFit="1" customWidth="1"/>
    <col min="21" max="21" width="9.59765625" bestFit="1" customWidth="1"/>
    <col min="22" max="22" width="7.8984375" bestFit="1" customWidth="1"/>
    <col min="23" max="23" width="7.5" style="53" bestFit="1" customWidth="1"/>
    <col min="24" max="24" width="30.69921875" bestFit="1" customWidth="1"/>
    <col min="25" max="25" width="35.796875" bestFit="1" customWidth="1"/>
    <col min="26" max="26" width="15.09765625" bestFit="1" customWidth="1"/>
    <col min="27" max="27" width="56.8984375" bestFit="1" customWidth="1"/>
  </cols>
  <sheetData>
    <row r="1" spans="1:27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2275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4" t="s">
        <v>2253</v>
      </c>
      <c r="X1" s="19" t="s">
        <v>2282</v>
      </c>
      <c r="Y1" s="19" t="s">
        <v>2283</v>
      </c>
      <c r="Z1" s="19" t="s">
        <v>2254</v>
      </c>
      <c r="AA1" s="35" t="s">
        <v>2284</v>
      </c>
    </row>
    <row r="2" spans="1:27" ht="7.5" customHeight="1" x14ac:dyDescent="0.3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36" t="s">
        <v>2224</v>
      </c>
      <c r="S2" s="47" t="str">
        <f t="shared" ref="S2:U14" si="2">SUBSTITUTE(C2, "_", " ")</f>
        <v>Normativos</v>
      </c>
      <c r="T2" s="47" t="str">
        <f t="shared" si="2"/>
        <v>ABNT</v>
      </c>
      <c r="U2" s="46" t="str">
        <f t="shared" si="2"/>
        <v>NBR.Parte</v>
      </c>
      <c r="V2" s="36" t="s">
        <v>2690</v>
      </c>
      <c r="W2" s="52" t="str">
        <f t="shared" ref="W2:W14" si="3">CONCATENATE("Key-ABNT-",A2)</f>
        <v>Key-ABNT-2</v>
      </c>
      <c r="X2" s="36" t="s">
        <v>2698</v>
      </c>
      <c r="Y2" s="36" t="s">
        <v>2699</v>
      </c>
      <c r="Z2" s="36" t="s">
        <v>2304</v>
      </c>
      <c r="AA2" s="48" t="s">
        <v>2634</v>
      </c>
    </row>
    <row r="3" spans="1:27" ht="7.5" customHeight="1" x14ac:dyDescent="0.3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36" t="s">
        <v>2224</v>
      </c>
      <c r="S3" s="47" t="str">
        <f t="shared" si="2"/>
        <v>Normativos</v>
      </c>
      <c r="T3" s="47" t="str">
        <f t="shared" si="2"/>
        <v>ABNT</v>
      </c>
      <c r="U3" s="46" t="str">
        <f t="shared" si="2"/>
        <v>NBR.Parte</v>
      </c>
      <c r="V3" s="36" t="s">
        <v>2690</v>
      </c>
      <c r="W3" s="52" t="str">
        <f t="shared" si="3"/>
        <v>Key-ABNT-3</v>
      </c>
      <c r="X3" s="36" t="s">
        <v>2702</v>
      </c>
      <c r="Y3" s="36" t="s">
        <v>2700</v>
      </c>
      <c r="Z3" s="36" t="s">
        <v>2223</v>
      </c>
      <c r="AA3" s="48" t="s">
        <v>2635</v>
      </c>
    </row>
    <row r="4" spans="1:27" ht="7.5" customHeight="1" x14ac:dyDescent="0.3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36" t="s">
        <v>2224</v>
      </c>
      <c r="S4" s="47" t="str">
        <f t="shared" si="2"/>
        <v>Normativos</v>
      </c>
      <c r="T4" s="47" t="str">
        <f t="shared" si="2"/>
        <v>ABNT</v>
      </c>
      <c r="U4" s="46" t="str">
        <f t="shared" si="2"/>
        <v>NBR.Parte</v>
      </c>
      <c r="V4" s="36" t="s">
        <v>2690</v>
      </c>
      <c r="W4" s="52" t="str">
        <f t="shared" si="3"/>
        <v>Key-ABNT-4</v>
      </c>
      <c r="X4" s="36" t="s">
        <v>2691</v>
      </c>
      <c r="Y4" s="36" t="s">
        <v>2692</v>
      </c>
      <c r="Z4" s="36" t="s">
        <v>2303</v>
      </c>
      <c r="AA4" s="48" t="s">
        <v>2636</v>
      </c>
    </row>
    <row r="5" spans="1:27" ht="7.5" customHeight="1" x14ac:dyDescent="0.3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36" t="s">
        <v>2224</v>
      </c>
      <c r="S5" s="47" t="str">
        <f t="shared" si="2"/>
        <v>Normativos</v>
      </c>
      <c r="T5" s="47" t="str">
        <f t="shared" si="2"/>
        <v>ABNT</v>
      </c>
      <c r="U5" s="46" t="str">
        <f t="shared" si="2"/>
        <v>NBR.Parte</v>
      </c>
      <c r="V5" s="36" t="s">
        <v>2690</v>
      </c>
      <c r="W5" s="52" t="str">
        <f t="shared" si="3"/>
        <v>Key-ABNT-5</v>
      </c>
      <c r="X5" s="36" t="s">
        <v>2693</v>
      </c>
      <c r="Y5" s="36" t="s">
        <v>2694</v>
      </c>
      <c r="Z5" s="36" t="s">
        <v>2305</v>
      </c>
      <c r="AA5" s="48" t="s">
        <v>2637</v>
      </c>
    </row>
    <row r="6" spans="1:27" ht="7.5" customHeight="1" x14ac:dyDescent="0.3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36" t="s">
        <v>2224</v>
      </c>
      <c r="S6" s="47" t="str">
        <f t="shared" si="2"/>
        <v>Normativos</v>
      </c>
      <c r="T6" s="47" t="str">
        <f t="shared" si="2"/>
        <v>ABNT</v>
      </c>
      <c r="U6" s="46" t="str">
        <f t="shared" si="2"/>
        <v>NBR.Parte</v>
      </c>
      <c r="V6" s="36" t="s">
        <v>2690</v>
      </c>
      <c r="W6" s="52" t="str">
        <f t="shared" si="3"/>
        <v>Key-ABNT-6</v>
      </c>
      <c r="X6" s="36" t="s">
        <v>2691</v>
      </c>
      <c r="Y6" s="36" t="s">
        <v>2692</v>
      </c>
      <c r="Z6" s="36" t="s">
        <v>2306</v>
      </c>
      <c r="AA6" s="48" t="s">
        <v>2638</v>
      </c>
    </row>
    <row r="7" spans="1:27" ht="7.5" customHeight="1" x14ac:dyDescent="0.3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36" t="s">
        <v>2224</v>
      </c>
      <c r="S7" s="47" t="str">
        <f t="shared" si="2"/>
        <v>Normativos</v>
      </c>
      <c r="T7" s="47" t="str">
        <f t="shared" si="2"/>
        <v>ABNT</v>
      </c>
      <c r="U7" s="46" t="str">
        <f t="shared" si="2"/>
        <v>NBR.Parte</v>
      </c>
      <c r="V7" s="36" t="s">
        <v>2690</v>
      </c>
      <c r="W7" s="52" t="str">
        <f t="shared" si="3"/>
        <v>Key-ABNT-7</v>
      </c>
      <c r="X7" s="36" t="s">
        <v>2691</v>
      </c>
      <c r="Y7" s="36" t="s">
        <v>2691</v>
      </c>
      <c r="Z7" s="36" t="s">
        <v>2307</v>
      </c>
      <c r="AA7" s="48" t="s">
        <v>2639</v>
      </c>
    </row>
    <row r="8" spans="1:27" ht="7.5" customHeight="1" x14ac:dyDescent="0.3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36" t="s">
        <v>2224</v>
      </c>
      <c r="S8" s="47" t="str">
        <f t="shared" si="2"/>
        <v>Normativos</v>
      </c>
      <c r="T8" s="47" t="str">
        <f t="shared" si="2"/>
        <v>ABNT</v>
      </c>
      <c r="U8" s="46" t="str">
        <f t="shared" si="2"/>
        <v>NBR.Parte</v>
      </c>
      <c r="V8" s="36" t="s">
        <v>2690</v>
      </c>
      <c r="W8" s="52" t="str">
        <f t="shared" si="3"/>
        <v>Key-ABNT-8</v>
      </c>
      <c r="X8" s="36" t="s">
        <v>2691</v>
      </c>
      <c r="Y8" s="36" t="s">
        <v>2691</v>
      </c>
      <c r="Z8" s="36" t="s">
        <v>2308</v>
      </c>
      <c r="AA8" s="48" t="s">
        <v>2640</v>
      </c>
    </row>
    <row r="9" spans="1:27" ht="7.5" customHeight="1" x14ac:dyDescent="0.3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36" t="s">
        <v>2224</v>
      </c>
      <c r="S9" s="47" t="str">
        <f t="shared" si="2"/>
        <v>Normativos</v>
      </c>
      <c r="T9" s="47" t="str">
        <f t="shared" si="2"/>
        <v>ABNT</v>
      </c>
      <c r="U9" s="46" t="str">
        <f t="shared" si="2"/>
        <v>NBR.Parte</v>
      </c>
      <c r="V9" s="36" t="s">
        <v>2690</v>
      </c>
      <c r="W9" s="52" t="str">
        <f t="shared" si="3"/>
        <v>Key-ABNT-9</v>
      </c>
      <c r="X9" s="36" t="s">
        <v>2691</v>
      </c>
      <c r="Y9" s="36" t="s">
        <v>2691</v>
      </c>
      <c r="Z9" s="36" t="s">
        <v>2309</v>
      </c>
      <c r="AA9" s="48" t="s">
        <v>2641</v>
      </c>
    </row>
    <row r="10" spans="1:27" ht="7.5" customHeight="1" x14ac:dyDescent="0.3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36" t="s">
        <v>2224</v>
      </c>
      <c r="S10" s="47" t="str">
        <f t="shared" si="2"/>
        <v>Normativos</v>
      </c>
      <c r="T10" s="47" t="str">
        <f t="shared" si="2"/>
        <v>ABNT</v>
      </c>
      <c r="U10" s="46" t="str">
        <f t="shared" si="2"/>
        <v>NBR.Parte</v>
      </c>
      <c r="V10" s="36" t="s">
        <v>2690</v>
      </c>
      <c r="W10" s="52" t="str">
        <f t="shared" si="3"/>
        <v>Key-ABNT-10</v>
      </c>
      <c r="X10" s="36" t="s">
        <v>2691</v>
      </c>
      <c r="Y10" s="36" t="s">
        <v>2691</v>
      </c>
      <c r="Z10" s="36" t="s">
        <v>2310</v>
      </c>
      <c r="AA10" s="48" t="s">
        <v>2642</v>
      </c>
    </row>
    <row r="11" spans="1:27" ht="7.5" customHeight="1" x14ac:dyDescent="0.3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36" t="s">
        <v>2224</v>
      </c>
      <c r="S11" s="47" t="str">
        <f t="shared" si="2"/>
        <v>Normativos</v>
      </c>
      <c r="T11" s="47" t="str">
        <f t="shared" si="2"/>
        <v>ABNT</v>
      </c>
      <c r="U11" s="46" t="str">
        <f t="shared" si="2"/>
        <v>NBR.Parte</v>
      </c>
      <c r="V11" s="36" t="s">
        <v>2690</v>
      </c>
      <c r="W11" s="52" t="str">
        <f t="shared" si="3"/>
        <v>Key-ABNT-11</v>
      </c>
      <c r="X11" s="36" t="s">
        <v>2691</v>
      </c>
      <c r="Y11" s="36" t="s">
        <v>2691</v>
      </c>
      <c r="Z11" s="36" t="s">
        <v>2311</v>
      </c>
      <c r="AA11" s="48" t="s">
        <v>2643</v>
      </c>
    </row>
    <row r="12" spans="1:27" ht="7.5" customHeight="1" x14ac:dyDescent="0.3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36" t="s">
        <v>2224</v>
      </c>
      <c r="S12" s="47" t="str">
        <f t="shared" si="2"/>
        <v>Normativos</v>
      </c>
      <c r="T12" s="47" t="str">
        <f t="shared" si="2"/>
        <v>ABNT</v>
      </c>
      <c r="U12" s="46" t="str">
        <f t="shared" si="2"/>
        <v>NBR.Parte</v>
      </c>
      <c r="V12" s="36" t="s">
        <v>2690</v>
      </c>
      <c r="W12" s="52" t="str">
        <f t="shared" si="3"/>
        <v>Key-ABNT-12</v>
      </c>
      <c r="X12" s="36" t="s">
        <v>2695</v>
      </c>
      <c r="Y12" s="36" t="s">
        <v>2701</v>
      </c>
      <c r="Z12" s="36" t="s">
        <v>2312</v>
      </c>
      <c r="AA12" s="48" t="s">
        <v>2644</v>
      </c>
    </row>
    <row r="13" spans="1:27" ht="7.5" customHeight="1" x14ac:dyDescent="0.3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36" t="s">
        <v>2224</v>
      </c>
      <c r="S13" s="47" t="str">
        <f t="shared" si="2"/>
        <v>Normativos</v>
      </c>
      <c r="T13" s="47" t="str">
        <f t="shared" si="2"/>
        <v>ABNT</v>
      </c>
      <c r="U13" s="46" t="str">
        <f t="shared" si="2"/>
        <v>NBR.Parte</v>
      </c>
      <c r="V13" s="36" t="s">
        <v>2690</v>
      </c>
      <c r="W13" s="52" t="str">
        <f t="shared" si="3"/>
        <v>Key-ABNT-13</v>
      </c>
      <c r="X13" s="36" t="s">
        <v>2695</v>
      </c>
      <c r="Y13" s="36" t="s">
        <v>2701</v>
      </c>
      <c r="Z13" s="36" t="s">
        <v>2313</v>
      </c>
      <c r="AA13" s="48" t="s">
        <v>2645</v>
      </c>
    </row>
    <row r="14" spans="1:27" ht="7.5" customHeight="1" x14ac:dyDescent="0.3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36" t="s">
        <v>2224</v>
      </c>
      <c r="S14" s="47" t="str">
        <f t="shared" si="2"/>
        <v>Normativos</v>
      </c>
      <c r="T14" s="47" t="str">
        <f t="shared" si="2"/>
        <v>ABNT</v>
      </c>
      <c r="U14" s="46" t="str">
        <f t="shared" si="2"/>
        <v>NBR.Parte</v>
      </c>
      <c r="V14" s="36" t="s">
        <v>2690</v>
      </c>
      <c r="W14" s="52" t="str">
        <f t="shared" si="3"/>
        <v>Key-ABNT-14</v>
      </c>
      <c r="X14" s="63" t="s">
        <v>2696</v>
      </c>
      <c r="Y14" s="64" t="s">
        <v>2697</v>
      </c>
      <c r="Z14" s="36" t="s">
        <v>2314</v>
      </c>
      <c r="AA14" s="48" t="s">
        <v>2646</v>
      </c>
    </row>
    <row r="15" spans="1:27" ht="7.5" customHeight="1" x14ac:dyDescent="0.3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36" t="s">
        <v>2224</v>
      </c>
      <c r="S15" s="47" t="str">
        <f t="shared" ref="S15:S61" si="8">SUBSTITUTE(C15, "_", " ")</f>
        <v>Normativos</v>
      </c>
      <c r="T15" s="47" t="str">
        <f t="shared" ref="T15:T61" si="9">SUBSTITUTE(D15, "_", " ")</f>
        <v>NBR.Temáticas</v>
      </c>
      <c r="U15" s="46" t="str">
        <f t="shared" ref="U15:U61" si="10">SUBSTITUTE(E15, "_", " ")</f>
        <v>NBR.Propriedades</v>
      </c>
      <c r="V15" s="36" t="s">
        <v>2690</v>
      </c>
      <c r="W15" s="52" t="str">
        <f t="shared" ref="W15:W61" si="11">CONCATENATE("Key-ABNT-",A15)</f>
        <v>Key-ABNT-15</v>
      </c>
      <c r="X15" s="36" t="s">
        <v>2702</v>
      </c>
      <c r="Y15" s="36" t="s">
        <v>2700</v>
      </c>
      <c r="Z15" s="36" t="s">
        <v>2479</v>
      </c>
      <c r="AA15" s="48" t="s">
        <v>2435</v>
      </c>
    </row>
    <row r="16" spans="1:27" ht="7.5" customHeight="1" x14ac:dyDescent="0.3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36" t="s">
        <v>2224</v>
      </c>
      <c r="S16" s="47" t="str">
        <f t="shared" si="8"/>
        <v>Normativos</v>
      </c>
      <c r="T16" s="47" t="str">
        <f t="shared" si="9"/>
        <v>NBR.Temáticas</v>
      </c>
      <c r="U16" s="46" t="str">
        <f t="shared" si="10"/>
        <v>NBR.Propriedades</v>
      </c>
      <c r="V16" s="36" t="s">
        <v>2690</v>
      </c>
      <c r="W16" s="52" t="str">
        <f t="shared" si="11"/>
        <v>Key-ABNT-16</v>
      </c>
      <c r="X16" s="36" t="s">
        <v>2702</v>
      </c>
      <c r="Y16" s="36" t="s">
        <v>2700</v>
      </c>
      <c r="Z16" s="36" t="s">
        <v>2511</v>
      </c>
      <c r="AA16" s="48" t="s">
        <v>2436</v>
      </c>
    </row>
    <row r="17" spans="1:27" ht="7.5" customHeight="1" x14ac:dyDescent="0.3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36" t="s">
        <v>2224</v>
      </c>
      <c r="S17" s="47" t="str">
        <f t="shared" si="8"/>
        <v>Normativos</v>
      </c>
      <c r="T17" s="47" t="str">
        <f t="shared" si="9"/>
        <v>NBR.Temáticas</v>
      </c>
      <c r="U17" s="46" t="str">
        <f t="shared" si="10"/>
        <v>NBR.Propriedades</v>
      </c>
      <c r="V17" s="36" t="s">
        <v>2690</v>
      </c>
      <c r="W17" s="52" t="str">
        <f t="shared" si="11"/>
        <v>Key-ABNT-17</v>
      </c>
      <c r="X17" s="36" t="s">
        <v>2702</v>
      </c>
      <c r="Y17" s="36" t="s">
        <v>2700</v>
      </c>
      <c r="Z17" s="36" t="s">
        <v>2488</v>
      </c>
      <c r="AA17" s="48" t="s">
        <v>2437</v>
      </c>
    </row>
    <row r="18" spans="1:27" ht="7.5" customHeight="1" x14ac:dyDescent="0.3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36" t="s">
        <v>2224</v>
      </c>
      <c r="S18" s="47" t="str">
        <f t="shared" si="8"/>
        <v>Normativos</v>
      </c>
      <c r="T18" s="47" t="str">
        <f t="shared" si="9"/>
        <v>NBR.Temáticas</v>
      </c>
      <c r="U18" s="46" t="str">
        <f t="shared" si="10"/>
        <v>NBR.Propriedades</v>
      </c>
      <c r="V18" s="36" t="s">
        <v>2690</v>
      </c>
      <c r="W18" s="52" t="str">
        <f t="shared" si="11"/>
        <v>Key-ABNT-18</v>
      </c>
      <c r="X18" s="36" t="s">
        <v>2702</v>
      </c>
      <c r="Y18" s="36" t="s">
        <v>2700</v>
      </c>
      <c r="Z18" s="36" t="s">
        <v>2514</v>
      </c>
      <c r="AA18" s="48" t="s">
        <v>2438</v>
      </c>
    </row>
    <row r="19" spans="1:27" ht="7.5" customHeight="1" x14ac:dyDescent="0.3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36" t="s">
        <v>2224</v>
      </c>
      <c r="S19" s="47" t="str">
        <f t="shared" si="8"/>
        <v>Normativos</v>
      </c>
      <c r="T19" s="47" t="str">
        <f t="shared" si="9"/>
        <v>NBR.Temáticas</v>
      </c>
      <c r="U19" s="46" t="str">
        <f t="shared" si="10"/>
        <v>NBR.Propriedades</v>
      </c>
      <c r="V19" s="36" t="s">
        <v>2690</v>
      </c>
      <c r="W19" s="52" t="str">
        <f t="shared" si="11"/>
        <v>Key-ABNT-19</v>
      </c>
      <c r="X19" s="36" t="s">
        <v>2702</v>
      </c>
      <c r="Y19" s="36" t="s">
        <v>2700</v>
      </c>
      <c r="Z19" s="36" t="s">
        <v>2487</v>
      </c>
      <c r="AA19" s="48" t="s">
        <v>2439</v>
      </c>
    </row>
    <row r="20" spans="1:27" ht="7.5" customHeight="1" x14ac:dyDescent="0.3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36" t="s">
        <v>2224</v>
      </c>
      <c r="S20" s="47" t="str">
        <f t="shared" si="8"/>
        <v>Normativos</v>
      </c>
      <c r="T20" s="47" t="str">
        <f t="shared" si="9"/>
        <v>NBR.Temáticas</v>
      </c>
      <c r="U20" s="46" t="str">
        <f t="shared" si="10"/>
        <v>NBR.Propriedades</v>
      </c>
      <c r="V20" s="36" t="s">
        <v>2690</v>
      </c>
      <c r="W20" s="52" t="str">
        <f t="shared" si="11"/>
        <v>Key-ABNT-20</v>
      </c>
      <c r="X20" s="36" t="s">
        <v>2702</v>
      </c>
      <c r="Y20" s="36" t="s">
        <v>2700</v>
      </c>
      <c r="Z20" s="36" t="s">
        <v>2516</v>
      </c>
      <c r="AA20" s="48" t="s">
        <v>2445</v>
      </c>
    </row>
    <row r="21" spans="1:27" ht="7.5" customHeight="1" x14ac:dyDescent="0.3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36" t="s">
        <v>2224</v>
      </c>
      <c r="S21" s="47" t="str">
        <f t="shared" si="8"/>
        <v>Normativos</v>
      </c>
      <c r="T21" s="47" t="str">
        <f t="shared" si="9"/>
        <v>NBR.Temáticas</v>
      </c>
      <c r="U21" s="46" t="str">
        <f t="shared" si="10"/>
        <v>NBR.Propriedades</v>
      </c>
      <c r="V21" s="36" t="s">
        <v>2690</v>
      </c>
      <c r="W21" s="52" t="str">
        <f t="shared" si="11"/>
        <v>Key-ABNT-21</v>
      </c>
      <c r="X21" s="36" t="s">
        <v>2702</v>
      </c>
      <c r="Y21" s="36" t="s">
        <v>2700</v>
      </c>
      <c r="Z21" s="36" t="s">
        <v>2478</v>
      </c>
      <c r="AA21" s="48" t="s">
        <v>2473</v>
      </c>
    </row>
    <row r="22" spans="1:27" ht="7.5" customHeight="1" x14ac:dyDescent="0.3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36" t="s">
        <v>2224</v>
      </c>
      <c r="S22" s="47" t="str">
        <f t="shared" si="8"/>
        <v>Normativos</v>
      </c>
      <c r="T22" s="47" t="str">
        <f t="shared" si="9"/>
        <v>NBR.Temáticas</v>
      </c>
      <c r="U22" s="46" t="str">
        <f t="shared" si="10"/>
        <v>NBR.Propriedades</v>
      </c>
      <c r="V22" s="36" t="s">
        <v>2690</v>
      </c>
      <c r="W22" s="52" t="str">
        <f t="shared" si="11"/>
        <v>Key-ABNT-22</v>
      </c>
      <c r="X22" s="36" t="s">
        <v>2702</v>
      </c>
      <c r="Y22" s="36" t="s">
        <v>2700</v>
      </c>
      <c r="Z22" s="36" t="s">
        <v>2484</v>
      </c>
      <c r="AA22" s="48" t="s">
        <v>2440</v>
      </c>
    </row>
    <row r="23" spans="1:27" ht="7.5" customHeight="1" x14ac:dyDescent="0.3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36" t="s">
        <v>2224</v>
      </c>
      <c r="S23" s="47" t="str">
        <f t="shared" si="8"/>
        <v>Normativos</v>
      </c>
      <c r="T23" s="47" t="str">
        <f t="shared" si="9"/>
        <v>NBR.Temáticas</v>
      </c>
      <c r="U23" s="46" t="str">
        <f t="shared" si="10"/>
        <v>NBR.Propriedades</v>
      </c>
      <c r="V23" s="36" t="s">
        <v>2690</v>
      </c>
      <c r="W23" s="52" t="str">
        <f t="shared" si="11"/>
        <v>Key-ABNT-23</v>
      </c>
      <c r="X23" s="36" t="s">
        <v>2702</v>
      </c>
      <c r="Y23" s="36" t="s">
        <v>2700</v>
      </c>
      <c r="Z23" s="36" t="s">
        <v>2486</v>
      </c>
      <c r="AA23" s="48" t="s">
        <v>2441</v>
      </c>
    </row>
    <row r="24" spans="1:27" ht="7.5" customHeight="1" x14ac:dyDescent="0.3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36" t="s">
        <v>2224</v>
      </c>
      <c r="S24" s="47" t="str">
        <f t="shared" si="8"/>
        <v>Normativos</v>
      </c>
      <c r="T24" s="47" t="str">
        <f t="shared" si="9"/>
        <v>NBR.Temáticas</v>
      </c>
      <c r="U24" s="46" t="str">
        <f t="shared" si="10"/>
        <v>NBR.Propriedades</v>
      </c>
      <c r="V24" s="36" t="s">
        <v>2690</v>
      </c>
      <c r="W24" s="52" t="str">
        <f t="shared" si="11"/>
        <v>Key-ABNT-24</v>
      </c>
      <c r="X24" s="36" t="s">
        <v>2702</v>
      </c>
      <c r="Y24" s="36" t="s">
        <v>2700</v>
      </c>
      <c r="Z24" s="36" t="s">
        <v>2475</v>
      </c>
      <c r="AA24" s="48" t="s">
        <v>2442</v>
      </c>
    </row>
    <row r="25" spans="1:27" ht="7.5" customHeight="1" x14ac:dyDescent="0.3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36" t="s">
        <v>2224</v>
      </c>
      <c r="S25" s="47" t="str">
        <f t="shared" si="8"/>
        <v>Normativos</v>
      </c>
      <c r="T25" s="47" t="str">
        <f t="shared" si="9"/>
        <v>NBR.Temáticas</v>
      </c>
      <c r="U25" s="46" t="str">
        <f t="shared" si="10"/>
        <v>NBR.Propriedades</v>
      </c>
      <c r="V25" s="36" t="s">
        <v>2690</v>
      </c>
      <c r="W25" s="52" t="str">
        <f t="shared" si="11"/>
        <v>Key-ABNT-25</v>
      </c>
      <c r="X25" s="36" t="s">
        <v>2702</v>
      </c>
      <c r="Y25" s="36" t="s">
        <v>2700</v>
      </c>
      <c r="Z25" s="36" t="s">
        <v>2512</v>
      </c>
      <c r="AA25" s="48" t="s">
        <v>2443</v>
      </c>
    </row>
    <row r="26" spans="1:27" ht="7.5" customHeight="1" x14ac:dyDescent="0.3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36" t="s">
        <v>2224</v>
      </c>
      <c r="S26" s="47" t="str">
        <f t="shared" si="8"/>
        <v>Normativos</v>
      </c>
      <c r="T26" s="47" t="str">
        <f t="shared" si="9"/>
        <v>NBR.Temáticas</v>
      </c>
      <c r="U26" s="46" t="str">
        <f t="shared" si="10"/>
        <v>NBR.Propriedades</v>
      </c>
      <c r="V26" s="36" t="s">
        <v>2690</v>
      </c>
      <c r="W26" s="52" t="str">
        <f t="shared" si="11"/>
        <v>Key-ABNT-26</v>
      </c>
      <c r="X26" s="36" t="s">
        <v>2702</v>
      </c>
      <c r="Y26" s="36" t="s">
        <v>2700</v>
      </c>
      <c r="Z26" s="36" t="s">
        <v>2515</v>
      </c>
      <c r="AA26" s="48" t="s">
        <v>2444</v>
      </c>
    </row>
    <row r="27" spans="1:27" ht="7.5" customHeight="1" x14ac:dyDescent="0.3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36" t="s">
        <v>2224</v>
      </c>
      <c r="S27" s="47" t="str">
        <f t="shared" si="8"/>
        <v>Normativos</v>
      </c>
      <c r="T27" s="47" t="str">
        <f t="shared" si="9"/>
        <v>NBR.Temáticas</v>
      </c>
      <c r="U27" s="46" t="str">
        <f t="shared" si="10"/>
        <v>NBR.Propriedades</v>
      </c>
      <c r="V27" s="36" t="s">
        <v>2690</v>
      </c>
      <c r="W27" s="52" t="str">
        <f t="shared" si="11"/>
        <v>Key-ABNT-27</v>
      </c>
      <c r="X27" s="36" t="s">
        <v>2702</v>
      </c>
      <c r="Y27" s="36" t="s">
        <v>2700</v>
      </c>
      <c r="Z27" s="36" t="s">
        <v>2517</v>
      </c>
      <c r="AA27" s="48" t="s">
        <v>2446</v>
      </c>
    </row>
    <row r="28" spans="1:27" ht="7.5" customHeight="1" x14ac:dyDescent="0.3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36" t="s">
        <v>2224</v>
      </c>
      <c r="S28" s="47" t="str">
        <f t="shared" si="8"/>
        <v>Normativos</v>
      </c>
      <c r="T28" s="47" t="str">
        <f t="shared" si="9"/>
        <v>NBR.Temáticas</v>
      </c>
      <c r="U28" s="46" t="str">
        <f t="shared" si="10"/>
        <v>NBR.Propriedades</v>
      </c>
      <c r="V28" s="36" t="s">
        <v>2690</v>
      </c>
      <c r="W28" s="52" t="str">
        <f t="shared" si="11"/>
        <v>Key-ABNT-28</v>
      </c>
      <c r="X28" s="36" t="s">
        <v>2702</v>
      </c>
      <c r="Y28" s="36" t="s">
        <v>2700</v>
      </c>
      <c r="Z28" s="36" t="s">
        <v>2476</v>
      </c>
      <c r="AA28" s="48" t="s">
        <v>2447</v>
      </c>
    </row>
    <row r="29" spans="1:27" ht="7.5" customHeight="1" x14ac:dyDescent="0.3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36" t="s">
        <v>2224</v>
      </c>
      <c r="S29" s="47" t="str">
        <f t="shared" si="8"/>
        <v>Normativos</v>
      </c>
      <c r="T29" s="47" t="str">
        <f t="shared" si="9"/>
        <v>NBR.Temáticas</v>
      </c>
      <c r="U29" s="46" t="str">
        <f t="shared" si="10"/>
        <v>NBR.Propriedades</v>
      </c>
      <c r="V29" s="36" t="s">
        <v>2690</v>
      </c>
      <c r="W29" s="52" t="str">
        <f t="shared" si="11"/>
        <v>Key-ABNT-29</v>
      </c>
      <c r="X29" s="36" t="s">
        <v>2702</v>
      </c>
      <c r="Y29" s="36" t="s">
        <v>2700</v>
      </c>
      <c r="Z29" s="36" t="s">
        <v>2480</v>
      </c>
      <c r="AA29" s="48" t="s">
        <v>2449</v>
      </c>
    </row>
    <row r="30" spans="1:27" ht="7.5" customHeight="1" x14ac:dyDescent="0.3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36" t="s">
        <v>2224</v>
      </c>
      <c r="S30" s="47" t="str">
        <f t="shared" ref="S30" si="16">SUBSTITUTE(C30, "_", " ")</f>
        <v>Normativos</v>
      </c>
      <c r="T30" s="47" t="str">
        <f t="shared" ref="T30" si="17">SUBSTITUTE(D30, "_", " ")</f>
        <v>NBR.Temáticas</v>
      </c>
      <c r="U30" s="46" t="str">
        <f t="shared" ref="U30" si="18">SUBSTITUTE(E30, "_", " ")</f>
        <v>NBR.Propriedades</v>
      </c>
      <c r="V30" s="36" t="s">
        <v>2690</v>
      </c>
      <c r="W30" s="52" t="str">
        <f t="shared" si="11"/>
        <v>Key-ABNT-30</v>
      </c>
      <c r="X30" s="36" t="s">
        <v>2702</v>
      </c>
      <c r="Y30" s="36" t="s">
        <v>2700</v>
      </c>
      <c r="Z30" s="36" t="s">
        <v>2521</v>
      </c>
      <c r="AA30" s="48" t="s">
        <v>2524</v>
      </c>
    </row>
    <row r="31" spans="1:27" ht="7.5" customHeight="1" x14ac:dyDescent="0.3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36" t="s">
        <v>2224</v>
      </c>
      <c r="S31" s="47" t="str">
        <f t="shared" si="8"/>
        <v>Normativos</v>
      </c>
      <c r="T31" s="47" t="str">
        <f t="shared" si="9"/>
        <v>NBR.Temáticas</v>
      </c>
      <c r="U31" s="46" t="str">
        <f t="shared" si="10"/>
        <v>NBR.Propriedades</v>
      </c>
      <c r="V31" s="36" t="s">
        <v>2690</v>
      </c>
      <c r="W31" s="52" t="str">
        <f t="shared" si="11"/>
        <v>Key-ABNT-31</v>
      </c>
      <c r="X31" s="36" t="s">
        <v>2702</v>
      </c>
      <c r="Y31" s="36" t="s">
        <v>2700</v>
      </c>
      <c r="Z31" s="36" t="s">
        <v>2490</v>
      </c>
      <c r="AA31" s="48" t="s">
        <v>2450</v>
      </c>
    </row>
    <row r="32" spans="1:27" ht="7.5" customHeight="1" x14ac:dyDescent="0.3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36" t="s">
        <v>2224</v>
      </c>
      <c r="S32" s="47" t="str">
        <f t="shared" ref="S32" si="23">SUBSTITUTE(C32, "_", " ")</f>
        <v>Normativos</v>
      </c>
      <c r="T32" s="47" t="str">
        <f t="shared" ref="T32" si="24">SUBSTITUTE(D32, "_", " ")</f>
        <v>NBR.Temáticas</v>
      </c>
      <c r="U32" s="46" t="str">
        <f t="shared" ref="U32" si="25">SUBSTITUTE(E32, "_", " ")</f>
        <v>NBR.Propriedades</v>
      </c>
      <c r="V32" s="36" t="s">
        <v>2690</v>
      </c>
      <c r="W32" s="52" t="str">
        <f t="shared" si="11"/>
        <v>Key-ABNT-32</v>
      </c>
      <c r="X32" s="36" t="s">
        <v>2702</v>
      </c>
      <c r="Y32" s="36" t="s">
        <v>2700</v>
      </c>
      <c r="Z32" s="36" t="s">
        <v>2547</v>
      </c>
      <c r="AA32" s="48" t="s">
        <v>2550</v>
      </c>
    </row>
    <row r="33" spans="1:27" ht="7.5" customHeight="1" x14ac:dyDescent="0.3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36" t="s">
        <v>2224</v>
      </c>
      <c r="S33" s="47" t="str">
        <f t="shared" si="8"/>
        <v>Normativos</v>
      </c>
      <c r="T33" s="47" t="str">
        <f t="shared" si="9"/>
        <v>NBR.Temáticas</v>
      </c>
      <c r="U33" s="46" t="str">
        <f t="shared" si="10"/>
        <v>NBR.Propriedades</v>
      </c>
      <c r="V33" s="36" t="s">
        <v>2690</v>
      </c>
      <c r="W33" s="52" t="str">
        <f t="shared" si="11"/>
        <v>Key-ABNT-33</v>
      </c>
      <c r="X33" s="36" t="s">
        <v>2702</v>
      </c>
      <c r="Y33" s="36" t="s">
        <v>2700</v>
      </c>
      <c r="Z33" s="36" t="s">
        <v>2491</v>
      </c>
      <c r="AA33" s="48" t="s">
        <v>2451</v>
      </c>
    </row>
    <row r="34" spans="1:27" ht="7.5" customHeight="1" x14ac:dyDescent="0.3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36" t="s">
        <v>2224</v>
      </c>
      <c r="S34" s="47" t="str">
        <f t="shared" si="8"/>
        <v>Normativos</v>
      </c>
      <c r="T34" s="47" t="str">
        <f t="shared" si="9"/>
        <v>NBR.Temáticas</v>
      </c>
      <c r="U34" s="46" t="str">
        <f t="shared" si="10"/>
        <v>NBR.Propriedades</v>
      </c>
      <c r="V34" s="36" t="s">
        <v>2690</v>
      </c>
      <c r="W34" s="52" t="str">
        <f t="shared" si="11"/>
        <v>Key-ABNT-34</v>
      </c>
      <c r="X34" s="36" t="s">
        <v>2702</v>
      </c>
      <c r="Y34" s="36" t="s">
        <v>2700</v>
      </c>
      <c r="Z34" s="36" t="s">
        <v>2530</v>
      </c>
      <c r="AA34" s="48" t="s">
        <v>2452</v>
      </c>
    </row>
    <row r="35" spans="1:27" ht="7.5" customHeight="1" x14ac:dyDescent="0.3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36" t="s">
        <v>2224</v>
      </c>
      <c r="S35" s="47" t="str">
        <f t="shared" si="8"/>
        <v>Normativos</v>
      </c>
      <c r="T35" s="47" t="str">
        <f t="shared" si="9"/>
        <v>NBR.Temáticas</v>
      </c>
      <c r="U35" s="46" t="str">
        <f t="shared" si="10"/>
        <v>NBR.Propriedades</v>
      </c>
      <c r="V35" s="36" t="s">
        <v>2690</v>
      </c>
      <c r="W35" s="52" t="str">
        <f t="shared" si="11"/>
        <v>Key-ABNT-35</v>
      </c>
      <c r="X35" s="36" t="s">
        <v>2702</v>
      </c>
      <c r="Y35" s="36" t="s">
        <v>2700</v>
      </c>
      <c r="Z35" s="36" t="s">
        <v>2518</v>
      </c>
      <c r="AA35" s="48" t="s">
        <v>2453</v>
      </c>
    </row>
    <row r="36" spans="1:27" ht="7.5" customHeight="1" x14ac:dyDescent="0.3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36" t="s">
        <v>2224</v>
      </c>
      <c r="S36" s="47" t="str">
        <f t="shared" si="8"/>
        <v>Normativos</v>
      </c>
      <c r="T36" s="47" t="str">
        <f t="shared" si="9"/>
        <v>NBR.Temáticas</v>
      </c>
      <c r="U36" s="46" t="str">
        <f t="shared" si="10"/>
        <v>NBR.Propriedades</v>
      </c>
      <c r="V36" s="36" t="s">
        <v>2690</v>
      </c>
      <c r="W36" s="52" t="str">
        <f t="shared" si="11"/>
        <v>Key-ABNT-36</v>
      </c>
      <c r="X36" s="36" t="s">
        <v>2702</v>
      </c>
      <c r="Y36" s="36" t="s">
        <v>2700</v>
      </c>
      <c r="Z36" s="36" t="s">
        <v>2519</v>
      </c>
      <c r="AA36" s="48" t="s">
        <v>2454</v>
      </c>
    </row>
    <row r="37" spans="1:27" ht="7.5" customHeight="1" x14ac:dyDescent="0.3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36" t="s">
        <v>2224</v>
      </c>
      <c r="S37" s="47" t="str">
        <f t="shared" si="8"/>
        <v>Normativos</v>
      </c>
      <c r="T37" s="47" t="str">
        <f t="shared" si="9"/>
        <v>NBR.Temáticas</v>
      </c>
      <c r="U37" s="46" t="str">
        <f t="shared" si="10"/>
        <v>NBR.Propriedades</v>
      </c>
      <c r="V37" s="36" t="s">
        <v>2690</v>
      </c>
      <c r="W37" s="52" t="str">
        <f t="shared" si="11"/>
        <v>Key-ABNT-37</v>
      </c>
      <c r="X37" s="36" t="s">
        <v>2702</v>
      </c>
      <c r="Y37" s="36" t="s">
        <v>2700</v>
      </c>
      <c r="Z37" s="36" t="s">
        <v>2483</v>
      </c>
      <c r="AA37" s="48" t="s">
        <v>2448</v>
      </c>
    </row>
    <row r="38" spans="1:27" ht="7.5" customHeight="1" x14ac:dyDescent="0.3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36" t="s">
        <v>2224</v>
      </c>
      <c r="S38" s="47" t="str">
        <f t="shared" si="8"/>
        <v>Normativos</v>
      </c>
      <c r="T38" s="47" t="str">
        <f t="shared" si="9"/>
        <v>NBR.Temáticas</v>
      </c>
      <c r="U38" s="46" t="str">
        <f t="shared" si="10"/>
        <v>NBR.Propriedades</v>
      </c>
      <c r="V38" s="36" t="s">
        <v>2690</v>
      </c>
      <c r="W38" s="52" t="str">
        <f t="shared" si="11"/>
        <v>Key-ABNT-38</v>
      </c>
      <c r="X38" s="36" t="s">
        <v>2702</v>
      </c>
      <c r="Y38" s="36" t="s">
        <v>2700</v>
      </c>
      <c r="Z38" s="36" t="s">
        <v>2498</v>
      </c>
      <c r="AA38" s="48" t="s">
        <v>2455</v>
      </c>
    </row>
    <row r="39" spans="1:27" ht="7.5" customHeight="1" x14ac:dyDescent="0.3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36" t="s">
        <v>2224</v>
      </c>
      <c r="S39" s="47" t="str">
        <f t="shared" ref="S39" si="30">SUBSTITUTE(C39, "_", " ")</f>
        <v>Normativos</v>
      </c>
      <c r="T39" s="47" t="str">
        <f t="shared" ref="T39" si="31">SUBSTITUTE(D39, "_", " ")</f>
        <v>NBR.Temáticas</v>
      </c>
      <c r="U39" s="46" t="str">
        <f t="shared" ref="U39" si="32">SUBSTITUTE(E39, "_", " ")</f>
        <v>NBR.Propriedades</v>
      </c>
      <c r="V39" s="36" t="s">
        <v>2690</v>
      </c>
      <c r="W39" s="52" t="str">
        <f t="shared" si="11"/>
        <v>Key-ABNT-39</v>
      </c>
      <c r="X39" s="36" t="s">
        <v>2702</v>
      </c>
      <c r="Y39" s="36" t="s">
        <v>2700</v>
      </c>
      <c r="Z39" s="36" t="s">
        <v>2525</v>
      </c>
      <c r="AA39" s="48" t="s">
        <v>2526</v>
      </c>
    </row>
    <row r="40" spans="1:27" ht="7.5" customHeight="1" x14ac:dyDescent="0.3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36" t="s">
        <v>2224</v>
      </c>
      <c r="S40" s="47" t="str">
        <f t="shared" si="8"/>
        <v>Normativos</v>
      </c>
      <c r="T40" s="47" t="str">
        <f t="shared" si="9"/>
        <v>NBR.Temáticas</v>
      </c>
      <c r="U40" s="46" t="str">
        <f t="shared" si="10"/>
        <v>NBR.Propriedades</v>
      </c>
      <c r="V40" s="36" t="s">
        <v>2690</v>
      </c>
      <c r="W40" s="52" t="str">
        <f t="shared" si="11"/>
        <v>Key-ABNT-40</v>
      </c>
      <c r="X40" s="36" t="s">
        <v>2702</v>
      </c>
      <c r="Y40" s="36" t="s">
        <v>2700</v>
      </c>
      <c r="Z40" s="36" t="s">
        <v>2499</v>
      </c>
      <c r="AA40" s="48" t="s">
        <v>2504</v>
      </c>
    </row>
    <row r="41" spans="1:27" ht="7.5" customHeight="1" x14ac:dyDescent="0.3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36" t="s">
        <v>2224</v>
      </c>
      <c r="S41" s="47" t="str">
        <f t="shared" si="8"/>
        <v>Normativos</v>
      </c>
      <c r="T41" s="47" t="str">
        <f t="shared" si="9"/>
        <v>NBR.Temáticas</v>
      </c>
      <c r="U41" s="46" t="str">
        <f t="shared" si="10"/>
        <v>NBR.Propriedades</v>
      </c>
      <c r="V41" s="36" t="s">
        <v>2690</v>
      </c>
      <c r="W41" s="52" t="str">
        <f t="shared" si="11"/>
        <v>Key-ABNT-41</v>
      </c>
      <c r="X41" s="36" t="s">
        <v>2702</v>
      </c>
      <c r="Y41" s="36" t="s">
        <v>2700</v>
      </c>
      <c r="Z41" s="36" t="s">
        <v>2500</v>
      </c>
      <c r="AA41" s="48" t="s">
        <v>2503</v>
      </c>
    </row>
    <row r="42" spans="1:27" ht="7.5" customHeight="1" x14ac:dyDescent="0.3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36" t="s">
        <v>2224</v>
      </c>
      <c r="S42" s="47" t="str">
        <f t="shared" si="8"/>
        <v>Normativos</v>
      </c>
      <c r="T42" s="47" t="str">
        <f t="shared" si="9"/>
        <v>NBR.Temáticas</v>
      </c>
      <c r="U42" s="46" t="str">
        <f t="shared" si="10"/>
        <v>NBR.Propriedades</v>
      </c>
      <c r="V42" s="36" t="s">
        <v>2690</v>
      </c>
      <c r="W42" s="52" t="str">
        <f t="shared" si="11"/>
        <v>Key-ABNT-42</v>
      </c>
      <c r="X42" s="36" t="s">
        <v>2702</v>
      </c>
      <c r="Y42" s="36" t="s">
        <v>2700</v>
      </c>
      <c r="Z42" s="36" t="s">
        <v>2501</v>
      </c>
      <c r="AA42" s="48" t="s">
        <v>2502</v>
      </c>
    </row>
    <row r="43" spans="1:27" ht="7.5" customHeight="1" x14ac:dyDescent="0.3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36" t="s">
        <v>2224</v>
      </c>
      <c r="S43" s="47" t="str">
        <f t="shared" si="8"/>
        <v>Normativos</v>
      </c>
      <c r="T43" s="47" t="str">
        <f t="shared" si="9"/>
        <v>NBR.Temáticas</v>
      </c>
      <c r="U43" s="46" t="str">
        <f t="shared" si="10"/>
        <v>NBR.Propriedades</v>
      </c>
      <c r="V43" s="36" t="s">
        <v>2690</v>
      </c>
      <c r="W43" s="52" t="str">
        <f t="shared" si="11"/>
        <v>Key-ABNT-43</v>
      </c>
      <c r="X43" s="36" t="s">
        <v>2702</v>
      </c>
      <c r="Y43" s="36" t="s">
        <v>2700</v>
      </c>
      <c r="Z43" s="36" t="s">
        <v>2520</v>
      </c>
      <c r="AA43" s="48" t="s">
        <v>2456</v>
      </c>
    </row>
    <row r="44" spans="1:27" ht="7.5" customHeight="1" x14ac:dyDescent="0.3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36" t="s">
        <v>2224</v>
      </c>
      <c r="S44" s="47" t="str">
        <f t="shared" si="8"/>
        <v>Normativos</v>
      </c>
      <c r="T44" s="47" t="str">
        <f t="shared" si="9"/>
        <v>NBR.Temáticas</v>
      </c>
      <c r="U44" s="46" t="str">
        <f t="shared" si="10"/>
        <v>NBR.Propriedades</v>
      </c>
      <c r="V44" s="36" t="s">
        <v>2690</v>
      </c>
      <c r="W44" s="52" t="str">
        <f t="shared" si="11"/>
        <v>Key-ABNT-44</v>
      </c>
      <c r="X44" s="36" t="s">
        <v>2702</v>
      </c>
      <c r="Y44" s="36" t="s">
        <v>2700</v>
      </c>
      <c r="Z44" s="36" t="s">
        <v>2485</v>
      </c>
      <c r="AA44" s="48" t="s">
        <v>2457</v>
      </c>
    </row>
    <row r="45" spans="1:27" ht="7.5" customHeight="1" x14ac:dyDescent="0.3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36" t="s">
        <v>2224</v>
      </c>
      <c r="S45" s="47" t="str">
        <f t="shared" si="8"/>
        <v>Normativos</v>
      </c>
      <c r="T45" s="47" t="str">
        <f t="shared" si="9"/>
        <v>NBR.Temáticas</v>
      </c>
      <c r="U45" s="46" t="str">
        <f t="shared" si="10"/>
        <v>NBR.Propriedades</v>
      </c>
      <c r="V45" s="36" t="s">
        <v>2690</v>
      </c>
      <c r="W45" s="52" t="str">
        <f t="shared" si="11"/>
        <v>Key-ABNT-45</v>
      </c>
      <c r="X45" s="36" t="s">
        <v>2702</v>
      </c>
      <c r="Y45" s="36" t="s">
        <v>2700</v>
      </c>
      <c r="Z45" s="36" t="s">
        <v>2482</v>
      </c>
      <c r="AA45" s="48" t="s">
        <v>2458</v>
      </c>
    </row>
    <row r="46" spans="1:27" ht="7.5" customHeight="1" x14ac:dyDescent="0.3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36" t="s">
        <v>2224</v>
      </c>
      <c r="S46" s="47" t="str">
        <f t="shared" si="8"/>
        <v>Normativos</v>
      </c>
      <c r="T46" s="47" t="str">
        <f t="shared" si="9"/>
        <v>NBR.Temáticas</v>
      </c>
      <c r="U46" s="46" t="str">
        <f t="shared" si="10"/>
        <v>NBR.Propriedades</v>
      </c>
      <c r="V46" s="36" t="s">
        <v>2690</v>
      </c>
      <c r="W46" s="52" t="str">
        <f t="shared" si="11"/>
        <v>Key-ABNT-46</v>
      </c>
      <c r="X46" s="36" t="s">
        <v>2702</v>
      </c>
      <c r="Y46" s="36" t="s">
        <v>2700</v>
      </c>
      <c r="Z46" s="36" t="s">
        <v>2494</v>
      </c>
      <c r="AA46" s="48" t="s">
        <v>2459</v>
      </c>
    </row>
    <row r="47" spans="1:27" ht="7.5" customHeight="1" x14ac:dyDescent="0.3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36" t="s">
        <v>2224</v>
      </c>
      <c r="S47" s="47" t="str">
        <f t="shared" si="8"/>
        <v>Normativos</v>
      </c>
      <c r="T47" s="47" t="str">
        <f t="shared" si="9"/>
        <v>NBR.Temáticas</v>
      </c>
      <c r="U47" s="46" t="str">
        <f t="shared" si="10"/>
        <v>NBR.Propriedades</v>
      </c>
      <c r="V47" s="36" t="s">
        <v>2690</v>
      </c>
      <c r="W47" s="52" t="str">
        <f t="shared" si="11"/>
        <v>Key-ABNT-47</v>
      </c>
      <c r="X47" s="36" t="s">
        <v>2702</v>
      </c>
      <c r="Y47" s="36" t="s">
        <v>2700</v>
      </c>
      <c r="Z47" s="36" t="s">
        <v>2481</v>
      </c>
      <c r="AA47" s="48" t="s">
        <v>2464</v>
      </c>
    </row>
    <row r="48" spans="1:27" ht="7.5" customHeight="1" x14ac:dyDescent="0.3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36" t="s">
        <v>2224</v>
      </c>
      <c r="S48" s="47" t="str">
        <f t="shared" si="8"/>
        <v>Normativos</v>
      </c>
      <c r="T48" s="47" t="str">
        <f t="shared" si="9"/>
        <v>NBR.Temáticas</v>
      </c>
      <c r="U48" s="46" t="str">
        <f t="shared" si="10"/>
        <v>NBR.Propriedades</v>
      </c>
      <c r="V48" s="36" t="s">
        <v>2690</v>
      </c>
      <c r="W48" s="52" t="str">
        <f t="shared" si="11"/>
        <v>Key-ABNT-48</v>
      </c>
      <c r="X48" s="36" t="s">
        <v>2702</v>
      </c>
      <c r="Y48" s="36" t="s">
        <v>2700</v>
      </c>
      <c r="Z48" s="36" t="s">
        <v>2533</v>
      </c>
      <c r="AA48" s="48" t="s">
        <v>2551</v>
      </c>
    </row>
    <row r="49" spans="1:27" ht="7.5" customHeight="1" x14ac:dyDescent="0.3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36" t="s">
        <v>2224</v>
      </c>
      <c r="S49" s="47" t="str">
        <f t="shared" si="8"/>
        <v>Normativos</v>
      </c>
      <c r="T49" s="47" t="str">
        <f t="shared" si="9"/>
        <v>NBR.Temáticas</v>
      </c>
      <c r="U49" s="46" t="str">
        <f t="shared" si="10"/>
        <v>NBR.Propriedades</v>
      </c>
      <c r="V49" s="36" t="s">
        <v>2690</v>
      </c>
      <c r="W49" s="52" t="str">
        <f t="shared" si="11"/>
        <v>Key-ABNT-49</v>
      </c>
      <c r="X49" s="36" t="s">
        <v>2702</v>
      </c>
      <c r="Y49" s="36" t="s">
        <v>2700</v>
      </c>
      <c r="Z49" s="36" t="s">
        <v>2513</v>
      </c>
      <c r="AA49" s="48" t="s">
        <v>2465</v>
      </c>
    </row>
    <row r="50" spans="1:27" ht="7.5" customHeight="1" x14ac:dyDescent="0.3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36" t="s">
        <v>2224</v>
      </c>
      <c r="S50" s="47" t="str">
        <f t="shared" si="8"/>
        <v>Normativos</v>
      </c>
      <c r="T50" s="47" t="str">
        <f t="shared" si="9"/>
        <v>NBR.Temáticas</v>
      </c>
      <c r="U50" s="46" t="str">
        <f t="shared" si="10"/>
        <v>NBR.Propriedades</v>
      </c>
      <c r="V50" s="36" t="s">
        <v>2690</v>
      </c>
      <c r="W50" s="52" t="str">
        <f t="shared" si="11"/>
        <v>Key-ABNT-50</v>
      </c>
      <c r="X50" s="36" t="s">
        <v>2702</v>
      </c>
      <c r="Y50" s="36" t="s">
        <v>2700</v>
      </c>
      <c r="Z50" s="36" t="s">
        <v>2534</v>
      </c>
      <c r="AA50" s="48" t="s">
        <v>2466</v>
      </c>
    </row>
    <row r="51" spans="1:27" ht="7.5" customHeight="1" x14ac:dyDescent="0.3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36" t="s">
        <v>2224</v>
      </c>
      <c r="S51" s="47" t="str">
        <f t="shared" si="8"/>
        <v>Normativos</v>
      </c>
      <c r="T51" s="47" t="str">
        <f t="shared" si="9"/>
        <v>NBR.Temáticas</v>
      </c>
      <c r="U51" s="46" t="str">
        <f t="shared" si="10"/>
        <v>NBR.Propriedades</v>
      </c>
      <c r="V51" s="36" t="s">
        <v>2690</v>
      </c>
      <c r="W51" s="52" t="str">
        <f t="shared" si="11"/>
        <v>Key-ABNT-51</v>
      </c>
      <c r="X51" s="36" t="s">
        <v>2702</v>
      </c>
      <c r="Y51" s="36" t="s">
        <v>2700</v>
      </c>
      <c r="Z51" s="36" t="s">
        <v>2546</v>
      </c>
      <c r="AA51" s="48" t="s">
        <v>2467</v>
      </c>
    </row>
    <row r="52" spans="1:27" ht="7.5" customHeight="1" x14ac:dyDescent="0.3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36" t="s">
        <v>2224</v>
      </c>
      <c r="S52" s="47" t="str">
        <f t="shared" si="8"/>
        <v>Normativos</v>
      </c>
      <c r="T52" s="47" t="str">
        <f t="shared" si="9"/>
        <v>NBR.Temáticas</v>
      </c>
      <c r="U52" s="46" t="str">
        <f t="shared" si="10"/>
        <v>NBR.Propriedades</v>
      </c>
      <c r="V52" s="36" t="s">
        <v>2690</v>
      </c>
      <c r="W52" s="52" t="str">
        <f t="shared" si="11"/>
        <v>Key-ABNT-52</v>
      </c>
      <c r="X52" s="36" t="s">
        <v>2702</v>
      </c>
      <c r="Y52" s="36" t="s">
        <v>2700</v>
      </c>
      <c r="Z52" s="36" t="s">
        <v>2531</v>
      </c>
      <c r="AA52" s="48" t="s">
        <v>2552</v>
      </c>
    </row>
    <row r="53" spans="1:27" ht="7.5" customHeight="1" x14ac:dyDescent="0.3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36" t="s">
        <v>2224</v>
      </c>
      <c r="S53" s="47" t="str">
        <f t="shared" si="8"/>
        <v>Normativos</v>
      </c>
      <c r="T53" s="47" t="str">
        <f t="shared" si="9"/>
        <v>NBR.Temáticas</v>
      </c>
      <c r="U53" s="46" t="str">
        <f t="shared" si="10"/>
        <v>NBR.Propriedades</v>
      </c>
      <c r="V53" s="36" t="s">
        <v>2690</v>
      </c>
      <c r="W53" s="52" t="str">
        <f t="shared" si="11"/>
        <v>Key-ABNT-53</v>
      </c>
      <c r="X53" s="36" t="s">
        <v>2702</v>
      </c>
      <c r="Y53" s="36" t="s">
        <v>2700</v>
      </c>
      <c r="Z53" s="36" t="s">
        <v>2535</v>
      </c>
      <c r="AA53" s="48" t="s">
        <v>2555</v>
      </c>
    </row>
    <row r="54" spans="1:27" ht="7.5" customHeight="1" x14ac:dyDescent="0.3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36" t="s">
        <v>2224</v>
      </c>
      <c r="S54" s="47" t="str">
        <f t="shared" si="8"/>
        <v>Normativos</v>
      </c>
      <c r="T54" s="47" t="str">
        <f t="shared" si="9"/>
        <v>NBR.Temáticas</v>
      </c>
      <c r="U54" s="46" t="str">
        <f t="shared" si="10"/>
        <v>NBR.Propriedades</v>
      </c>
      <c r="V54" s="36" t="s">
        <v>2690</v>
      </c>
      <c r="W54" s="52" t="str">
        <f t="shared" si="11"/>
        <v>Key-ABNT-54</v>
      </c>
      <c r="X54" s="36" t="s">
        <v>2702</v>
      </c>
      <c r="Y54" s="36" t="s">
        <v>2700</v>
      </c>
      <c r="Z54" s="36" t="s">
        <v>2536</v>
      </c>
      <c r="AA54" s="48" t="s">
        <v>2553</v>
      </c>
    </row>
    <row r="55" spans="1:27" ht="7.5" customHeight="1" x14ac:dyDescent="0.3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36" t="s">
        <v>2224</v>
      </c>
      <c r="S55" s="47" t="str">
        <f t="shared" ref="S55" si="37">SUBSTITUTE(C55, "_", " ")</f>
        <v>Normativos</v>
      </c>
      <c r="T55" s="47" t="str">
        <f t="shared" ref="T55" si="38">SUBSTITUTE(D55, "_", " ")</f>
        <v>NBR.Temáticas</v>
      </c>
      <c r="U55" s="46" t="str">
        <f t="shared" ref="U55" si="39">SUBSTITUTE(E55, "_", " ")</f>
        <v>NBR.Propriedades</v>
      </c>
      <c r="V55" s="36" t="s">
        <v>2690</v>
      </c>
      <c r="W55" s="52" t="str">
        <f t="shared" si="11"/>
        <v>Key-ABNT-55</v>
      </c>
      <c r="X55" s="36" t="s">
        <v>2702</v>
      </c>
      <c r="Y55" s="36" t="s">
        <v>2700</v>
      </c>
      <c r="Z55" s="36" t="s">
        <v>2532</v>
      </c>
      <c r="AA55" s="48" t="s">
        <v>2554</v>
      </c>
    </row>
    <row r="56" spans="1:27" ht="7.5" customHeight="1" x14ac:dyDescent="0.3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36" t="s">
        <v>2224</v>
      </c>
      <c r="S56" s="47" t="str">
        <f t="shared" si="8"/>
        <v>Normativos</v>
      </c>
      <c r="T56" s="47" t="str">
        <f t="shared" si="9"/>
        <v>NBR.Temáticas</v>
      </c>
      <c r="U56" s="46" t="str">
        <f t="shared" si="10"/>
        <v>NBR.Propriedades</v>
      </c>
      <c r="V56" s="36" t="s">
        <v>2690</v>
      </c>
      <c r="W56" s="52" t="str">
        <f t="shared" si="11"/>
        <v>Key-ABNT-56</v>
      </c>
      <c r="X56" s="36" t="s">
        <v>2702</v>
      </c>
      <c r="Y56" s="36" t="s">
        <v>2700</v>
      </c>
      <c r="Z56" s="36" t="s">
        <v>2545</v>
      </c>
      <c r="AA56" s="48" t="s">
        <v>2556</v>
      </c>
    </row>
    <row r="57" spans="1:27" ht="7.5" customHeight="1" x14ac:dyDescent="0.3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36" t="s">
        <v>2224</v>
      </c>
      <c r="S57" s="47" t="str">
        <f t="shared" si="8"/>
        <v>Normativos</v>
      </c>
      <c r="T57" s="47" t="str">
        <f t="shared" si="9"/>
        <v>NBR.Temáticas</v>
      </c>
      <c r="U57" s="46" t="str">
        <f t="shared" si="10"/>
        <v>NBR.Propriedades</v>
      </c>
      <c r="V57" s="36" t="s">
        <v>2690</v>
      </c>
      <c r="W57" s="52" t="str">
        <f t="shared" si="11"/>
        <v>Key-ABNT-57</v>
      </c>
      <c r="X57" s="36" t="s">
        <v>2702</v>
      </c>
      <c r="Y57" s="36" t="s">
        <v>2700</v>
      </c>
      <c r="Z57" s="36" t="s">
        <v>2489</v>
      </c>
      <c r="AA57" s="48" t="s">
        <v>2460</v>
      </c>
    </row>
    <row r="58" spans="1:27" ht="7.5" customHeight="1" x14ac:dyDescent="0.3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36" t="s">
        <v>2224</v>
      </c>
      <c r="S58" s="47" t="str">
        <f t="shared" si="8"/>
        <v>Normativos</v>
      </c>
      <c r="T58" s="47" t="str">
        <f t="shared" si="9"/>
        <v>NBR.Temáticas</v>
      </c>
      <c r="U58" s="46" t="str">
        <f t="shared" si="10"/>
        <v>NBR.Propriedades</v>
      </c>
      <c r="V58" s="36" t="s">
        <v>2690</v>
      </c>
      <c r="W58" s="52" t="str">
        <f t="shared" si="11"/>
        <v>Key-ABNT-58</v>
      </c>
      <c r="X58" s="36" t="s">
        <v>2702</v>
      </c>
      <c r="Y58" s="36" t="s">
        <v>2700</v>
      </c>
      <c r="Z58" s="36" t="s">
        <v>2492</v>
      </c>
      <c r="AA58" s="48" t="s">
        <v>2461</v>
      </c>
    </row>
    <row r="59" spans="1:27" ht="7.5" customHeight="1" x14ac:dyDescent="0.3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36" t="s">
        <v>2224</v>
      </c>
      <c r="S59" s="47" t="str">
        <f t="shared" si="8"/>
        <v>Normativos</v>
      </c>
      <c r="T59" s="47" t="str">
        <f t="shared" si="9"/>
        <v>NBR.Temáticas</v>
      </c>
      <c r="U59" s="46" t="str">
        <f t="shared" si="10"/>
        <v>NBR.Propriedades</v>
      </c>
      <c r="V59" s="36" t="s">
        <v>2690</v>
      </c>
      <c r="W59" s="52" t="str">
        <f t="shared" si="11"/>
        <v>Key-ABNT-59</v>
      </c>
      <c r="X59" s="36" t="s">
        <v>2702</v>
      </c>
      <c r="Y59" s="36" t="s">
        <v>2700</v>
      </c>
      <c r="Z59" s="36" t="s">
        <v>2529</v>
      </c>
      <c r="AA59" s="48" t="s">
        <v>2540</v>
      </c>
    </row>
    <row r="60" spans="1:27" ht="7.5" customHeight="1" x14ac:dyDescent="0.3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36" t="s">
        <v>2224</v>
      </c>
      <c r="S60" s="47" t="str">
        <f t="shared" si="8"/>
        <v>Normativos</v>
      </c>
      <c r="T60" s="47" t="str">
        <f t="shared" si="9"/>
        <v>NBR.Temáticas</v>
      </c>
      <c r="U60" s="46" t="str">
        <f t="shared" si="10"/>
        <v>NBR.Propriedades</v>
      </c>
      <c r="V60" s="36" t="s">
        <v>2690</v>
      </c>
      <c r="W60" s="52" t="str">
        <f t="shared" si="11"/>
        <v>Key-ABNT-60</v>
      </c>
      <c r="X60" s="36" t="s">
        <v>2702</v>
      </c>
      <c r="Y60" s="36" t="s">
        <v>2700</v>
      </c>
      <c r="Z60" s="36" t="s">
        <v>2477</v>
      </c>
      <c r="AA60" s="48" t="s">
        <v>2541</v>
      </c>
    </row>
    <row r="61" spans="1:27" ht="7.5" customHeight="1" x14ac:dyDescent="0.3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36" t="s">
        <v>2224</v>
      </c>
      <c r="S61" s="47" t="str">
        <f t="shared" si="8"/>
        <v>Normativos</v>
      </c>
      <c r="T61" s="47" t="str">
        <f t="shared" si="9"/>
        <v>NBR.Temáticas</v>
      </c>
      <c r="U61" s="46" t="str">
        <f t="shared" si="10"/>
        <v>NBR.Propriedades</v>
      </c>
      <c r="V61" s="36" t="s">
        <v>2690</v>
      </c>
      <c r="W61" s="52" t="str">
        <f t="shared" si="11"/>
        <v>Key-ABNT-61</v>
      </c>
      <c r="X61" s="36" t="s">
        <v>2702</v>
      </c>
      <c r="Y61" s="36" t="s">
        <v>2700</v>
      </c>
      <c r="Z61" s="36" t="s">
        <v>2495</v>
      </c>
      <c r="AA61" s="48" t="s">
        <v>2462</v>
      </c>
    </row>
    <row r="62" spans="1:27" ht="7.5" customHeight="1" x14ac:dyDescent="0.3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36" t="s">
        <v>2224</v>
      </c>
      <c r="S62" s="47" t="str">
        <f t="shared" ref="S62" si="44">SUBSTITUTE(C62, "_", " ")</f>
        <v>Normativos</v>
      </c>
      <c r="T62" s="47" t="str">
        <f t="shared" ref="T62" si="45">SUBSTITUTE(D62, "_", " ")</f>
        <v>NBR.Temáticas</v>
      </c>
      <c r="U62" s="46" t="str">
        <f t="shared" ref="U62" si="46">SUBSTITUTE(E62, "_", " ")</f>
        <v>NBR.Propriedades</v>
      </c>
      <c r="V62" s="36" t="s">
        <v>2690</v>
      </c>
      <c r="W62" s="52" t="str">
        <f t="shared" ref="W62" si="47">CONCATENATE("Key-ABNT-",A62)</f>
        <v>Key-ABNT-62</v>
      </c>
      <c r="X62" s="36" t="s">
        <v>2702</v>
      </c>
      <c r="Y62" s="36" t="s">
        <v>2700</v>
      </c>
      <c r="Z62" s="36" t="s">
        <v>2493</v>
      </c>
      <c r="AA62" s="48" t="s">
        <v>2463</v>
      </c>
    </row>
  </sheetData>
  <conditionalFormatting sqref="F2:F14">
    <cfRule type="duplicateValues" dxfId="8" priority="4"/>
  </conditionalFormatting>
  <conditionalFormatting sqref="F15:F62">
    <cfRule type="duplicateValues" dxfId="7" priority="58"/>
  </conditionalFormatting>
  <conditionalFormatting sqref="F63:F1048576 F1">
    <cfRule type="duplicateValues" dxfId="6" priority="35"/>
  </conditionalFormatting>
  <conditionalFormatting sqref="X2:Y2">
    <cfRule type="cellIs" dxfId="5" priority="1" operator="equal">
      <formula>"null"</formula>
    </cfRule>
  </conditionalFormatting>
  <conditionalFormatting sqref="AA1:AA62 A2:B6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C8" sqref="C8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2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1.296875" style="41" bestFit="1" customWidth="1"/>
    <col min="20" max="20" width="5" style="41" bestFit="1" customWidth="1"/>
    <col min="21" max="21" width="5.69921875" style="41" bestFit="1" customWidth="1"/>
    <col min="22" max="22" width="5" style="41" bestFit="1" customWidth="1"/>
    <col min="23" max="23" width="5.69921875" style="41" bestFit="1" customWidth="1"/>
    <col min="24" max="16384" width="8.796875" style="41"/>
  </cols>
  <sheetData>
    <row r="1" spans="1:2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3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3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3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3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3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3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3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3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3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3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3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3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3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3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3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3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3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3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3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3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3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3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3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3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3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3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3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3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3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3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3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3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3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3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3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3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3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3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3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3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3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3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3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3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3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3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3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3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3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3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3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3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3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3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3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3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3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3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3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3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3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3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3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3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3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3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3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3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3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3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3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3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3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3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3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3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3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3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3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3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3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3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3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3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3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3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3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3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3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3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3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3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3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3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3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3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3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3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3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3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3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3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3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3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3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3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3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3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3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3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3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3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3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3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3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3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3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3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3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3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3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3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3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3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3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3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3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3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3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3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3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3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3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3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3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3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3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3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3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3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3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3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3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3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3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3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3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3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3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3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3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3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3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3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3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3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3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3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3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3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3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3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3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3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3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3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3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3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3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3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3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3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3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3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3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3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3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3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3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3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3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3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3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3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3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3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3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3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3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3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3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3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3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3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3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3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3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3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3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3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3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3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3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3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3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3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3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3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3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3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3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3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3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3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3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3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3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3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3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3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3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3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3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3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3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3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3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3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3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3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3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3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3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3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3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3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3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3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3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3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3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3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3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3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3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3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3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3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3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3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3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3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3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3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3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3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3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3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3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3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3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3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3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3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3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3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3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3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3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3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3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3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3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3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3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3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3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3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3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3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3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3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3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3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3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3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3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3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3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3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3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3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3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3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3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3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3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3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3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3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3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3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3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3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3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3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3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3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3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3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3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3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3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3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3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3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3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3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3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3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3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3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3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3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3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3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3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3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3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3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3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3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3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3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3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3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3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3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3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3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3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3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3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3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3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3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3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3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3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3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3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3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3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3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3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3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3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3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3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3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3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3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3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3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3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3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3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3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3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3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3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3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3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3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3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3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3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3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3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3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3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3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3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3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3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3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3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3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3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3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3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3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3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3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3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3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3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3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3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3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3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3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3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3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3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3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3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3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3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3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3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3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3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3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3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3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3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3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3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3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3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3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3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3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3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3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3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3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3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3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3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3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3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3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3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3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3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3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3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3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3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3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3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3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3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3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3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3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3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3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3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3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3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3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3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3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3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3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3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3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3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3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3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3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3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3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3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3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3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3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3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3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3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3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3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3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3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3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3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3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3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3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3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3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3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3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3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3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3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3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3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3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3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3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3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3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3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3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3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3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3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3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3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3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3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3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3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3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3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3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3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3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3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3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3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3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3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3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3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3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3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3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3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3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3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3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3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3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3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3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3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3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3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3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3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3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3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3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3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3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3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3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3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3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3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3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3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3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3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3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3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3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3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3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3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3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3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3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3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3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3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3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3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3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3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3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3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3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3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3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3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3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3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3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3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3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3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3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3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3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3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3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3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3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3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3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3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3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3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3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3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3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3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3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3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3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3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3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3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3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3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3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3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3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3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3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3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3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3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3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3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3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3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3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3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3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3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3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3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3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3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3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3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3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3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3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3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3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3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3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3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3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3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3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3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3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3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3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3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3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3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3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3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3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3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3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3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3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3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3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3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3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3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3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3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3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3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3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3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3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3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3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3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3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3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3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3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3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3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3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3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3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3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3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3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3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3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3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3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3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3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3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3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3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3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3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3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3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3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3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3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3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3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3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3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3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3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3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3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3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3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3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3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3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3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3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3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3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3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3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3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3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3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3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3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3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3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3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3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3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3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3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3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3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3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3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3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3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3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3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3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3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3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3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3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3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3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3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3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3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3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3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3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3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3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3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3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3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3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3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3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3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3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3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3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3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3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3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3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3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3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3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3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3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3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3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3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3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3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3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3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3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3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3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3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3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3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3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3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3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3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3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3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3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3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3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3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3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3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3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3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3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3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3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3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3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3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3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3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3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3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3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3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3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3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3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3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3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3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3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3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3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3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3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3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3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3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3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3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3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3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3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3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3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3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3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3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3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3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3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3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3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3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3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3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3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3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3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3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3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3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3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3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3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3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3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3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3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3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3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3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3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3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3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3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3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3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3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3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3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3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3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3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3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3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3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3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3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3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3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3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3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3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3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3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3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3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3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3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3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3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3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3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3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3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3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3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3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3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3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3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3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3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3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3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3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3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3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3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3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3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3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3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3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3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3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3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3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3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3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3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3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3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3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3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3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3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3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3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3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3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3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3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3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3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3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3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3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3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3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3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3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3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3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3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3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3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3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3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3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3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3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3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3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3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3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3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3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3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3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3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3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3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3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3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3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3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3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3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3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3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3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3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3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3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3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3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3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3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3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3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3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3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3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3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3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3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3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3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3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3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3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3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3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3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3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3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3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3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3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3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3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3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3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3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3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3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3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3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3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3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3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3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3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3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3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3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3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3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3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3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3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3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3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3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3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3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3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3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3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3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3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3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3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3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3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3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3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3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3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3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3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3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3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3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3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3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3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3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3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3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3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3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3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3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3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3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3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3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3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3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3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3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3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3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3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3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3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3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3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3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3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3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3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3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3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3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3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3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3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3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3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3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3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3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3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3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3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3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3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3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3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3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3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3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3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3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3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3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3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3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3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3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3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3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3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2026-08-15T10:43:51Z</dcterms:modified>
</cp:coreProperties>
</file>