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6CFDCAE-A563-4F93-8CB5-BE611474D9DA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L2" i="4" l="1"/>
  <c r="M2" i="4"/>
  <c r="N2" i="4"/>
  <c r="O2" i="4"/>
  <c r="S2" i="4"/>
  <c r="T2" i="4"/>
  <c r="U2" i="4"/>
  <c r="W2" i="4"/>
  <c r="L3" i="4"/>
  <c r="M3" i="4"/>
  <c r="N3" i="4"/>
  <c r="O3" i="4"/>
  <c r="S3" i="4"/>
  <c r="T3" i="4"/>
  <c r="U3" i="4"/>
  <c r="W3" i="4"/>
  <c r="L4" i="4"/>
  <c r="M4" i="4"/>
  <c r="N4" i="4"/>
  <c r="O4" i="4"/>
  <c r="S4" i="4"/>
  <c r="T4" i="4"/>
  <c r="U4" i="4"/>
  <c r="W4" i="4"/>
  <c r="L5" i="4"/>
  <c r="M5" i="4"/>
  <c r="N5" i="4"/>
  <c r="O5" i="4"/>
  <c r="S5" i="4"/>
  <c r="T5" i="4"/>
  <c r="U5" i="4"/>
  <c r="W5" i="4"/>
  <c r="L6" i="4"/>
  <c r="M6" i="4"/>
  <c r="N6" i="4"/>
  <c r="O6" i="4"/>
  <c r="S6" i="4"/>
  <c r="T6" i="4"/>
  <c r="U6" i="4"/>
  <c r="W6" i="4"/>
  <c r="L20" i="4"/>
  <c r="M20" i="4"/>
  <c r="N20" i="4"/>
  <c r="O20" i="4"/>
  <c r="S20" i="4"/>
  <c r="T20" i="4"/>
  <c r="U20" i="4"/>
  <c r="W20" i="4"/>
  <c r="L21" i="4"/>
  <c r="M21" i="4"/>
  <c r="N21" i="4"/>
  <c r="O21" i="4"/>
  <c r="S21" i="4"/>
  <c r="T21" i="4"/>
  <c r="U21" i="4"/>
  <c r="W21" i="4"/>
  <c r="L22" i="4"/>
  <c r="M22" i="4"/>
  <c r="N22" i="4"/>
  <c r="O22" i="4"/>
  <c r="S22" i="4"/>
  <c r="T22" i="4"/>
  <c r="U22" i="4"/>
  <c r="W22" i="4"/>
  <c r="L23" i="4"/>
  <c r="M23" i="4"/>
  <c r="N23" i="4"/>
  <c r="O23" i="4"/>
  <c r="S23" i="4"/>
  <c r="T23" i="4"/>
  <c r="U23" i="4"/>
  <c r="W23" i="4"/>
  <c r="L24" i="4"/>
  <c r="M24" i="4"/>
  <c r="N24" i="4"/>
  <c r="O24" i="4"/>
  <c r="S24" i="4"/>
  <c r="T24" i="4"/>
  <c r="U24" i="4"/>
  <c r="W24" i="4"/>
  <c r="L25" i="4"/>
  <c r="M25" i="4"/>
  <c r="N25" i="4"/>
  <c r="O25" i="4"/>
  <c r="S25" i="4"/>
  <c r="T25" i="4"/>
  <c r="U25" i="4"/>
  <c r="W25" i="4"/>
  <c r="L26" i="4"/>
  <c r="M26" i="4"/>
  <c r="N26" i="4"/>
  <c r="O26" i="4"/>
  <c r="S26" i="4"/>
  <c r="T26" i="4"/>
  <c r="U26" i="4"/>
  <c r="W26" i="4"/>
  <c r="L27" i="4"/>
  <c r="M27" i="4"/>
  <c r="N27" i="4"/>
  <c r="O27" i="4"/>
  <c r="S27" i="4"/>
  <c r="T27" i="4"/>
  <c r="U27" i="4"/>
  <c r="W27" i="4"/>
  <c r="L28" i="4"/>
  <c r="M28" i="4"/>
  <c r="N28" i="4"/>
  <c r="O28" i="4"/>
  <c r="S28" i="4"/>
  <c r="T28" i="4"/>
  <c r="U28" i="4"/>
  <c r="W28" i="4"/>
  <c r="L29" i="4"/>
  <c r="M29" i="4"/>
  <c r="N29" i="4"/>
  <c r="O29" i="4"/>
  <c r="S29" i="4"/>
  <c r="T29" i="4"/>
  <c r="U29" i="4"/>
  <c r="W29" i="4"/>
  <c r="L30" i="4"/>
  <c r="M30" i="4"/>
  <c r="N30" i="4"/>
  <c r="O30" i="4"/>
  <c r="S30" i="4"/>
  <c r="T30" i="4"/>
  <c r="U30" i="4"/>
  <c r="W30" i="4"/>
  <c r="L31" i="4"/>
  <c r="M31" i="4"/>
  <c r="N31" i="4"/>
  <c r="O31" i="4"/>
  <c r="S31" i="4"/>
  <c r="T31" i="4"/>
  <c r="U31" i="4"/>
  <c r="W31" i="4"/>
  <c r="L32" i="4"/>
  <c r="M32" i="4"/>
  <c r="N32" i="4"/>
  <c r="O32" i="4"/>
  <c r="S32" i="4"/>
  <c r="T32" i="4"/>
  <c r="U32" i="4"/>
  <c r="W32" i="4"/>
  <c r="AA2" i="4"/>
  <c r="AA21" i="4"/>
  <c r="AA25" i="4"/>
  <c r="AA29" i="4"/>
  <c r="AA3" i="4"/>
  <c r="Q20" i="4"/>
  <c r="Q24" i="4"/>
  <c r="Q28" i="4"/>
  <c r="Q32" i="4"/>
  <c r="AA30" i="4"/>
  <c r="AA4" i="4"/>
  <c r="AA22" i="4"/>
  <c r="AA26" i="4"/>
  <c r="Q22" i="4"/>
  <c r="AA5" i="4"/>
  <c r="Q21" i="4"/>
  <c r="Q25" i="4"/>
  <c r="Q29" i="4"/>
  <c r="AA6" i="4"/>
  <c r="AA23" i="4"/>
  <c r="AA27" i="4"/>
  <c r="AA31" i="4"/>
  <c r="AA20" i="4"/>
  <c r="AA24" i="4"/>
  <c r="AA28" i="4"/>
  <c r="AA32" i="4"/>
  <c r="Q26" i="4"/>
  <c r="Q30" i="4"/>
  <c r="Q23" i="4"/>
  <c r="Q27" i="4"/>
  <c r="Q31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<sst xmlns="http://schemas.openxmlformats.org/spreadsheetml/2006/main" count="4945" uniqueCount="603">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</sst>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DFB85275-A9BE-4413-B02C-324FD368C2A1}"/>
  </cellStyles>
  <dxfs count="7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Y178" headerRowCount="0" totalsRowShown="0" headerRowDxfId="73" headerRowBorderDxfId="72" tableBorderDxfId="71" totalsRowBorderDxfId="70">
  <tableColumns count="25">
    <tableColumn id="1" xr3:uid="{38E6FF5A-1C06-481D-80DD-C82C301F082C}" name="1" headerRowDxfId="69" dataDxfId="68"/>
    <tableColumn id="2" xr3:uid="{3C6C0505-1689-4EE8-8610-376BB44C09BD}" name="Indivíduo" headerRowDxfId="67" dataDxfId="66"/>
    <tableColumn id="3" xr3:uid="{9E4249DB-15E5-43EE-8981-0CA7D155306D}" name="Classe" headerRowDxfId="65" dataDxfId="64"/>
    <tableColumn id="5" xr3:uid="{06450E5A-D634-468E-85D8-BF532072F033}" name="Coluna2" headerRowDxfId="63" dataDxfId="62"/>
    <tableColumn id="4" xr3:uid="{63966EBE-3AE3-4FE5-824F-31F181792B00}" name="Coluna1" headerRowDxfId="61" dataDxfId="60"/>
    <tableColumn id="10" xr3:uid="{B010664B-8605-436F-83C5-07C587B7EBF3}" name="Coluna7" headerRowDxfId="59" dataDxfId="58"/>
    <tableColumn id="11" xr3:uid="{7FFA8EB1-276A-4285-9A7C-A1D18E3DFF8B}" name="Coluna8" headerRowDxfId="57" dataDxfId="56"/>
    <tableColumn id="9" xr3:uid="{22CBEBAF-AA10-4617-8459-F68D0C361483}" name="Coluna6" headerRowDxfId="55" dataDxfId="54"/>
    <tableColumn id="8" xr3:uid="{C9056F13-CAD6-42A0-92E3-CCACD5427101}" name="Coluna5" headerRowDxfId="53" dataDxfId="52"/>
    <tableColumn id="15" xr3:uid="{7FF1F7A2-1E10-4F02-A617-405FDDE9D634}" name="Coluna10" headerRowDxfId="51" dataDxfId="50"/>
    <tableColumn id="14" xr3:uid="{A626C0EC-68E3-4B2E-81D7-D867605763EF}" name="Coluna9" headerRowDxfId="49" dataDxfId="48"/>
    <tableColumn id="25" xr3:uid="{5A8640B3-3235-4227-88AE-24186B8A867F}" name="Coluna20" headerRowDxfId="47" dataDxfId="46"/>
    <tableColumn id="24" xr3:uid="{7AF5C8AB-6C75-4A72-A612-E8206E08AA62}" name="Coluna19" headerRowDxfId="45" dataDxfId="44"/>
    <tableColumn id="12" xr3:uid="{613D7E6F-53D4-4E84-9337-FF573DD02A33}" name="Fato (11)" headerRowDxfId="43" dataDxfId="42"/>
    <tableColumn id="13" xr3:uid="{127ED421-F6A7-4128-8AF7-D3B35A7BF083}" name="Valor8" headerRowDxfId="41" dataDxfId="40"/>
    <tableColumn id="6" xr3:uid="{83791CD9-A300-4592-BA84-F1311915870A}" name="Coluna3" headerRowDxfId="39" dataDxfId="38"/>
    <tableColumn id="7" xr3:uid="{64784F60-3C84-43BD-A67F-5F0E13177E97}" name="Coluna4" headerRowDxfId="37" dataDxfId="36"/>
    <tableColumn id="16" xr3:uid="{2A7F449A-8617-40F9-A53A-E7F41637FF07}" name="Coluna11" headerRowDxfId="35" dataDxfId="34"/>
    <tableColumn id="17" xr3:uid="{A00A6729-6CD7-45BE-8067-C5D950C77857}" name="Coluna12" headerRowDxfId="33" dataDxfId="32"/>
    <tableColumn id="18" xr3:uid="{38BA47F5-E3A4-4441-811E-FFCE4B66524C}" name="Coluna13" headerRowDxfId="31" dataDxfId="30"/>
    <tableColumn id="19" xr3:uid="{0CD1E3E2-D75C-43AA-B1D7-E6D47E1EA043}" name="Coluna14" headerRowDxfId="29" dataDxfId="28"/>
    <tableColumn id="20" xr3:uid="{C83E6FE7-67F0-4D92-A6EB-2812DDF0E157}" name="Coluna15" headerRowDxfId="27" dataDxfId="26"/>
    <tableColumn id="21" xr3:uid="{691E0314-9C84-4100-A3A1-CCB94C4947BD}" name="Coluna16" headerRowDxfId="25" dataDxfId="24"/>
    <tableColumn id="22" xr3:uid="{DFA507C2-123C-4A86-82E8-279077327DAF}" name="Coluna17" headerRowDxfId="23" dataDxfId="22"/>
    <tableColumn id="23" xr3:uid="{5B916111-DB54-428A-BA8B-06C1A28879DE}" name="Coluna18" headerRowDxfId="21" dataDxfId="2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26"/>
  <sheetViews>
    <sheetView zoomScale="190" zoomScaleNormal="190" workbookViewId="0">
      <selection activeCell="A22" sqref="A22"/>
    </sheetView>
  </sheetViews>
  <sheetFormatPr defaultRowHeight="8.6999999999999993" customHeight="1" x14ac:dyDescent="0.3"/>
  <cols>
    <col min="1" max="1" width="9.69921875" bestFit="1" customWidth="1"/>
    <col min="2" max="2" width="65.796875" bestFit="1" customWidth="1"/>
    <col min="3" max="3" width="4.5" bestFit="1" customWidth="1"/>
  </cols>
  <sheetData>
    <row r="1" spans="1:3" ht="20.25" customHeight="1" x14ac:dyDescent="0.3">
      <c r="A1" s="1" t="s">
        <v>4</v>
      </c>
      <c r="B1" s="1" t="s">
        <v>3</v>
      </c>
      <c r="C1" s="41" t="s">
        <v>446</v>
      </c>
    </row>
    <row r="2" spans="1:3" ht="7.4" customHeight="1" x14ac:dyDescent="0.3">
      <c r="A2" s="2" t="s">
        <v>182</v>
      </c>
      <c r="B2" s="2" t="s">
        <v>431</v>
      </c>
      <c r="C2" s="42" t="s">
        <v>447</v>
      </c>
    </row>
    <row r="3" spans="1:3" ht="7.4" customHeight="1" x14ac:dyDescent="0.3">
      <c r="A3" s="2" t="s">
        <v>183</v>
      </c>
      <c r="B3" s="2" t="s">
        <v>180</v>
      </c>
      <c r="C3" s="42" t="s">
        <v>447</v>
      </c>
    </row>
    <row r="4" spans="1:3" ht="7.4" customHeight="1" x14ac:dyDescent="0.3">
      <c r="A4" s="3" t="s">
        <v>5</v>
      </c>
      <c r="B4" s="3" t="s">
        <v>384</v>
      </c>
      <c r="C4" s="42" t="s">
        <v>447</v>
      </c>
    </row>
    <row r="5" spans="1:3" ht="7.4" customHeight="1" x14ac:dyDescent="0.3">
      <c r="A5" s="3" t="s">
        <v>6</v>
      </c>
      <c r="B5" s="3" t="str">
        <f>_xlfn.CONCAT(B4,"Prop")</f>
        <v>BIMProp</v>
      </c>
      <c r="C5" s="42" t="s">
        <v>447</v>
      </c>
    </row>
    <row r="6" spans="1:3" ht="7.4" customHeight="1" x14ac:dyDescent="0.3">
      <c r="A6" s="3" t="s">
        <v>7</v>
      </c>
      <c r="B6" s="3" t="str">
        <f>_xlfn.CONCAT(B4,"Data")</f>
        <v>BIMData</v>
      </c>
      <c r="C6" s="42" t="s">
        <v>447</v>
      </c>
    </row>
    <row r="7" spans="1:3" ht="7.4" customHeight="1" x14ac:dyDescent="0.3">
      <c r="A7" s="3" t="s">
        <v>8</v>
      </c>
      <c r="B7" s="3" t="s">
        <v>198</v>
      </c>
      <c r="C7" s="42" t="s">
        <v>447</v>
      </c>
    </row>
    <row r="8" spans="1:3" ht="7.4" customHeight="1" x14ac:dyDescent="0.3">
      <c r="A8" s="39" t="s">
        <v>9</v>
      </c>
      <c r="B8" s="39" t="s">
        <v>445</v>
      </c>
      <c r="C8" s="42" t="s">
        <v>447</v>
      </c>
    </row>
    <row r="9" spans="1:3" ht="7.4" customHeight="1" x14ac:dyDescent="0.3">
      <c r="A9" s="3" t="s">
        <v>184</v>
      </c>
      <c r="B9" s="3" t="s">
        <v>185</v>
      </c>
      <c r="C9" s="42" t="s">
        <v>447</v>
      </c>
    </row>
    <row r="10" spans="1:3" ht="7.4" customHeight="1" x14ac:dyDescent="0.3">
      <c r="A10" s="3" t="s">
        <v>186</v>
      </c>
      <c r="B10" s="3" t="s">
        <v>16</v>
      </c>
      <c r="C10" s="42" t="s">
        <v>447</v>
      </c>
    </row>
    <row r="11" spans="1:3" ht="7.4" customHeight="1" x14ac:dyDescent="0.3">
      <c r="A11" s="3" t="s">
        <v>187</v>
      </c>
      <c r="B11" s="3" t="s">
        <v>197</v>
      </c>
      <c r="C11" s="42" t="s">
        <v>447</v>
      </c>
    </row>
    <row r="12" spans="1:3" ht="7.4" customHeight="1" x14ac:dyDescent="0.3">
      <c r="A12" s="3" t="s">
        <v>10</v>
      </c>
      <c r="B12" s="3" t="s">
        <v>17</v>
      </c>
      <c r="C12" s="42" t="s">
        <v>447</v>
      </c>
    </row>
    <row r="13" spans="1:3" ht="7.4" customHeight="1" x14ac:dyDescent="0.3">
      <c r="A13" s="3" t="s">
        <v>188</v>
      </c>
      <c r="B13" s="3" t="s">
        <v>179</v>
      </c>
      <c r="C13" s="42" t="s">
        <v>447</v>
      </c>
    </row>
    <row r="14" spans="1:3" ht="7.4" customHeight="1" x14ac:dyDescent="0.3">
      <c r="A14" s="3" t="s">
        <v>189</v>
      </c>
      <c r="B14" s="3" t="s">
        <v>11</v>
      </c>
      <c r="C14" s="42" t="s">
        <v>447</v>
      </c>
    </row>
    <row r="15" spans="1:3" ht="7.4" customHeight="1" x14ac:dyDescent="0.3">
      <c r="A15" s="3" t="s">
        <v>190</v>
      </c>
      <c r="B15" s="3" t="s">
        <v>11</v>
      </c>
      <c r="C15" s="42" t="s">
        <v>447</v>
      </c>
    </row>
    <row r="16" spans="1:3" ht="7.4" customHeight="1" x14ac:dyDescent="0.3">
      <c r="A16" s="3" t="s">
        <v>191</v>
      </c>
      <c r="B16" s="3" t="s">
        <v>11</v>
      </c>
      <c r="C16" s="42" t="s">
        <v>447</v>
      </c>
    </row>
    <row r="17" spans="1:3" ht="7.4" customHeight="1" x14ac:dyDescent="0.3">
      <c r="A17" s="3" t="s">
        <v>12</v>
      </c>
      <c r="B17" s="3" t="s">
        <v>13</v>
      </c>
      <c r="C17" s="42" t="s">
        <v>447</v>
      </c>
    </row>
    <row r="18" spans="1:3" ht="7.4" customHeight="1" x14ac:dyDescent="0.3">
      <c r="A18" s="3" t="s">
        <v>192</v>
      </c>
      <c r="B18" s="4">
        <f ca="1">NOW()</f>
        <v>46232.780969097221</v>
      </c>
      <c r="C18" s="42" t="s">
        <v>447</v>
      </c>
    </row>
    <row r="19" spans="1:3" ht="7.4" customHeight="1" x14ac:dyDescent="0.3">
      <c r="A19" s="3" t="s">
        <v>455</v>
      </c>
      <c r="B19" s="4" t="s">
        <v>450</v>
      </c>
      <c r="C19" s="42" t="s">
        <v>447</v>
      </c>
    </row>
    <row r="20" spans="1:3" ht="7.4" customHeight="1" x14ac:dyDescent="0.3">
      <c r="A20" s="39" t="s">
        <v>451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448</v>
      </c>
    </row>
    <row r="21" spans="1:3" ht="7.4" customHeight="1" x14ac:dyDescent="0.3">
      <c r="A21" s="39" t="s">
        <v>456</v>
      </c>
      <c r="B21" s="4" t="str">
        <f>_xlfn.TRANSLATE(B20,"pt","en")</f>
        <v>The Standard was prepared by the Special Committee of Studies on Building Information Modeling (BIM) ABNT/CEE-134</v>
      </c>
      <c r="C21" s="42" t="s">
        <v>449</v>
      </c>
    </row>
    <row r="22" spans="1:3" ht="7.4" customHeight="1" x14ac:dyDescent="0.3">
      <c r="A22" s="3" t="s">
        <v>181</v>
      </c>
      <c r="B22" s="3" t="s">
        <v>11</v>
      </c>
      <c r="C22" s="42" t="s">
        <v>447</v>
      </c>
    </row>
    <row r="23" spans="1:3" ht="7.4" customHeight="1" x14ac:dyDescent="0.3">
      <c r="A23" s="3" t="s">
        <v>193</v>
      </c>
      <c r="B23" s="3" t="s">
        <v>11</v>
      </c>
      <c r="C23" s="42" t="s">
        <v>447</v>
      </c>
    </row>
    <row r="24" spans="1:3" ht="7.4" customHeight="1" x14ac:dyDescent="0.3">
      <c r="A24" s="3" t="s">
        <v>199</v>
      </c>
      <c r="B24" s="3" t="s">
        <v>200</v>
      </c>
      <c r="C24" s="42" t="s">
        <v>447</v>
      </c>
    </row>
    <row r="25" spans="1:3" ht="7.4" customHeight="1" x14ac:dyDescent="0.3">
      <c r="A25" s="3" t="s">
        <v>201</v>
      </c>
      <c r="B25" s="3" t="s">
        <v>202</v>
      </c>
      <c r="C25" s="42" t="s">
        <v>448</v>
      </c>
    </row>
    <row r="26" spans="1:3" ht="7.4" customHeight="1" x14ac:dyDescent="0.3">
      <c r="A26" s="39" t="s">
        <v>443</v>
      </c>
      <c r="B26" s="40" t="s">
        <v>444</v>
      </c>
      <c r="C26" s="42" t="s">
        <v>449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32"/>
  <sheetViews>
    <sheetView tabSelected="1" zoomScale="194" zoomScaleNormal="194" workbookViewId="0">
      <pane ySplit="1" topLeftCell="A4" activePane="bottomLeft" state="frozen"/>
      <selection pane="bottomLeft" activeCell="A7" sqref="A7:XFD19"/>
    </sheetView>
  </sheetViews>
  <sheetFormatPr defaultRowHeight="7.5" customHeight="1" x14ac:dyDescent="0.3"/>
  <cols>
    <col min="1" max="1" width="2.796875" bestFit="1" customWidth="1"/>
    <col min="2" max="2" width="6.796875" style="31" customWidth="1"/>
    <col min="3" max="3" width="7.69921875" style="31" bestFit="1" customWidth="1"/>
    <col min="4" max="4" width="9.69921875" style="31" bestFit="1" customWidth="1"/>
    <col min="5" max="5" width="11" style="31" bestFit="1" customWidth="1"/>
    <col min="6" max="6" width="15.296875" style="31" bestFit="1" customWidth="1"/>
    <col min="7" max="11" width="8.69921875" style="31" bestFit="1" customWidth="1"/>
    <col min="12" max="12" width="7.69921875" bestFit="1" customWidth="1"/>
    <col min="13" max="13" width="9.69921875" bestFit="1" customWidth="1"/>
    <col min="14" max="14" width="11" bestFit="1" customWidth="1"/>
    <col min="15" max="15" width="15.296875" bestFit="1" customWidth="1"/>
    <col min="16" max="16" width="75.796875" bestFit="1" customWidth="1"/>
    <col min="17" max="17" width="56.5" bestFit="1" customWidth="1"/>
    <col min="18" max="18" width="6" style="31" bestFit="1" customWidth="1"/>
    <col min="19" max="19" width="7.69921875" bestFit="1" customWidth="1"/>
    <col min="20" max="20" width="9.69921875" bestFit="1" customWidth="1"/>
    <col min="21" max="21" width="11" bestFit="1" customWidth="1"/>
    <col min="22" max="22" width="10" bestFit="1" customWidth="1"/>
    <col min="23" max="23" width="9.796875" style="31" bestFit="1" customWidth="1"/>
    <col min="24" max="24" width="9" bestFit="1" customWidth="1"/>
    <col min="25" max="25" width="8.5" bestFit="1" customWidth="1"/>
    <col min="26" max="26" width="9.19921875" bestFit="1" customWidth="1"/>
    <col min="27" max="27" width="79.296875" bestFit="1" customWidth="1"/>
  </cols>
  <sheetData>
    <row r="1" spans="1:27" ht="30.9" x14ac:dyDescent="0.3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0" t="s">
        <v>429</v>
      </c>
      <c r="S1" s="20" t="s">
        <v>402</v>
      </c>
      <c r="T1" s="20" t="s">
        <v>403</v>
      </c>
      <c r="U1" s="20" t="s">
        <v>404</v>
      </c>
      <c r="V1" s="20" t="s">
        <v>405</v>
      </c>
      <c r="W1" s="60" t="s">
        <v>406</v>
      </c>
      <c r="X1" s="20" t="s">
        <v>440</v>
      </c>
      <c r="Y1" s="20" t="s">
        <v>441</v>
      </c>
      <c r="Z1" s="20" t="s">
        <v>407</v>
      </c>
      <c r="AA1" s="37" t="s">
        <v>442</v>
      </c>
    </row>
    <row r="2" spans="1:27" s="31" customFormat="1" ht="7.5" customHeight="1" x14ac:dyDescent="0.3">
      <c r="A2" s="50">
        <v>2</v>
      </c>
      <c r="B2" s="54" t="s">
        <v>552</v>
      </c>
      <c r="C2" s="54" t="s">
        <v>471</v>
      </c>
      <c r="D2" s="54" t="s">
        <v>473</v>
      </c>
      <c r="E2" s="55" t="s">
        <v>553</v>
      </c>
      <c r="F2" s="55" t="s">
        <v>472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N17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38" t="s">
        <v>554</v>
      </c>
      <c r="Q2" s="38" t="s">
        <v>555</v>
      </c>
      <c r="R2" s="38" t="s">
        <v>196</v>
      </c>
      <c r="S2" s="38" t="str">
        <f t="shared" ref="S2:U6" si="2">SUBSTITUTE(C2, ".", " ")</f>
        <v>Gestão</v>
      </c>
      <c r="T2" s="38" t="str">
        <f t="shared" si="2"/>
        <v>Informação</v>
      </c>
      <c r="U2" s="38" t="str">
        <f t="shared" si="2"/>
        <v>Contêineres</v>
      </c>
      <c r="V2" s="38" t="s">
        <v>474</v>
      </c>
      <c r="W2" s="59" t="str">
        <f>CONCATENATE("Key-ABNT-",A2)</f>
        <v>Key-ABNT-2</v>
      </c>
      <c r="X2" s="38" t="s">
        <v>196</v>
      </c>
      <c r="Y2" s="38" t="s">
        <v>196</v>
      </c>
      <c r="Z2" s="38" t="s">
        <v>556</v>
      </c>
      <c r="AA2" s="38" t="str">
        <f t="shared" ref="AA2:AA6" si="3">_xlfn.TRANSLATE(P2,"pt","en")</f>
        <v>Defines an information container in accordance with the NBR 19650-1 standard. Project Definition.</v>
      </c>
    </row>
    <row r="3" spans="1:27" s="31" customFormat="1" ht="7.5" customHeight="1" x14ac:dyDescent="0.3">
      <c r="A3" s="50">
        <v>3</v>
      </c>
      <c r="B3" s="54" t="s">
        <v>552</v>
      </c>
      <c r="C3" s="54" t="s">
        <v>471</v>
      </c>
      <c r="D3" s="54" t="s">
        <v>473</v>
      </c>
      <c r="E3" s="55" t="s">
        <v>553</v>
      </c>
      <c r="F3" s="55" t="s">
        <v>475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38" t="s">
        <v>557</v>
      </c>
      <c r="Q3" s="38" t="s">
        <v>555</v>
      </c>
      <c r="R3" s="38" t="s">
        <v>196</v>
      </c>
      <c r="S3" s="38" t="str">
        <f t="shared" si="2"/>
        <v>Gestão</v>
      </c>
      <c r="T3" s="38" t="str">
        <f t="shared" si="2"/>
        <v>Informação</v>
      </c>
      <c r="U3" s="38" t="str">
        <f t="shared" si="2"/>
        <v>Contêineres</v>
      </c>
      <c r="V3" s="38" t="s">
        <v>474</v>
      </c>
      <c r="W3" s="59" t="str">
        <f t="shared" ref="W3:W32" si="4">CONCATENATE("Key-ABNT-",A3)</f>
        <v>Key-ABNT-3</v>
      </c>
      <c r="X3" s="38" t="s">
        <v>196</v>
      </c>
      <c r="Y3" s="38" t="s">
        <v>196</v>
      </c>
      <c r="Z3" s="38" t="s">
        <v>196</v>
      </c>
      <c r="AA3" s="38" t="str">
        <f t="shared" si="3"/>
        <v>Defines an information container in accordance with the NBR 19650-1 standard. Spatial Requirements for the Project.</v>
      </c>
    </row>
    <row r="4" spans="1:27" s="31" customFormat="1" ht="7.5" customHeight="1" x14ac:dyDescent="0.3">
      <c r="A4" s="50">
        <v>4</v>
      </c>
      <c r="B4" s="54" t="s">
        <v>552</v>
      </c>
      <c r="C4" s="54" t="s">
        <v>471</v>
      </c>
      <c r="D4" s="54" t="s">
        <v>473</v>
      </c>
      <c r="E4" s="55" t="s">
        <v>553</v>
      </c>
      <c r="F4" s="55" t="s">
        <v>476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38" t="s">
        <v>558</v>
      </c>
      <c r="Q4" s="38" t="s">
        <v>555</v>
      </c>
      <c r="R4" s="38" t="s">
        <v>196</v>
      </c>
      <c r="S4" s="38" t="str">
        <f t="shared" si="2"/>
        <v>Gestão</v>
      </c>
      <c r="T4" s="38" t="str">
        <f t="shared" si="2"/>
        <v>Informação</v>
      </c>
      <c r="U4" s="38" t="str">
        <f t="shared" si="2"/>
        <v>Contêineres</v>
      </c>
      <c r="V4" s="38" t="s">
        <v>474</v>
      </c>
      <c r="W4" s="59" t="str">
        <f t="shared" si="4"/>
        <v>Key-ABNT-4</v>
      </c>
      <c r="X4" s="38" t="s">
        <v>196</v>
      </c>
      <c r="Y4" s="38" t="s">
        <v>196</v>
      </c>
      <c r="Z4" s="38" t="s">
        <v>196</v>
      </c>
      <c r="AA4" s="38" t="str">
        <f t="shared" si="3"/>
        <v>Defines an information container in accordance with the NBR 19650-1 standard. Furniture Requirements for the Project.</v>
      </c>
    </row>
    <row r="5" spans="1:27" s="31" customFormat="1" ht="7.5" customHeight="1" x14ac:dyDescent="0.3">
      <c r="A5" s="50">
        <v>5</v>
      </c>
      <c r="B5" s="54" t="s">
        <v>552</v>
      </c>
      <c r="C5" s="54" t="s">
        <v>471</v>
      </c>
      <c r="D5" s="54" t="s">
        <v>473</v>
      </c>
      <c r="E5" s="55" t="s">
        <v>553</v>
      </c>
      <c r="F5" s="55" t="s">
        <v>477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38" t="s">
        <v>559</v>
      </c>
      <c r="Q5" s="38" t="s">
        <v>555</v>
      </c>
      <c r="R5" s="38" t="s">
        <v>196</v>
      </c>
      <c r="S5" s="38" t="str">
        <f t="shared" si="2"/>
        <v>Gestão</v>
      </c>
      <c r="T5" s="38" t="str">
        <f t="shared" si="2"/>
        <v>Informação</v>
      </c>
      <c r="U5" s="38" t="str">
        <f t="shared" si="2"/>
        <v>Contêineres</v>
      </c>
      <c r="V5" s="38" t="s">
        <v>474</v>
      </c>
      <c r="W5" s="59" t="str">
        <f t="shared" si="4"/>
        <v>Key-ABNT-5</v>
      </c>
      <c r="X5" s="38" t="s">
        <v>196</v>
      </c>
      <c r="Y5" s="38" t="s">
        <v>196</v>
      </c>
      <c r="Z5" s="38" t="s">
        <v>196</v>
      </c>
      <c r="AA5" s="38" t="str">
        <f t="shared" si="3"/>
        <v>Defines an information container in accordance with the NBR 19650-1 standard. Equipment Requirements for the Project.</v>
      </c>
    </row>
    <row r="6" spans="1:27" s="31" customFormat="1" ht="7.5" customHeight="1" x14ac:dyDescent="0.3">
      <c r="A6" s="50">
        <v>6</v>
      </c>
      <c r="B6" s="54" t="s">
        <v>552</v>
      </c>
      <c r="C6" s="54" t="s">
        <v>471</v>
      </c>
      <c r="D6" s="54" t="s">
        <v>473</v>
      </c>
      <c r="E6" s="55" t="s">
        <v>553</v>
      </c>
      <c r="F6" s="55" t="s">
        <v>478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38" t="s">
        <v>560</v>
      </c>
      <c r="Q6" s="38" t="s">
        <v>555</v>
      </c>
      <c r="R6" s="38" t="s">
        <v>196</v>
      </c>
      <c r="S6" s="38" t="str">
        <f t="shared" si="2"/>
        <v>Gestão</v>
      </c>
      <c r="T6" s="38" t="str">
        <f t="shared" si="2"/>
        <v>Informação</v>
      </c>
      <c r="U6" s="38" t="str">
        <f t="shared" si="2"/>
        <v>Contêineres</v>
      </c>
      <c r="V6" s="38" t="s">
        <v>474</v>
      </c>
      <c r="W6" s="59" t="str">
        <f t="shared" si="4"/>
        <v>Key-ABNT-6</v>
      </c>
      <c r="X6" s="38" t="s">
        <v>196</v>
      </c>
      <c r="Y6" s="38" t="s">
        <v>196</v>
      </c>
      <c r="Z6" s="38" t="s">
        <v>196</v>
      </c>
      <c r="AA6" s="38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50">
        <v>7</v>
      </c>
      <c r="B7" s="54" t="s">
        <v>552</v>
      </c>
      <c r="C7" s="30" t="s">
        <v>561</v>
      </c>
      <c r="D7" s="30" t="s">
        <v>407</v>
      </c>
      <c r="E7" s="30" t="s">
        <v>495</v>
      </c>
      <c r="F7" s="22" t="s">
        <v>497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si="0"/>
        <v>Normativo</v>
      </c>
      <c r="M7" s="52" t="str">
        <f t="shared" si="0"/>
        <v>ABNT</v>
      </c>
      <c r="N7" s="52" t="str">
        <f t="shared" si="0"/>
        <v>NBR.Parte</v>
      </c>
      <c r="O7" s="52" t="str">
        <f t="shared" ref="O7:O19" si="5">F7</f>
        <v>NBR.0M</v>
      </c>
      <c r="P7" s="52" t="s">
        <v>563</v>
      </c>
      <c r="Q7" s="52" t="s">
        <v>564</v>
      </c>
      <c r="R7" s="38" t="s">
        <v>196</v>
      </c>
      <c r="S7" s="53" t="str">
        <f t="shared" ref="S7:U19" si="6">SUBSTITUTE(C7, "_", " ")</f>
        <v>Normativo</v>
      </c>
      <c r="T7" s="53" t="str">
        <f t="shared" si="6"/>
        <v>ABNT</v>
      </c>
      <c r="U7" s="52" t="str">
        <f t="shared" si="6"/>
        <v>NBR.Parte</v>
      </c>
      <c r="V7" s="38" t="s">
        <v>565</v>
      </c>
      <c r="W7" s="59" t="str">
        <f t="shared" si="4"/>
        <v>Key-ABNT-7</v>
      </c>
      <c r="X7" s="38" t="s">
        <v>196</v>
      </c>
      <c r="Y7" s="38" t="s">
        <v>196</v>
      </c>
      <c r="Z7" s="38" t="s">
        <v>479</v>
      </c>
      <c r="AA7" s="56" t="s">
        <v>566</v>
      </c>
    </row>
    <row r="8" spans="1:27" ht="6.75" customHeight="1" x14ac:dyDescent="0.3">
      <c r="A8" s="50">
        <v>8</v>
      </c>
      <c r="B8" s="54" t="s">
        <v>552</v>
      </c>
      <c r="C8" s="30" t="s">
        <v>561</v>
      </c>
      <c r="D8" s="30" t="s">
        <v>407</v>
      </c>
      <c r="E8" s="30" t="s">
        <v>495</v>
      </c>
      <c r="F8" s="22" t="s">
        <v>498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0"/>
        <v>Normativo</v>
      </c>
      <c r="M8" s="52" t="str">
        <f t="shared" si="0"/>
        <v>ABNT</v>
      </c>
      <c r="N8" s="52" t="str">
        <f t="shared" si="0"/>
        <v>NBR.Parte</v>
      </c>
      <c r="O8" s="52" t="str">
        <f t="shared" si="5"/>
        <v>NBR.0P</v>
      </c>
      <c r="P8" s="52" t="s">
        <v>567</v>
      </c>
      <c r="Q8" s="52" t="s">
        <v>568</v>
      </c>
      <c r="R8" s="38" t="s">
        <v>196</v>
      </c>
      <c r="S8" s="53" t="str">
        <f t="shared" si="6"/>
        <v>Normativo</v>
      </c>
      <c r="T8" s="53" t="str">
        <f t="shared" si="6"/>
        <v>ABNT</v>
      </c>
      <c r="U8" s="52" t="str">
        <f t="shared" si="6"/>
        <v>NBR.Parte</v>
      </c>
      <c r="V8" s="38" t="s">
        <v>565</v>
      </c>
      <c r="W8" s="59" t="str">
        <f t="shared" si="4"/>
        <v>Key-ABNT-8</v>
      </c>
      <c r="X8" s="38" t="s">
        <v>196</v>
      </c>
      <c r="Y8" s="38" t="s">
        <v>196</v>
      </c>
      <c r="Z8" s="38" t="s">
        <v>480</v>
      </c>
      <c r="AA8" s="56" t="s">
        <v>569</v>
      </c>
    </row>
    <row r="9" spans="1:27" ht="6.75" customHeight="1" x14ac:dyDescent="0.3">
      <c r="A9" s="50">
        <v>9</v>
      </c>
      <c r="B9" s="54" t="s">
        <v>552</v>
      </c>
      <c r="C9" s="30" t="s">
        <v>561</v>
      </c>
      <c r="D9" s="30" t="s">
        <v>407</v>
      </c>
      <c r="E9" s="30" t="s">
        <v>495</v>
      </c>
      <c r="F9" s="22" t="s">
        <v>496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0"/>
        <v>Normativo</v>
      </c>
      <c r="M9" s="52" t="str">
        <f t="shared" si="0"/>
        <v>ABNT</v>
      </c>
      <c r="N9" s="52" t="str">
        <f t="shared" si="0"/>
        <v>NBR.Parte</v>
      </c>
      <c r="O9" s="52" t="str">
        <f t="shared" si="5"/>
        <v>NBR.1D</v>
      </c>
      <c r="P9" s="52" t="s">
        <v>570</v>
      </c>
      <c r="Q9" s="52" t="s">
        <v>571</v>
      </c>
      <c r="R9" s="38" t="s">
        <v>196</v>
      </c>
      <c r="S9" s="53" t="str">
        <f t="shared" si="6"/>
        <v>Normativo</v>
      </c>
      <c r="T9" s="53" t="str">
        <f t="shared" si="6"/>
        <v>ABNT</v>
      </c>
      <c r="U9" s="52" t="str">
        <f t="shared" si="6"/>
        <v>NBR.Parte</v>
      </c>
      <c r="V9" s="38" t="s">
        <v>565</v>
      </c>
      <c r="W9" s="59" t="str">
        <f t="shared" si="4"/>
        <v>Key-ABNT-9</v>
      </c>
      <c r="X9" s="38" t="s">
        <v>196</v>
      </c>
      <c r="Y9" s="38" t="s">
        <v>196</v>
      </c>
      <c r="Z9" s="38" t="s">
        <v>377</v>
      </c>
      <c r="AA9" s="56" t="s">
        <v>572</v>
      </c>
    </row>
    <row r="10" spans="1:27" ht="6.75" customHeight="1" x14ac:dyDescent="0.3">
      <c r="A10" s="50">
        <v>10</v>
      </c>
      <c r="B10" s="54" t="s">
        <v>552</v>
      </c>
      <c r="C10" s="30" t="s">
        <v>561</v>
      </c>
      <c r="D10" s="30" t="s">
        <v>407</v>
      </c>
      <c r="E10" s="30" t="s">
        <v>495</v>
      </c>
      <c r="F10" s="22" t="s">
        <v>499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0"/>
        <v>Normativo</v>
      </c>
      <c r="M10" s="52" t="str">
        <f t="shared" si="0"/>
        <v>ABNT</v>
      </c>
      <c r="N10" s="52" t="str">
        <f t="shared" si="0"/>
        <v>NBR.Parte</v>
      </c>
      <c r="O10" s="52" t="str">
        <f t="shared" si="5"/>
        <v>NBR.1F</v>
      </c>
      <c r="P10" s="52" t="s">
        <v>573</v>
      </c>
      <c r="Q10" s="52" t="s">
        <v>574</v>
      </c>
      <c r="R10" s="38" t="s">
        <v>196</v>
      </c>
      <c r="S10" s="53" t="str">
        <f t="shared" si="6"/>
        <v>Normativo</v>
      </c>
      <c r="T10" s="53" t="str">
        <f t="shared" si="6"/>
        <v>ABNT</v>
      </c>
      <c r="U10" s="52" t="str">
        <f t="shared" si="6"/>
        <v>NBR.Parte</v>
      </c>
      <c r="V10" s="38" t="s">
        <v>565</v>
      </c>
      <c r="W10" s="59" t="str">
        <f t="shared" si="4"/>
        <v>Key-ABNT-10</v>
      </c>
      <c r="X10" s="38" t="s">
        <v>196</v>
      </c>
      <c r="Y10" s="38" t="s">
        <v>196</v>
      </c>
      <c r="Z10" s="38" t="s">
        <v>481</v>
      </c>
      <c r="AA10" s="56" t="s">
        <v>575</v>
      </c>
    </row>
    <row r="11" spans="1:27" ht="6.75" customHeight="1" x14ac:dyDescent="0.3">
      <c r="A11" s="50">
        <v>11</v>
      </c>
      <c r="B11" s="54" t="s">
        <v>552</v>
      </c>
      <c r="C11" s="30" t="s">
        <v>561</v>
      </c>
      <c r="D11" s="30" t="s">
        <v>407</v>
      </c>
      <c r="E11" s="30" t="s">
        <v>495</v>
      </c>
      <c r="F11" s="22" t="s">
        <v>500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0"/>
        <v>Normativo</v>
      </c>
      <c r="M11" s="52" t="str">
        <f t="shared" si="0"/>
        <v>ABNT</v>
      </c>
      <c r="N11" s="52" t="str">
        <f t="shared" si="0"/>
        <v>NBR.Parte</v>
      </c>
      <c r="O11" s="52" t="str">
        <f t="shared" si="5"/>
        <v>NBR.1S</v>
      </c>
      <c r="P11" s="52" t="s">
        <v>576</v>
      </c>
      <c r="Q11" s="52" t="s">
        <v>577</v>
      </c>
      <c r="R11" s="38" t="s">
        <v>196</v>
      </c>
      <c r="S11" s="53" t="str">
        <f t="shared" si="6"/>
        <v>Normativo</v>
      </c>
      <c r="T11" s="53" t="str">
        <f t="shared" si="6"/>
        <v>ABNT</v>
      </c>
      <c r="U11" s="52" t="str">
        <f t="shared" si="6"/>
        <v>NBR.Parte</v>
      </c>
      <c r="V11" s="38" t="s">
        <v>565</v>
      </c>
      <c r="W11" s="59" t="str">
        <f t="shared" si="4"/>
        <v>Key-ABNT-11</v>
      </c>
      <c r="X11" s="38" t="s">
        <v>196</v>
      </c>
      <c r="Y11" s="38" t="s">
        <v>196</v>
      </c>
      <c r="Z11" s="38" t="s">
        <v>482</v>
      </c>
      <c r="AA11" s="56" t="s">
        <v>578</v>
      </c>
    </row>
    <row r="12" spans="1:27" ht="6.75" customHeight="1" x14ac:dyDescent="0.3">
      <c r="A12" s="50">
        <v>12</v>
      </c>
      <c r="B12" s="54" t="s">
        <v>552</v>
      </c>
      <c r="C12" s="30" t="s">
        <v>561</v>
      </c>
      <c r="D12" s="30" t="s">
        <v>407</v>
      </c>
      <c r="E12" s="30" t="s">
        <v>495</v>
      </c>
      <c r="F12" s="22" t="s">
        <v>501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0"/>
        <v>Normativo</v>
      </c>
      <c r="M12" s="52" t="str">
        <f t="shared" si="0"/>
        <v>ABNT</v>
      </c>
      <c r="N12" s="52" t="str">
        <f t="shared" si="0"/>
        <v>NBR.Parte</v>
      </c>
      <c r="O12" s="52" t="str">
        <f t="shared" si="5"/>
        <v>NBR.2C</v>
      </c>
      <c r="P12" s="52" t="s">
        <v>579</v>
      </c>
      <c r="Q12" s="52" t="s">
        <v>580</v>
      </c>
      <c r="R12" s="38" t="s">
        <v>196</v>
      </c>
      <c r="S12" s="53" t="str">
        <f t="shared" si="6"/>
        <v>Normativo</v>
      </c>
      <c r="T12" s="53" t="str">
        <f t="shared" si="6"/>
        <v>ABNT</v>
      </c>
      <c r="U12" s="52" t="str">
        <f t="shared" si="6"/>
        <v>NBR.Parte</v>
      </c>
      <c r="V12" s="38" t="s">
        <v>565</v>
      </c>
      <c r="W12" s="59" t="str">
        <f t="shared" si="4"/>
        <v>Key-ABNT-12</v>
      </c>
      <c r="X12" s="38" t="s">
        <v>196</v>
      </c>
      <c r="Y12" s="38" t="s">
        <v>196</v>
      </c>
      <c r="Z12" s="38" t="s">
        <v>483</v>
      </c>
      <c r="AA12" s="56" t="s">
        <v>581</v>
      </c>
    </row>
    <row r="13" spans="1:27" ht="6.75" customHeight="1" x14ac:dyDescent="0.3">
      <c r="A13" s="50">
        <v>13</v>
      </c>
      <c r="B13" s="54" t="s">
        <v>552</v>
      </c>
      <c r="C13" s="30" t="s">
        <v>561</v>
      </c>
      <c r="D13" s="30" t="s">
        <v>407</v>
      </c>
      <c r="E13" s="30" t="s">
        <v>495</v>
      </c>
      <c r="F13" s="22" t="s">
        <v>502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0"/>
        <v>Normativo</v>
      </c>
      <c r="M13" s="52" t="str">
        <f t="shared" si="0"/>
        <v>ABNT</v>
      </c>
      <c r="N13" s="52" t="str">
        <f t="shared" si="0"/>
        <v>NBR.Parte</v>
      </c>
      <c r="O13" s="52" t="str">
        <f t="shared" si="5"/>
        <v>NBR.2N</v>
      </c>
      <c r="P13" s="52" t="s">
        <v>582</v>
      </c>
      <c r="Q13" s="52" t="s">
        <v>583</v>
      </c>
      <c r="R13" s="38" t="s">
        <v>196</v>
      </c>
      <c r="S13" s="53" t="str">
        <f t="shared" si="6"/>
        <v>Normativo</v>
      </c>
      <c r="T13" s="53" t="str">
        <f t="shared" si="6"/>
        <v>ABNT</v>
      </c>
      <c r="U13" s="52" t="str">
        <f t="shared" si="6"/>
        <v>NBR.Parte</v>
      </c>
      <c r="V13" s="38" t="s">
        <v>565</v>
      </c>
      <c r="W13" s="59" t="str">
        <f t="shared" si="4"/>
        <v>Key-ABNT-13</v>
      </c>
      <c r="X13" s="38" t="s">
        <v>196</v>
      </c>
      <c r="Y13" s="38" t="s">
        <v>196</v>
      </c>
      <c r="Z13" s="38" t="s">
        <v>484</v>
      </c>
      <c r="AA13" s="56" t="s">
        <v>584</v>
      </c>
    </row>
    <row r="14" spans="1:27" ht="6.75" customHeight="1" x14ac:dyDescent="0.3">
      <c r="A14" s="50">
        <v>14</v>
      </c>
      <c r="B14" s="54" t="s">
        <v>552</v>
      </c>
      <c r="C14" s="30" t="s">
        <v>561</v>
      </c>
      <c r="D14" s="30" t="s">
        <v>407</v>
      </c>
      <c r="E14" s="30" t="s">
        <v>495</v>
      </c>
      <c r="F14" s="22" t="s">
        <v>503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0"/>
        <v>Normativo</v>
      </c>
      <c r="M14" s="52" t="str">
        <f t="shared" si="0"/>
        <v>ABNT</v>
      </c>
      <c r="N14" s="52" t="str">
        <f t="shared" si="0"/>
        <v>NBR.Parte</v>
      </c>
      <c r="O14" s="52" t="str">
        <f t="shared" si="5"/>
        <v>NBR.2Q</v>
      </c>
      <c r="P14" s="52" t="s">
        <v>585</v>
      </c>
      <c r="Q14" s="52" t="s">
        <v>586</v>
      </c>
      <c r="R14" s="38" t="s">
        <v>196</v>
      </c>
      <c r="S14" s="53" t="str">
        <f t="shared" si="6"/>
        <v>Normativo</v>
      </c>
      <c r="T14" s="53" t="str">
        <f t="shared" si="6"/>
        <v>ABNT</v>
      </c>
      <c r="U14" s="52" t="str">
        <f t="shared" si="6"/>
        <v>NBR.Parte</v>
      </c>
      <c r="V14" s="38" t="s">
        <v>565</v>
      </c>
      <c r="W14" s="59" t="str">
        <f t="shared" si="4"/>
        <v>Key-ABNT-14</v>
      </c>
      <c r="X14" s="38" t="s">
        <v>196</v>
      </c>
      <c r="Y14" s="38" t="s">
        <v>196</v>
      </c>
      <c r="Z14" s="38" t="s">
        <v>485</v>
      </c>
      <c r="AA14" s="56" t="s">
        <v>587</v>
      </c>
    </row>
    <row r="15" spans="1:27" ht="6.75" customHeight="1" x14ac:dyDescent="0.3">
      <c r="A15" s="50">
        <v>15</v>
      </c>
      <c r="B15" s="54" t="s">
        <v>552</v>
      </c>
      <c r="C15" s="30" t="s">
        <v>561</v>
      </c>
      <c r="D15" s="30" t="s">
        <v>407</v>
      </c>
      <c r="E15" s="30" t="s">
        <v>495</v>
      </c>
      <c r="F15" s="22" t="s">
        <v>504</v>
      </c>
      <c r="G15" s="33" t="s">
        <v>196</v>
      </c>
      <c r="H15" s="33" t="s">
        <v>196</v>
      </c>
      <c r="I15" s="33" t="s">
        <v>196</v>
      </c>
      <c r="J15" s="33" t="s">
        <v>196</v>
      </c>
      <c r="K15" s="33" t="s">
        <v>196</v>
      </c>
      <c r="L15" s="52" t="str">
        <f t="shared" si="0"/>
        <v>Normativo</v>
      </c>
      <c r="M15" s="52" t="str">
        <f t="shared" si="0"/>
        <v>ABNT</v>
      </c>
      <c r="N15" s="52" t="str">
        <f t="shared" si="0"/>
        <v>NBR.Parte</v>
      </c>
      <c r="O15" s="52" t="str">
        <f t="shared" si="5"/>
        <v>NBR.3E</v>
      </c>
      <c r="P15" s="52" t="s">
        <v>588</v>
      </c>
      <c r="Q15" s="52" t="s">
        <v>589</v>
      </c>
      <c r="R15" s="38" t="s">
        <v>196</v>
      </c>
      <c r="S15" s="53" t="str">
        <f t="shared" si="6"/>
        <v>Normativo</v>
      </c>
      <c r="T15" s="53" t="str">
        <f t="shared" si="6"/>
        <v>ABNT</v>
      </c>
      <c r="U15" s="52" t="str">
        <f t="shared" si="6"/>
        <v>NBR.Parte</v>
      </c>
      <c r="V15" s="38" t="s">
        <v>565</v>
      </c>
      <c r="W15" s="59" t="str">
        <f t="shared" si="4"/>
        <v>Key-ABNT-15</v>
      </c>
      <c r="X15" s="38" t="s">
        <v>196</v>
      </c>
      <c r="Y15" s="38" t="s">
        <v>196</v>
      </c>
      <c r="Z15" s="38" t="s">
        <v>486</v>
      </c>
      <c r="AA15" s="56" t="s">
        <v>590</v>
      </c>
    </row>
    <row r="16" spans="1:27" ht="6.75" customHeight="1" x14ac:dyDescent="0.3">
      <c r="A16" s="50">
        <v>16</v>
      </c>
      <c r="B16" s="54" t="s">
        <v>552</v>
      </c>
      <c r="C16" s="30" t="s">
        <v>561</v>
      </c>
      <c r="D16" s="30" t="s">
        <v>407</v>
      </c>
      <c r="E16" s="30" t="s">
        <v>495</v>
      </c>
      <c r="F16" s="22" t="s">
        <v>505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0"/>
        <v>Normativo</v>
      </c>
      <c r="M16" s="52" t="str">
        <f t="shared" si="0"/>
        <v>ABNT</v>
      </c>
      <c r="N16" s="52" t="str">
        <f t="shared" si="0"/>
        <v>NBR.Parte</v>
      </c>
      <c r="O16" s="52" t="str">
        <f t="shared" si="5"/>
        <v>NBR.3R</v>
      </c>
      <c r="P16" s="52" t="s">
        <v>591</v>
      </c>
      <c r="Q16" s="52" t="s">
        <v>592</v>
      </c>
      <c r="R16" s="38" t="s">
        <v>196</v>
      </c>
      <c r="S16" s="53" t="str">
        <f t="shared" si="6"/>
        <v>Normativo</v>
      </c>
      <c r="T16" s="53" t="str">
        <f t="shared" si="6"/>
        <v>ABNT</v>
      </c>
      <c r="U16" s="52" t="str">
        <f t="shared" si="6"/>
        <v>NBR.Parte</v>
      </c>
      <c r="V16" s="38" t="s">
        <v>565</v>
      </c>
      <c r="W16" s="59" t="str">
        <f t="shared" si="4"/>
        <v>Key-ABNT-16</v>
      </c>
      <c r="X16" s="38" t="s">
        <v>196</v>
      </c>
      <c r="Y16" s="38" t="s">
        <v>196</v>
      </c>
      <c r="Z16" s="38" t="s">
        <v>487</v>
      </c>
      <c r="AA16" s="56" t="s">
        <v>593</v>
      </c>
    </row>
    <row r="17" spans="1:27" ht="6.75" customHeight="1" x14ac:dyDescent="0.3">
      <c r="A17" s="50">
        <v>17</v>
      </c>
      <c r="B17" s="54" t="s">
        <v>552</v>
      </c>
      <c r="C17" s="30" t="s">
        <v>561</v>
      </c>
      <c r="D17" s="30" t="s">
        <v>407</v>
      </c>
      <c r="E17" s="30" t="s">
        <v>495</v>
      </c>
      <c r="F17" s="22" t="s">
        <v>506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0"/>
        <v>Normativo</v>
      </c>
      <c r="M17" s="52" t="str">
        <f t="shared" si="0"/>
        <v>ABNT</v>
      </c>
      <c r="N17" s="52" t="str">
        <f t="shared" si="0"/>
        <v>NBR.Parte</v>
      </c>
      <c r="O17" s="52" t="str">
        <f t="shared" si="5"/>
        <v>NBR.4A</v>
      </c>
      <c r="P17" s="52" t="s">
        <v>594</v>
      </c>
      <c r="Q17" s="52" t="s">
        <v>595</v>
      </c>
      <c r="R17" s="38" t="s">
        <v>196</v>
      </c>
      <c r="S17" s="53" t="str">
        <f t="shared" si="6"/>
        <v>Normativo</v>
      </c>
      <c r="T17" s="53" t="str">
        <f t="shared" si="6"/>
        <v>ABNT</v>
      </c>
      <c r="U17" s="52" t="str">
        <f t="shared" si="6"/>
        <v>NBR.Parte</v>
      </c>
      <c r="V17" s="38" t="s">
        <v>565</v>
      </c>
      <c r="W17" s="59" t="str">
        <f t="shared" si="4"/>
        <v>Key-ABNT-17</v>
      </c>
      <c r="X17" s="38" t="s">
        <v>196</v>
      </c>
      <c r="Y17" s="38" t="s">
        <v>196</v>
      </c>
      <c r="Z17" s="38" t="s">
        <v>488</v>
      </c>
      <c r="AA17" s="56" t="s">
        <v>596</v>
      </c>
    </row>
    <row r="18" spans="1:27" ht="6.75" customHeight="1" x14ac:dyDescent="0.3">
      <c r="A18" s="50">
        <v>18</v>
      </c>
      <c r="B18" s="54" t="s">
        <v>552</v>
      </c>
      <c r="C18" s="30" t="s">
        <v>561</v>
      </c>
      <c r="D18" s="30" t="s">
        <v>407</v>
      </c>
      <c r="E18" s="30" t="s">
        <v>495</v>
      </c>
      <c r="F18" s="22" t="s">
        <v>507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ref="L18:N19" si="7">CONCATENATE("", C18)</f>
        <v>Normativo</v>
      </c>
      <c r="M18" s="52" t="str">
        <f t="shared" si="7"/>
        <v>ABNT</v>
      </c>
      <c r="N18" s="52" t="str">
        <f t="shared" si="7"/>
        <v>NBR.Parte</v>
      </c>
      <c r="O18" s="52" t="str">
        <f t="shared" si="5"/>
        <v>NBR.4U</v>
      </c>
      <c r="P18" s="52" t="s">
        <v>597</v>
      </c>
      <c r="Q18" s="52" t="s">
        <v>598</v>
      </c>
      <c r="R18" s="38" t="s">
        <v>196</v>
      </c>
      <c r="S18" s="53" t="str">
        <f t="shared" si="6"/>
        <v>Normativo</v>
      </c>
      <c r="T18" s="53" t="str">
        <f t="shared" si="6"/>
        <v>ABNT</v>
      </c>
      <c r="U18" s="52" t="str">
        <f t="shared" si="6"/>
        <v>NBR.Parte</v>
      </c>
      <c r="V18" s="38" t="s">
        <v>565</v>
      </c>
      <c r="W18" s="59" t="str">
        <f t="shared" si="4"/>
        <v>Key-ABNT-18</v>
      </c>
      <c r="X18" s="38" t="s">
        <v>196</v>
      </c>
      <c r="Y18" s="38" t="s">
        <v>196</v>
      </c>
      <c r="Z18" s="38" t="s">
        <v>489</v>
      </c>
      <c r="AA18" s="56" t="s">
        <v>599</v>
      </c>
    </row>
    <row r="19" spans="1:27" ht="6.75" customHeight="1" x14ac:dyDescent="0.3">
      <c r="A19" s="50">
        <v>19</v>
      </c>
      <c r="B19" s="54" t="s">
        <v>552</v>
      </c>
      <c r="C19" s="30" t="s">
        <v>561</v>
      </c>
      <c r="D19" s="30" t="s">
        <v>407</v>
      </c>
      <c r="E19" s="30" t="s">
        <v>495</v>
      </c>
      <c r="F19" s="22" t="s">
        <v>508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7"/>
        <v>Normativo</v>
      </c>
      <c r="M19" s="52" t="str">
        <f t="shared" si="7"/>
        <v>ABNT</v>
      </c>
      <c r="N19" s="52" t="str">
        <f t="shared" si="7"/>
        <v>NBR.Parte</v>
      </c>
      <c r="O19" s="52" t="str">
        <f t="shared" si="5"/>
        <v>NBR.5I</v>
      </c>
      <c r="P19" s="52" t="s">
        <v>600</v>
      </c>
      <c r="Q19" s="52" t="s">
        <v>601</v>
      </c>
      <c r="R19" s="38" t="s">
        <v>196</v>
      </c>
      <c r="S19" s="53" t="str">
        <f t="shared" si="6"/>
        <v>Normativo</v>
      </c>
      <c r="T19" s="53" t="str">
        <f t="shared" si="6"/>
        <v>ABNT</v>
      </c>
      <c r="U19" s="52" t="str">
        <f t="shared" si="6"/>
        <v>NBR.Parte</v>
      </c>
      <c r="V19" s="38" t="s">
        <v>565</v>
      </c>
      <c r="W19" s="59" t="str">
        <f t="shared" si="4"/>
        <v>Key-ABNT-19</v>
      </c>
      <c r="X19" s="38" t="s">
        <v>196</v>
      </c>
      <c r="Y19" s="38" t="s">
        <v>196</v>
      </c>
      <c r="Z19" s="38" t="s">
        <v>490</v>
      </c>
      <c r="AA19" s="56" t="s">
        <v>602</v>
      </c>
    </row>
    <row r="20" spans="1:27" ht="7.5" customHeight="1" x14ac:dyDescent="0.3">
      <c r="A20" s="50">
        <v>20</v>
      </c>
      <c r="B20" s="54" t="s">
        <v>552</v>
      </c>
      <c r="C20" s="30" t="s">
        <v>561</v>
      </c>
      <c r="D20" s="30" t="s">
        <v>562</v>
      </c>
      <c r="E20" s="30" t="s">
        <v>548</v>
      </c>
      <c r="F20" s="10" t="s">
        <v>521</v>
      </c>
      <c r="G20" s="51" t="s">
        <v>196</v>
      </c>
      <c r="H20" s="51" t="s">
        <v>196</v>
      </c>
      <c r="I20" s="51" t="s">
        <v>196</v>
      </c>
      <c r="J20" s="51" t="s">
        <v>196</v>
      </c>
      <c r="K20" s="51" t="s">
        <v>196</v>
      </c>
      <c r="L20" s="52" t="str">
        <f t="shared" ref="L20:L32" si="8">CONCATENATE("", C20)</f>
        <v>Normativo</v>
      </c>
      <c r="M20" s="52" t="str">
        <f t="shared" ref="M20:M32" si="9">CONCATENATE("", D20)</f>
        <v>NBR.Temática</v>
      </c>
      <c r="N20" s="52" t="str">
        <f t="shared" ref="L18:N32" si="10">CONCATENATE("", E20)</f>
        <v>NBR.Disciplinas</v>
      </c>
      <c r="O20" s="52" t="str">
        <f t="shared" ref="O7:O32" si="11">F20</f>
        <v>NBR.D.Arquitetura</v>
      </c>
      <c r="P20" s="38" t="s">
        <v>509</v>
      </c>
      <c r="Q20" s="38" t="str">
        <f>_xlfn.TRANSLATE(P20,"pt","es")</f>
        <v>Disciplina de la Arquitectura</v>
      </c>
      <c r="R20" s="38" t="s">
        <v>196</v>
      </c>
      <c r="S20" s="53" t="str">
        <f t="shared" ref="S7:U22" si="12">SUBSTITUTE(C20, "_", " ")</f>
        <v>Normativo</v>
      </c>
      <c r="T20" s="53" t="str">
        <f t="shared" si="12"/>
        <v>NBR.Temática</v>
      </c>
      <c r="U20" s="52" t="str">
        <f t="shared" si="12"/>
        <v>NBR.Disciplinas</v>
      </c>
      <c r="V20" s="38" t="s">
        <v>474</v>
      </c>
      <c r="W20" s="59" t="str">
        <f t="shared" si="4"/>
        <v>Key-ABNT-20</v>
      </c>
      <c r="X20" s="38" t="s">
        <v>196</v>
      </c>
      <c r="Y20" s="38" t="s">
        <v>196</v>
      </c>
      <c r="Z20" s="53" t="s">
        <v>534</v>
      </c>
      <c r="AA20" s="38" t="str">
        <f>_xlfn.TRANSLATE(P20,"pt","en")</f>
        <v>Discipline of Architecture</v>
      </c>
    </row>
    <row r="21" spans="1:27" ht="7.5" customHeight="1" x14ac:dyDescent="0.3">
      <c r="A21" s="50">
        <v>21</v>
      </c>
      <c r="B21" s="54" t="s">
        <v>552</v>
      </c>
      <c r="C21" s="30" t="s">
        <v>561</v>
      </c>
      <c r="D21" s="30" t="s">
        <v>562</v>
      </c>
      <c r="E21" s="30" t="s">
        <v>548</v>
      </c>
      <c r="F21" s="10" t="s">
        <v>522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8"/>
        <v>Normativo</v>
      </c>
      <c r="M21" s="52" t="str">
        <f t="shared" si="9"/>
        <v>NBR.Temática</v>
      </c>
      <c r="N21" s="52" t="str">
        <f t="shared" si="10"/>
        <v>NBR.Disciplinas</v>
      </c>
      <c r="O21" s="52" t="str">
        <f t="shared" si="11"/>
        <v>NBR.D.Construção</v>
      </c>
      <c r="P21" s="52" t="s">
        <v>510</v>
      </c>
      <c r="Q21" s="38" t="str">
        <f t="shared" ref="Q21:Q32" si="13">_xlfn.TRANSLATE(P21,"pt","es")</f>
        <v>Disciplina de la construcción</v>
      </c>
      <c r="R21" s="38" t="s">
        <v>196</v>
      </c>
      <c r="S21" s="53" t="str">
        <f t="shared" si="12"/>
        <v>Normativo</v>
      </c>
      <c r="T21" s="53" t="str">
        <f t="shared" si="12"/>
        <v>NBR.Temática</v>
      </c>
      <c r="U21" s="52" t="str">
        <f t="shared" si="12"/>
        <v>NBR.Disciplinas</v>
      </c>
      <c r="V21" s="38" t="s">
        <v>474</v>
      </c>
      <c r="W21" s="59" t="str">
        <f t="shared" si="4"/>
        <v>Key-ABNT-21</v>
      </c>
      <c r="X21" s="38" t="s">
        <v>196</v>
      </c>
      <c r="Y21" s="38" t="s">
        <v>196</v>
      </c>
      <c r="Z21" s="53" t="s">
        <v>541</v>
      </c>
      <c r="AA21" s="38" t="str">
        <f t="shared" ref="AA21:AA32" si="14">_xlfn.TRANSLATE(P21,"pt","en")</f>
        <v>Construction Discipline</v>
      </c>
    </row>
    <row r="22" spans="1:27" ht="7.5" customHeight="1" x14ac:dyDescent="0.3">
      <c r="A22" s="50">
        <v>22</v>
      </c>
      <c r="B22" s="54" t="s">
        <v>552</v>
      </c>
      <c r="C22" s="30" t="s">
        <v>561</v>
      </c>
      <c r="D22" s="30" t="s">
        <v>562</v>
      </c>
      <c r="E22" s="30" t="s">
        <v>548</v>
      </c>
      <c r="F22" s="10" t="s">
        <v>523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8"/>
        <v>Normativo</v>
      </c>
      <c r="M22" s="52" t="str">
        <f t="shared" si="9"/>
        <v>NBR.Temática</v>
      </c>
      <c r="N22" s="52" t="str">
        <f t="shared" si="10"/>
        <v>NBR.Disciplinas</v>
      </c>
      <c r="O22" s="52" t="str">
        <f t="shared" si="11"/>
        <v>NBR.D.Engenharia</v>
      </c>
      <c r="P22" s="52" t="s">
        <v>511</v>
      </c>
      <c r="Q22" s="38" t="str">
        <f t="shared" si="13"/>
        <v>Disciplina de la Ingeniería</v>
      </c>
      <c r="R22" s="38" t="s">
        <v>196</v>
      </c>
      <c r="S22" s="53" t="str">
        <f t="shared" si="12"/>
        <v>Normativo</v>
      </c>
      <c r="T22" s="53" t="str">
        <f t="shared" si="12"/>
        <v>NBR.Temática</v>
      </c>
      <c r="U22" s="52" t="str">
        <f t="shared" si="12"/>
        <v>NBR.Disciplinas</v>
      </c>
      <c r="V22" s="38" t="s">
        <v>474</v>
      </c>
      <c r="W22" s="59" t="str">
        <f t="shared" si="4"/>
        <v>Key-ABNT-22</v>
      </c>
      <c r="X22" s="38" t="s">
        <v>196</v>
      </c>
      <c r="Y22" s="38" t="s">
        <v>196</v>
      </c>
      <c r="Z22" s="53" t="s">
        <v>536</v>
      </c>
      <c r="AA22" s="38" t="str">
        <f t="shared" si="14"/>
        <v>Engineering Discipline</v>
      </c>
    </row>
    <row r="23" spans="1:27" ht="7.5" customHeight="1" x14ac:dyDescent="0.3">
      <c r="A23" s="50">
        <v>23</v>
      </c>
      <c r="B23" s="54" t="s">
        <v>552</v>
      </c>
      <c r="C23" s="30" t="s">
        <v>561</v>
      </c>
      <c r="D23" s="30" t="s">
        <v>562</v>
      </c>
      <c r="E23" s="30" t="s">
        <v>548</v>
      </c>
      <c r="F23" s="10" t="s">
        <v>529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8"/>
        <v>Normativo</v>
      </c>
      <c r="M23" s="52" t="str">
        <f t="shared" si="9"/>
        <v>NBR.Temática</v>
      </c>
      <c r="N23" s="52" t="str">
        <f t="shared" si="10"/>
        <v>NBR.Disciplinas</v>
      </c>
      <c r="O23" s="52" t="str">
        <f t="shared" si="11"/>
        <v>NBR.D.Especialidade</v>
      </c>
      <c r="P23" s="52" t="s">
        <v>512</v>
      </c>
      <c r="Q23" s="38" t="str">
        <f t="shared" si="13"/>
        <v>Disciplina de especialidad</v>
      </c>
      <c r="R23" s="38" t="s">
        <v>196</v>
      </c>
      <c r="S23" s="53" t="str">
        <f t="shared" ref="S23:U32" si="15">SUBSTITUTE(C23, "_", " ")</f>
        <v>Normativo</v>
      </c>
      <c r="T23" s="53" t="str">
        <f t="shared" si="15"/>
        <v>NBR.Temática</v>
      </c>
      <c r="U23" s="52" t="str">
        <f t="shared" si="15"/>
        <v>NBR.Disciplinas</v>
      </c>
      <c r="V23" s="38" t="s">
        <v>474</v>
      </c>
      <c r="W23" s="59" t="str">
        <f t="shared" si="4"/>
        <v>Key-ABNT-23</v>
      </c>
      <c r="X23" s="38" t="s">
        <v>196</v>
      </c>
      <c r="Y23" s="38" t="s">
        <v>196</v>
      </c>
      <c r="Z23" s="53" t="s">
        <v>537</v>
      </c>
      <c r="AA23" s="38" t="str">
        <f t="shared" si="14"/>
        <v>Specialty Discipline</v>
      </c>
    </row>
    <row r="24" spans="1:27" ht="7.5" customHeight="1" x14ac:dyDescent="0.3">
      <c r="A24" s="50">
        <v>24</v>
      </c>
      <c r="B24" s="54" t="s">
        <v>552</v>
      </c>
      <c r="C24" s="30" t="s">
        <v>561</v>
      </c>
      <c r="D24" s="30" t="s">
        <v>562</v>
      </c>
      <c r="E24" s="30" t="s">
        <v>548</v>
      </c>
      <c r="F24" s="10" t="s">
        <v>524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8"/>
        <v>Normativo</v>
      </c>
      <c r="M24" s="52" t="str">
        <f t="shared" si="9"/>
        <v>NBR.Temática</v>
      </c>
      <c r="N24" s="52" t="str">
        <f t="shared" si="10"/>
        <v>NBR.Disciplinas</v>
      </c>
      <c r="O24" s="52" t="str">
        <f t="shared" si="11"/>
        <v>NBR.D.Fabricação</v>
      </c>
      <c r="P24" s="52" t="s">
        <v>513</v>
      </c>
      <c r="Q24" s="38" t="str">
        <f t="shared" si="13"/>
        <v>Disciplina de fabricación</v>
      </c>
      <c r="R24" s="38" t="s">
        <v>196</v>
      </c>
      <c r="S24" s="53" t="str">
        <f t="shared" si="15"/>
        <v>Normativo</v>
      </c>
      <c r="T24" s="53" t="str">
        <f t="shared" si="15"/>
        <v>NBR.Temática</v>
      </c>
      <c r="U24" s="52" t="str">
        <f t="shared" si="15"/>
        <v>NBR.Disciplinas</v>
      </c>
      <c r="V24" s="38" t="s">
        <v>474</v>
      </c>
      <c r="W24" s="59" t="str">
        <f t="shared" si="4"/>
        <v>Key-ABNT-24</v>
      </c>
      <c r="X24" s="38" t="s">
        <v>196</v>
      </c>
      <c r="Y24" s="38" t="s">
        <v>196</v>
      </c>
      <c r="Z24" s="53" t="s">
        <v>538</v>
      </c>
      <c r="AA24" s="38" t="str">
        <f t="shared" si="14"/>
        <v>Manufacturing Discipline</v>
      </c>
    </row>
    <row r="25" spans="1:27" ht="7.5" customHeight="1" x14ac:dyDescent="0.3">
      <c r="A25" s="50">
        <v>25</v>
      </c>
      <c r="B25" s="54" t="s">
        <v>552</v>
      </c>
      <c r="C25" s="30" t="s">
        <v>561</v>
      </c>
      <c r="D25" s="30" t="s">
        <v>562</v>
      </c>
      <c r="E25" s="30" t="s">
        <v>548</v>
      </c>
      <c r="F25" s="10" t="s">
        <v>530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8"/>
        <v>Normativo</v>
      </c>
      <c r="M25" s="52" t="str">
        <f t="shared" si="9"/>
        <v>NBR.Temática</v>
      </c>
      <c r="N25" s="52" t="str">
        <f t="shared" si="10"/>
        <v>NBR.Disciplinas</v>
      </c>
      <c r="O25" s="52" t="str">
        <f t="shared" si="11"/>
        <v>NBR.D.Gerencial</v>
      </c>
      <c r="P25" s="52" t="s">
        <v>514</v>
      </c>
      <c r="Q25" s="38" t="str">
        <f t="shared" si="13"/>
        <v>Disciplina de gestión</v>
      </c>
      <c r="R25" s="38" t="s">
        <v>196</v>
      </c>
      <c r="S25" s="53" t="str">
        <f t="shared" si="15"/>
        <v>Normativo</v>
      </c>
      <c r="T25" s="53" t="str">
        <f t="shared" si="15"/>
        <v>NBR.Temática</v>
      </c>
      <c r="U25" s="52" t="str">
        <f t="shared" si="15"/>
        <v>NBR.Disciplinas</v>
      </c>
      <c r="V25" s="38" t="s">
        <v>474</v>
      </c>
      <c r="W25" s="59" t="str">
        <f t="shared" si="4"/>
        <v>Key-ABNT-25</v>
      </c>
      <c r="X25" s="38" t="s">
        <v>196</v>
      </c>
      <c r="Y25" s="38" t="s">
        <v>196</v>
      </c>
      <c r="Z25" s="53" t="s">
        <v>539</v>
      </c>
      <c r="AA25" s="38" t="str">
        <f t="shared" si="14"/>
        <v>Management Discipline</v>
      </c>
    </row>
    <row r="26" spans="1:27" ht="7.5" customHeight="1" x14ac:dyDescent="0.3">
      <c r="A26" s="50">
        <v>26</v>
      </c>
      <c r="B26" s="54" t="s">
        <v>552</v>
      </c>
      <c r="C26" s="30" t="s">
        <v>561</v>
      </c>
      <c r="D26" s="30" t="s">
        <v>562</v>
      </c>
      <c r="E26" s="30" t="s">
        <v>548</v>
      </c>
      <c r="F26" s="10" t="s">
        <v>531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8"/>
        <v>Normativo</v>
      </c>
      <c r="M26" s="52" t="str">
        <f t="shared" si="9"/>
        <v>NBR.Temática</v>
      </c>
      <c r="N26" s="52" t="str">
        <f t="shared" si="10"/>
        <v>NBR.Disciplinas</v>
      </c>
      <c r="O26" s="52" t="str">
        <f t="shared" si="11"/>
        <v>NBR.D.Imobilíaria</v>
      </c>
      <c r="P26" s="52" t="s">
        <v>515</v>
      </c>
      <c r="Q26" s="38" t="str">
        <f t="shared" si="13"/>
        <v>Disciplina inmobiliaria</v>
      </c>
      <c r="R26" s="38" t="s">
        <v>196</v>
      </c>
      <c r="S26" s="53" t="str">
        <f t="shared" si="15"/>
        <v>Normativo</v>
      </c>
      <c r="T26" s="53" t="str">
        <f t="shared" si="15"/>
        <v>NBR.Temática</v>
      </c>
      <c r="U26" s="52" t="str">
        <f t="shared" si="15"/>
        <v>NBR.Disciplinas</v>
      </c>
      <c r="V26" s="38" t="s">
        <v>474</v>
      </c>
      <c r="W26" s="59" t="str">
        <f t="shared" si="4"/>
        <v>Key-ABNT-26</v>
      </c>
      <c r="X26" s="38" t="s">
        <v>196</v>
      </c>
      <c r="Y26" s="38" t="s">
        <v>196</v>
      </c>
      <c r="Z26" s="53" t="s">
        <v>540</v>
      </c>
      <c r="AA26" s="38" t="str">
        <f t="shared" si="14"/>
        <v>Real Estate Discipline</v>
      </c>
    </row>
    <row r="27" spans="1:27" ht="7.5" customHeight="1" x14ac:dyDescent="0.3">
      <c r="A27" s="50">
        <v>27</v>
      </c>
      <c r="B27" s="54" t="s">
        <v>552</v>
      </c>
      <c r="C27" s="30" t="s">
        <v>561</v>
      </c>
      <c r="D27" s="30" t="s">
        <v>562</v>
      </c>
      <c r="E27" s="30" t="s">
        <v>548</v>
      </c>
      <c r="F27" s="10" t="s">
        <v>525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8"/>
        <v>Normativo</v>
      </c>
      <c r="M27" s="52" t="str">
        <f t="shared" si="9"/>
        <v>NBR.Temática</v>
      </c>
      <c r="N27" s="52" t="str">
        <f t="shared" si="10"/>
        <v>NBR.Disciplinas</v>
      </c>
      <c r="O27" s="52" t="str">
        <f t="shared" si="11"/>
        <v>NBR.D.Legislação</v>
      </c>
      <c r="P27" s="52" t="s">
        <v>516</v>
      </c>
      <c r="Q27" s="38" t="str">
        <f t="shared" si="13"/>
        <v>Disciplina de la Legislación</v>
      </c>
      <c r="R27" s="38" t="s">
        <v>196</v>
      </c>
      <c r="S27" s="53" t="str">
        <f t="shared" si="15"/>
        <v>Normativo</v>
      </c>
      <c r="T27" s="53" t="str">
        <f t="shared" si="15"/>
        <v>NBR.Temática</v>
      </c>
      <c r="U27" s="52" t="str">
        <f t="shared" si="15"/>
        <v>NBR.Disciplinas</v>
      </c>
      <c r="V27" s="38" t="s">
        <v>474</v>
      </c>
      <c r="W27" s="59" t="str">
        <f t="shared" si="4"/>
        <v>Key-ABNT-27</v>
      </c>
      <c r="X27" s="38" t="s">
        <v>196</v>
      </c>
      <c r="Y27" s="38" t="s">
        <v>196</v>
      </c>
      <c r="Z27" s="53" t="s">
        <v>543</v>
      </c>
      <c r="AA27" s="38" t="str">
        <f t="shared" si="14"/>
        <v>Legislation Discipline</v>
      </c>
    </row>
    <row r="28" spans="1:27" ht="7.5" customHeight="1" x14ac:dyDescent="0.3">
      <c r="A28" s="50">
        <v>28</v>
      </c>
      <c r="B28" s="54" t="s">
        <v>552</v>
      </c>
      <c r="C28" s="30" t="s">
        <v>561</v>
      </c>
      <c r="D28" s="30" t="s">
        <v>562</v>
      </c>
      <c r="E28" s="30" t="s">
        <v>548</v>
      </c>
      <c r="F28" s="10" t="s">
        <v>526</v>
      </c>
      <c r="G28" s="33" t="s">
        <v>196</v>
      </c>
      <c r="H28" s="33" t="s">
        <v>196</v>
      </c>
      <c r="I28" s="33" t="s">
        <v>196</v>
      </c>
      <c r="J28" s="33" t="s">
        <v>196</v>
      </c>
      <c r="K28" s="33" t="s">
        <v>196</v>
      </c>
      <c r="L28" s="52" t="str">
        <f t="shared" si="8"/>
        <v>Normativo</v>
      </c>
      <c r="M28" s="52" t="str">
        <f t="shared" si="9"/>
        <v>NBR.Temática</v>
      </c>
      <c r="N28" s="52" t="str">
        <f t="shared" si="10"/>
        <v>NBR.Disciplinas</v>
      </c>
      <c r="O28" s="52" t="str">
        <f t="shared" si="11"/>
        <v>NBR.D.Levantamento</v>
      </c>
      <c r="P28" s="52" t="s">
        <v>545</v>
      </c>
      <c r="Q28" s="38" t="str">
        <f>_xlfn.TRANSLATE(P28,"pt","es")</f>
        <v>Disciplina de las encuestas e implementación</v>
      </c>
      <c r="R28" s="38" t="s">
        <v>196</v>
      </c>
      <c r="S28" s="53" t="str">
        <f t="shared" si="15"/>
        <v>Normativo</v>
      </c>
      <c r="T28" s="53" t="str">
        <f t="shared" si="15"/>
        <v>NBR.Temática</v>
      </c>
      <c r="U28" s="52" t="str">
        <f t="shared" si="15"/>
        <v>NBR.Disciplinas</v>
      </c>
      <c r="V28" s="38" t="s">
        <v>474</v>
      </c>
      <c r="W28" s="59" t="str">
        <f t="shared" si="4"/>
        <v>Key-ABNT-28</v>
      </c>
      <c r="X28" s="38" t="s">
        <v>196</v>
      </c>
      <c r="Y28" s="38" t="s">
        <v>196</v>
      </c>
      <c r="Z28" s="53" t="s">
        <v>544</v>
      </c>
      <c r="AA28" s="38" t="str">
        <f t="shared" si="14"/>
        <v>Discipline of Surveys and implementation</v>
      </c>
    </row>
    <row r="29" spans="1:27" ht="7.5" customHeight="1" x14ac:dyDescent="0.3">
      <c r="A29" s="50">
        <v>29</v>
      </c>
      <c r="B29" s="54" t="s">
        <v>552</v>
      </c>
      <c r="C29" s="30" t="s">
        <v>561</v>
      </c>
      <c r="D29" s="30" t="s">
        <v>562</v>
      </c>
      <c r="E29" s="30" t="s">
        <v>548</v>
      </c>
      <c r="F29" s="10" t="s">
        <v>527</v>
      </c>
      <c r="G29" s="33" t="s">
        <v>196</v>
      </c>
      <c r="H29" s="33" t="s">
        <v>196</v>
      </c>
      <c r="I29" s="33" t="s">
        <v>196</v>
      </c>
      <c r="J29" s="33" t="s">
        <v>196</v>
      </c>
      <c r="K29" s="33" t="s">
        <v>196</v>
      </c>
      <c r="L29" s="52" t="str">
        <f t="shared" si="8"/>
        <v>Normativo</v>
      </c>
      <c r="M29" s="52" t="str">
        <f t="shared" si="9"/>
        <v>NBR.Temática</v>
      </c>
      <c r="N29" s="52" t="str">
        <f t="shared" si="10"/>
        <v>NBR.Disciplinas</v>
      </c>
      <c r="O29" s="52" t="str">
        <f t="shared" si="11"/>
        <v>NBR.D.Operação</v>
      </c>
      <c r="P29" s="52" t="s">
        <v>517</v>
      </c>
      <c r="Q29" s="38" t="str">
        <f t="shared" si="13"/>
        <v>Operación Disciplina</v>
      </c>
      <c r="R29" s="38" t="s">
        <v>196</v>
      </c>
      <c r="S29" s="53" t="str">
        <f t="shared" si="15"/>
        <v>Normativo</v>
      </c>
      <c r="T29" s="53" t="str">
        <f t="shared" si="15"/>
        <v>NBR.Temática</v>
      </c>
      <c r="U29" s="52" t="str">
        <f t="shared" si="15"/>
        <v>NBR.Disciplinas</v>
      </c>
      <c r="V29" s="38" t="s">
        <v>474</v>
      </c>
      <c r="W29" s="59" t="str">
        <f t="shared" si="4"/>
        <v>Key-ABNT-29</v>
      </c>
      <c r="X29" s="38" t="s">
        <v>196</v>
      </c>
      <c r="Y29" s="38" t="s">
        <v>196</v>
      </c>
      <c r="Z29" s="53" t="s">
        <v>542</v>
      </c>
      <c r="AA29" s="38" t="str">
        <f t="shared" si="14"/>
        <v>Operation Discipline</v>
      </c>
    </row>
    <row r="30" spans="1:27" ht="7.5" customHeight="1" x14ac:dyDescent="0.3">
      <c r="A30" s="50">
        <v>30</v>
      </c>
      <c r="B30" s="54" t="s">
        <v>552</v>
      </c>
      <c r="C30" s="30" t="s">
        <v>561</v>
      </c>
      <c r="D30" s="30" t="s">
        <v>562</v>
      </c>
      <c r="E30" s="30" t="s">
        <v>548</v>
      </c>
      <c r="F30" s="10" t="s">
        <v>532</v>
      </c>
      <c r="G30" s="33" t="s">
        <v>196</v>
      </c>
      <c r="H30" s="33" t="s">
        <v>196</v>
      </c>
      <c r="I30" s="33" t="s">
        <v>196</v>
      </c>
      <c r="J30" s="33" t="s">
        <v>196</v>
      </c>
      <c r="K30" s="33" t="s">
        <v>196</v>
      </c>
      <c r="L30" s="52" t="str">
        <f t="shared" si="8"/>
        <v>Normativo</v>
      </c>
      <c r="M30" s="52" t="str">
        <f t="shared" si="9"/>
        <v>NBR.Temática</v>
      </c>
      <c r="N30" s="52" t="str">
        <f t="shared" si="10"/>
        <v>NBR.Disciplinas</v>
      </c>
      <c r="O30" s="52" t="str">
        <f t="shared" si="11"/>
        <v>NBR.D.Disciplina</v>
      </c>
      <c r="P30" s="52" t="s">
        <v>518</v>
      </c>
      <c r="Q30" s="38" t="str">
        <f t="shared" si="13"/>
        <v>Otras disciplinas</v>
      </c>
      <c r="R30" s="38" t="s">
        <v>196</v>
      </c>
      <c r="S30" s="53" t="str">
        <f t="shared" si="15"/>
        <v>Normativo</v>
      </c>
      <c r="T30" s="53" t="str">
        <f t="shared" si="15"/>
        <v>NBR.Temática</v>
      </c>
      <c r="U30" s="52" t="str">
        <f t="shared" si="15"/>
        <v>NBR.Disciplinas</v>
      </c>
      <c r="V30" s="38" t="s">
        <v>474</v>
      </c>
      <c r="W30" s="59" t="str">
        <f t="shared" si="4"/>
        <v>Key-ABNT-30</v>
      </c>
      <c r="X30" s="38" t="s">
        <v>196</v>
      </c>
      <c r="Y30" s="38" t="s">
        <v>196</v>
      </c>
      <c r="Z30" s="53" t="s">
        <v>547</v>
      </c>
      <c r="AA30" s="38" t="str">
        <f t="shared" si="14"/>
        <v>Other Disciplines</v>
      </c>
    </row>
    <row r="31" spans="1:27" ht="7.5" customHeight="1" x14ac:dyDescent="0.3">
      <c r="A31" s="50">
        <v>31</v>
      </c>
      <c r="B31" s="54" t="s">
        <v>552</v>
      </c>
      <c r="C31" s="30" t="s">
        <v>561</v>
      </c>
      <c r="D31" s="30" t="s">
        <v>562</v>
      </c>
      <c r="E31" s="30" t="s">
        <v>548</v>
      </c>
      <c r="F31" s="10" t="s">
        <v>528</v>
      </c>
      <c r="G31" s="33" t="s">
        <v>196</v>
      </c>
      <c r="H31" s="33" t="s">
        <v>196</v>
      </c>
      <c r="I31" s="33" t="s">
        <v>196</v>
      </c>
      <c r="J31" s="33" t="s">
        <v>196</v>
      </c>
      <c r="K31" s="33" t="s">
        <v>196</v>
      </c>
      <c r="L31" s="52" t="str">
        <f t="shared" si="8"/>
        <v>Normativo</v>
      </c>
      <c r="M31" s="52" t="str">
        <f t="shared" si="9"/>
        <v>NBR.Temática</v>
      </c>
      <c r="N31" s="52" t="str">
        <f t="shared" si="10"/>
        <v>NBR.Disciplinas</v>
      </c>
      <c r="O31" s="52" t="str">
        <f t="shared" si="11"/>
        <v>NBR.D.Planejamento</v>
      </c>
      <c r="P31" s="52" t="s">
        <v>519</v>
      </c>
      <c r="Q31" s="38" t="str">
        <f t="shared" si="13"/>
        <v>Disciplina de planificación</v>
      </c>
      <c r="R31" s="38" t="s">
        <v>196</v>
      </c>
      <c r="S31" s="53" t="str">
        <f t="shared" si="15"/>
        <v>Normativo</v>
      </c>
      <c r="T31" s="53" t="str">
        <f t="shared" si="15"/>
        <v>NBR.Temática</v>
      </c>
      <c r="U31" s="52" t="str">
        <f t="shared" si="15"/>
        <v>NBR.Disciplinas</v>
      </c>
      <c r="V31" s="38" t="s">
        <v>474</v>
      </c>
      <c r="W31" s="59" t="str">
        <f t="shared" si="4"/>
        <v>Key-ABNT-31</v>
      </c>
      <c r="X31" s="38" t="s">
        <v>196</v>
      </c>
      <c r="Y31" s="38" t="s">
        <v>196</v>
      </c>
      <c r="Z31" s="53" t="s">
        <v>535</v>
      </c>
      <c r="AA31" s="38" t="str">
        <f t="shared" si="14"/>
        <v>Planning Discipline</v>
      </c>
    </row>
    <row r="32" spans="1:27" ht="7.5" customHeight="1" x14ac:dyDescent="0.3">
      <c r="A32" s="50">
        <v>32</v>
      </c>
      <c r="B32" s="54" t="s">
        <v>552</v>
      </c>
      <c r="C32" s="30" t="s">
        <v>561</v>
      </c>
      <c r="D32" s="30" t="s">
        <v>562</v>
      </c>
      <c r="E32" s="30" t="s">
        <v>548</v>
      </c>
      <c r="F32" s="10" t="s">
        <v>533</v>
      </c>
      <c r="G32" s="33" t="s">
        <v>196</v>
      </c>
      <c r="H32" s="33" t="s">
        <v>196</v>
      </c>
      <c r="I32" s="33" t="s">
        <v>196</v>
      </c>
      <c r="J32" s="33" t="s">
        <v>196</v>
      </c>
      <c r="K32" s="33" t="s">
        <v>196</v>
      </c>
      <c r="L32" s="52" t="str">
        <f t="shared" si="8"/>
        <v>Normativo</v>
      </c>
      <c r="M32" s="52" t="str">
        <f t="shared" si="9"/>
        <v>NBR.Temática</v>
      </c>
      <c r="N32" s="52" t="str">
        <f t="shared" si="10"/>
        <v>NBR.Disciplinas</v>
      </c>
      <c r="O32" s="52" t="str">
        <f t="shared" si="11"/>
        <v>NBR.D.Restauro</v>
      </c>
      <c r="P32" s="52" t="s">
        <v>520</v>
      </c>
      <c r="Q32" s="38" t="str">
        <f t="shared" si="13"/>
        <v>Disciplina de la Restauración</v>
      </c>
      <c r="R32" s="38" t="s">
        <v>196</v>
      </c>
      <c r="S32" s="53" t="str">
        <f t="shared" si="15"/>
        <v>Normativo</v>
      </c>
      <c r="T32" s="53" t="str">
        <f t="shared" si="15"/>
        <v>NBR.Temática</v>
      </c>
      <c r="U32" s="52" t="str">
        <f t="shared" si="15"/>
        <v>NBR.Disciplinas</v>
      </c>
      <c r="V32" s="38" t="s">
        <v>474</v>
      </c>
      <c r="W32" s="59" t="str">
        <f t="shared" si="4"/>
        <v>Key-ABNT-32</v>
      </c>
      <c r="X32" s="38" t="s">
        <v>196</v>
      </c>
      <c r="Y32" s="38" t="s">
        <v>196</v>
      </c>
      <c r="Z32" s="53" t="s">
        <v>546</v>
      </c>
      <c r="AA32" s="38" t="str">
        <f t="shared" si="14"/>
        <v>Restoration Discipline</v>
      </c>
    </row>
  </sheetData>
  <conditionalFormatting sqref="A2:B6 A20:B32">
    <cfRule type="cellIs" dxfId="19" priority="4" operator="equal">
      <formula>"null"</formula>
    </cfRule>
  </conditionalFormatting>
  <conditionalFormatting sqref="F3:F6">
    <cfRule type="duplicateValues" dxfId="18" priority="5"/>
    <cfRule type="duplicateValues" dxfId="17" priority="6"/>
    <cfRule type="duplicateValues" dxfId="16" priority="7"/>
    <cfRule type="duplicateValues" dxfId="15" priority="8"/>
  </conditionalFormatting>
  <conditionalFormatting sqref="F20">
    <cfRule type="duplicateValues" dxfId="14" priority="17"/>
    <cfRule type="duplicateValues" dxfId="13" priority="19"/>
    <cfRule type="duplicateValues" dxfId="12" priority="20"/>
    <cfRule type="duplicateValues" dxfId="11" priority="21"/>
  </conditionalFormatting>
  <conditionalFormatting sqref="AA1:AA6 AA20:AA32">
    <cfRule type="cellIs" dxfId="10" priority="9" operator="equal">
      <formula>"null"</formula>
    </cfRule>
  </conditionalFormatting>
  <conditionalFormatting sqref="A7:B19">
    <cfRule type="cellIs" dxfId="2" priority="1" operator="equal">
      <formula>"null"</formula>
    </cfRule>
  </conditionalFormatting>
  <conditionalFormatting sqref="F7:F19">
    <cfRule type="duplicateValues" dxfId="1" priority="3"/>
  </conditionalFormatting>
  <conditionalFormatting sqref="AA7:AA19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3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3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7">
        <v>1</v>
      </c>
      <c r="B1" s="28" t="s">
        <v>195</v>
      </c>
      <c r="C1" s="28" t="s">
        <v>430</v>
      </c>
    </row>
    <row r="2" spans="1:3" x14ac:dyDescent="0.3">
      <c r="A2" s="23">
        <v>2</v>
      </c>
      <c r="B2" s="29" t="s">
        <v>196</v>
      </c>
      <c r="C2" s="29" t="s">
        <v>196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Y178"/>
  <sheetViews>
    <sheetView zoomScale="160" zoomScaleNormal="160" workbookViewId="0">
      <selection activeCell="C12" sqref="C12"/>
    </sheetView>
  </sheetViews>
  <sheetFormatPr defaultRowHeight="10.75" x14ac:dyDescent="0.3"/>
  <cols>
    <col min="1" max="1" width="3.69921875" bestFit="1" customWidth="1"/>
    <col min="2" max="2" width="11.296875" customWidth="1"/>
    <col min="3" max="3" width="11.796875" customWidth="1"/>
    <col min="4" max="4" width="9.296875" customWidth="1"/>
    <col min="5" max="5" width="7.69921875" bestFit="1" customWidth="1"/>
    <col min="6" max="6" width="5.19921875" customWidth="1"/>
    <col min="7" max="7" width="7.69921875" bestFit="1" customWidth="1"/>
    <col min="8" max="8" width="4.69921875" customWidth="1"/>
    <col min="9" max="9" width="5.19921875" bestFit="1" customWidth="1"/>
    <col min="10" max="10" width="4.296875" customWidth="1"/>
    <col min="11" max="11" width="8.296875" bestFit="1" customWidth="1"/>
    <col min="12" max="12" width="5.796875" customWidth="1"/>
    <col min="13" max="13" width="26.19921875" bestFit="1" customWidth="1"/>
    <col min="14" max="14" width="5.19921875" bestFit="1" customWidth="1"/>
    <col min="15" max="15" width="41.296875" bestFit="1" customWidth="1"/>
    <col min="16" max="16" width="7.296875" bestFit="1" customWidth="1"/>
    <col min="17" max="17" width="5.69921875" bestFit="1" customWidth="1"/>
    <col min="18" max="18" width="5" bestFit="1" customWidth="1"/>
    <col min="19" max="19" width="5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3.19921875" bestFit="1" customWidth="1"/>
    <col min="25" max="25" width="3.69921875" bestFit="1" customWidth="1"/>
  </cols>
  <sheetData>
    <row r="1" spans="1:25" ht="22" customHeight="1" x14ac:dyDescent="0.3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</row>
    <row r="2" spans="1:25" ht="6.65" customHeight="1" x14ac:dyDescent="0.3">
      <c r="A2" s="43">
        <v>2</v>
      </c>
      <c r="B2" s="44" t="s">
        <v>380</v>
      </c>
      <c r="C2" s="8" t="s">
        <v>561</v>
      </c>
      <c r="D2" s="57" t="s">
        <v>196</v>
      </c>
      <c r="E2" s="58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492</v>
      </c>
      <c r="L2" s="45" t="s">
        <v>432</v>
      </c>
      <c r="M2" s="46" t="s">
        <v>493</v>
      </c>
      <c r="N2" s="34" t="s">
        <v>1</v>
      </c>
      <c r="O2" s="47" t="s">
        <v>452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45" t="s">
        <v>196</v>
      </c>
      <c r="Y2" s="46" t="s">
        <v>196</v>
      </c>
    </row>
    <row r="3" spans="1:25" ht="6.65" customHeight="1" x14ac:dyDescent="0.3">
      <c r="A3" s="43">
        <v>3</v>
      </c>
      <c r="B3" s="7" t="s">
        <v>382</v>
      </c>
      <c r="C3" s="8" t="s">
        <v>495</v>
      </c>
      <c r="D3" s="57" t="s">
        <v>494</v>
      </c>
      <c r="E3" s="58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492</v>
      </c>
      <c r="L3" s="45" t="s">
        <v>432</v>
      </c>
      <c r="M3" s="46" t="s">
        <v>549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48" t="s">
        <v>196</v>
      </c>
      <c r="Y3" s="49" t="s">
        <v>196</v>
      </c>
    </row>
    <row r="4" spans="1:25" ht="6.65" customHeight="1" x14ac:dyDescent="0.3">
      <c r="A4" s="43">
        <v>4</v>
      </c>
      <c r="B4" s="7" t="s">
        <v>377</v>
      </c>
      <c r="C4" s="10" t="s">
        <v>496</v>
      </c>
      <c r="D4" s="57" t="s">
        <v>494</v>
      </c>
      <c r="E4" s="58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492</v>
      </c>
      <c r="L4" s="45" t="s">
        <v>432</v>
      </c>
      <c r="M4" s="46" t="s">
        <v>551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48" t="s">
        <v>196</v>
      </c>
      <c r="Y4" s="49" t="s">
        <v>196</v>
      </c>
    </row>
    <row r="5" spans="1:25" ht="6.65" customHeight="1" x14ac:dyDescent="0.3">
      <c r="A5" s="43">
        <v>5</v>
      </c>
      <c r="B5" s="7" t="s">
        <v>203</v>
      </c>
      <c r="C5" s="10" t="s">
        <v>528</v>
      </c>
      <c r="D5" s="57" t="s">
        <v>494</v>
      </c>
      <c r="E5" s="58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550</v>
      </c>
      <c r="L5" s="34" t="s">
        <v>432</v>
      </c>
      <c r="M5" s="35" t="s">
        <v>18</v>
      </c>
      <c r="N5" s="34" t="s">
        <v>1</v>
      </c>
      <c r="O5" s="11" t="s">
        <v>18</v>
      </c>
      <c r="P5" s="45" t="s">
        <v>453</v>
      </c>
      <c r="Q5" s="46" t="s">
        <v>491</v>
      </c>
      <c r="R5" s="45" t="s">
        <v>454</v>
      </c>
      <c r="S5" s="46" t="s">
        <v>491</v>
      </c>
      <c r="T5" s="48" t="s">
        <v>196</v>
      </c>
      <c r="U5" s="49" t="s">
        <v>196</v>
      </c>
      <c r="V5" s="48" t="s">
        <v>196</v>
      </c>
      <c r="W5" s="49" t="s">
        <v>196</v>
      </c>
      <c r="X5" s="48" t="s">
        <v>196</v>
      </c>
      <c r="Y5" s="49" t="s">
        <v>196</v>
      </c>
    </row>
    <row r="6" spans="1:25" ht="6.65" customHeight="1" x14ac:dyDescent="0.3">
      <c r="A6" s="43">
        <v>6</v>
      </c>
      <c r="B6" s="12" t="s">
        <v>204</v>
      </c>
      <c r="C6" s="10" t="s">
        <v>528</v>
      </c>
      <c r="D6" s="57" t="s">
        <v>494</v>
      </c>
      <c r="E6" s="58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550</v>
      </c>
      <c r="L6" s="34" t="s">
        <v>432</v>
      </c>
      <c r="M6" s="35" t="s">
        <v>18</v>
      </c>
      <c r="N6" s="34" t="s">
        <v>1</v>
      </c>
      <c r="O6" s="11" t="s">
        <v>19</v>
      </c>
      <c r="P6" s="45" t="s">
        <v>453</v>
      </c>
      <c r="Q6" s="46" t="s">
        <v>491</v>
      </c>
      <c r="R6" s="45" t="s">
        <v>454</v>
      </c>
      <c r="S6" s="46" t="s">
        <v>491</v>
      </c>
      <c r="T6" s="48" t="s">
        <v>196</v>
      </c>
      <c r="U6" s="49" t="s">
        <v>196</v>
      </c>
      <c r="V6" s="48" t="s">
        <v>196</v>
      </c>
      <c r="W6" s="49" t="s">
        <v>196</v>
      </c>
      <c r="X6" s="48" t="s">
        <v>196</v>
      </c>
      <c r="Y6" s="49" t="s">
        <v>196</v>
      </c>
    </row>
    <row r="7" spans="1:25" ht="6.65" customHeight="1" x14ac:dyDescent="0.3">
      <c r="A7" s="43">
        <v>7</v>
      </c>
      <c r="B7" s="12" t="s">
        <v>205</v>
      </c>
      <c r="C7" s="10" t="s">
        <v>528</v>
      </c>
      <c r="D7" s="57" t="s">
        <v>494</v>
      </c>
      <c r="E7" s="58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550</v>
      </c>
      <c r="L7" s="34" t="s">
        <v>432</v>
      </c>
      <c r="M7" s="35" t="s">
        <v>18</v>
      </c>
      <c r="N7" s="34" t="s">
        <v>1</v>
      </c>
      <c r="O7" s="11" t="s">
        <v>20</v>
      </c>
      <c r="P7" s="45" t="s">
        <v>453</v>
      </c>
      <c r="Q7" s="46" t="s">
        <v>491</v>
      </c>
      <c r="R7" s="45" t="s">
        <v>454</v>
      </c>
      <c r="S7" s="46" t="s">
        <v>491</v>
      </c>
      <c r="T7" s="48" t="s">
        <v>196</v>
      </c>
      <c r="U7" s="49" t="s">
        <v>196</v>
      </c>
      <c r="V7" s="48" t="s">
        <v>196</v>
      </c>
      <c r="W7" s="49" t="s">
        <v>196</v>
      </c>
      <c r="X7" s="48" t="s">
        <v>196</v>
      </c>
      <c r="Y7" s="49" t="s">
        <v>196</v>
      </c>
    </row>
    <row r="8" spans="1:25" ht="6.65" customHeight="1" x14ac:dyDescent="0.3">
      <c r="A8" s="43">
        <v>8</v>
      </c>
      <c r="B8" s="12" t="s">
        <v>206</v>
      </c>
      <c r="C8" s="10" t="s">
        <v>528</v>
      </c>
      <c r="D8" s="57" t="s">
        <v>494</v>
      </c>
      <c r="E8" s="58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550</v>
      </c>
      <c r="L8" s="34" t="s">
        <v>432</v>
      </c>
      <c r="M8" s="35" t="s">
        <v>18</v>
      </c>
      <c r="N8" s="34" t="s">
        <v>1</v>
      </c>
      <c r="O8" s="11" t="s">
        <v>21</v>
      </c>
      <c r="P8" s="45" t="s">
        <v>453</v>
      </c>
      <c r="Q8" s="46" t="s">
        <v>491</v>
      </c>
      <c r="R8" s="45" t="s">
        <v>454</v>
      </c>
      <c r="S8" s="46" t="s">
        <v>491</v>
      </c>
      <c r="T8" s="48" t="s">
        <v>196</v>
      </c>
      <c r="U8" s="49" t="s">
        <v>196</v>
      </c>
      <c r="V8" s="48" t="s">
        <v>196</v>
      </c>
      <c r="W8" s="49" t="s">
        <v>196</v>
      </c>
      <c r="X8" s="48" t="s">
        <v>196</v>
      </c>
      <c r="Y8" s="49" t="s">
        <v>196</v>
      </c>
    </row>
    <row r="9" spans="1:25" ht="6.65" customHeight="1" x14ac:dyDescent="0.3">
      <c r="A9" s="43">
        <v>9</v>
      </c>
      <c r="B9" s="12" t="s">
        <v>207</v>
      </c>
      <c r="C9" s="10" t="s">
        <v>528</v>
      </c>
      <c r="D9" s="57" t="s">
        <v>494</v>
      </c>
      <c r="E9" s="58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550</v>
      </c>
      <c r="L9" s="34" t="s">
        <v>432</v>
      </c>
      <c r="M9" s="35" t="s">
        <v>18</v>
      </c>
      <c r="N9" s="34" t="s">
        <v>1</v>
      </c>
      <c r="O9" s="11" t="s">
        <v>22</v>
      </c>
      <c r="P9" s="45" t="s">
        <v>453</v>
      </c>
      <c r="Q9" s="46" t="s">
        <v>491</v>
      </c>
      <c r="R9" s="45" t="s">
        <v>454</v>
      </c>
      <c r="S9" s="46" t="s">
        <v>491</v>
      </c>
      <c r="T9" s="48" t="s">
        <v>196</v>
      </c>
      <c r="U9" s="49" t="s">
        <v>196</v>
      </c>
      <c r="V9" s="48" t="s">
        <v>196</v>
      </c>
      <c r="W9" s="49" t="s">
        <v>196</v>
      </c>
      <c r="X9" s="48" t="s">
        <v>196</v>
      </c>
      <c r="Y9" s="49" t="s">
        <v>196</v>
      </c>
    </row>
    <row r="10" spans="1:25" ht="6.65" customHeight="1" x14ac:dyDescent="0.3">
      <c r="A10" s="43">
        <v>10</v>
      </c>
      <c r="B10" s="12" t="s">
        <v>208</v>
      </c>
      <c r="C10" s="10" t="s">
        <v>528</v>
      </c>
      <c r="D10" s="57" t="s">
        <v>494</v>
      </c>
      <c r="E10" s="58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550</v>
      </c>
      <c r="L10" s="34" t="s">
        <v>432</v>
      </c>
      <c r="M10" s="35" t="s">
        <v>18</v>
      </c>
      <c r="N10" s="34" t="s">
        <v>1</v>
      </c>
      <c r="O10" s="11" t="s">
        <v>23</v>
      </c>
      <c r="P10" s="45" t="s">
        <v>453</v>
      </c>
      <c r="Q10" s="46" t="s">
        <v>491</v>
      </c>
      <c r="R10" s="45" t="s">
        <v>454</v>
      </c>
      <c r="S10" s="46" t="s">
        <v>491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48" t="s">
        <v>196</v>
      </c>
      <c r="Y10" s="49" t="s">
        <v>196</v>
      </c>
    </row>
    <row r="11" spans="1:25" ht="6.65" customHeight="1" x14ac:dyDescent="0.3">
      <c r="A11" s="43">
        <v>11</v>
      </c>
      <c r="B11" s="12" t="s">
        <v>209</v>
      </c>
      <c r="C11" s="10" t="s">
        <v>528</v>
      </c>
      <c r="D11" s="57" t="s">
        <v>494</v>
      </c>
      <c r="E11" s="58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550</v>
      </c>
      <c r="L11" s="34" t="s">
        <v>432</v>
      </c>
      <c r="M11" s="35" t="s">
        <v>18</v>
      </c>
      <c r="N11" s="34" t="s">
        <v>1</v>
      </c>
      <c r="O11" s="11" t="s">
        <v>24</v>
      </c>
      <c r="P11" s="45" t="s">
        <v>453</v>
      </c>
      <c r="Q11" s="46" t="s">
        <v>491</v>
      </c>
      <c r="R11" s="45" t="s">
        <v>454</v>
      </c>
      <c r="S11" s="46" t="s">
        <v>491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48" t="s">
        <v>196</v>
      </c>
      <c r="Y11" s="49" t="s">
        <v>196</v>
      </c>
    </row>
    <row r="12" spans="1:25" ht="6.65" customHeight="1" x14ac:dyDescent="0.3">
      <c r="A12" s="43">
        <v>12</v>
      </c>
      <c r="B12" s="12" t="s">
        <v>210</v>
      </c>
      <c r="C12" s="10" t="s">
        <v>528</v>
      </c>
      <c r="D12" s="57" t="s">
        <v>494</v>
      </c>
      <c r="E12" s="58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550</v>
      </c>
      <c r="L12" s="34" t="s">
        <v>432</v>
      </c>
      <c r="M12" s="35" t="s">
        <v>18</v>
      </c>
      <c r="N12" s="34" t="s">
        <v>1</v>
      </c>
      <c r="O12" s="11" t="s">
        <v>25</v>
      </c>
      <c r="P12" s="45" t="s">
        <v>453</v>
      </c>
      <c r="Q12" s="46" t="s">
        <v>491</v>
      </c>
      <c r="R12" s="45" t="s">
        <v>454</v>
      </c>
      <c r="S12" s="46" t="s">
        <v>491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48" t="s">
        <v>196</v>
      </c>
      <c r="Y12" s="49" t="s">
        <v>196</v>
      </c>
    </row>
    <row r="13" spans="1:25" ht="6.65" customHeight="1" x14ac:dyDescent="0.3">
      <c r="A13" s="43">
        <v>13</v>
      </c>
      <c r="B13" s="12" t="s">
        <v>211</v>
      </c>
      <c r="C13" s="10" t="s">
        <v>528</v>
      </c>
      <c r="D13" s="57" t="s">
        <v>494</v>
      </c>
      <c r="E13" s="58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550</v>
      </c>
      <c r="L13" s="34" t="s">
        <v>432</v>
      </c>
      <c r="M13" s="35" t="s">
        <v>18</v>
      </c>
      <c r="N13" s="34" t="s">
        <v>1</v>
      </c>
      <c r="O13" s="11" t="s">
        <v>26</v>
      </c>
      <c r="P13" s="45" t="s">
        <v>453</v>
      </c>
      <c r="Q13" s="46" t="s">
        <v>491</v>
      </c>
      <c r="R13" s="45" t="s">
        <v>454</v>
      </c>
      <c r="S13" s="46" t="s">
        <v>491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48" t="s">
        <v>196</v>
      </c>
      <c r="Y13" s="49" t="s">
        <v>196</v>
      </c>
    </row>
    <row r="14" spans="1:25" ht="6.65" customHeight="1" x14ac:dyDescent="0.3">
      <c r="A14" s="43">
        <v>14</v>
      </c>
      <c r="B14" s="12" t="s">
        <v>212</v>
      </c>
      <c r="C14" s="10" t="s">
        <v>528</v>
      </c>
      <c r="D14" s="57" t="s">
        <v>494</v>
      </c>
      <c r="E14" s="58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550</v>
      </c>
      <c r="L14" s="34" t="s">
        <v>432</v>
      </c>
      <c r="M14" s="35" t="s">
        <v>18</v>
      </c>
      <c r="N14" s="34" t="s">
        <v>1</v>
      </c>
      <c r="O14" s="11" t="s">
        <v>27</v>
      </c>
      <c r="P14" s="45" t="s">
        <v>453</v>
      </c>
      <c r="Q14" s="46" t="s">
        <v>491</v>
      </c>
      <c r="R14" s="45" t="s">
        <v>454</v>
      </c>
      <c r="S14" s="46" t="s">
        <v>491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48" t="s">
        <v>196</v>
      </c>
      <c r="Y14" s="49" t="s">
        <v>196</v>
      </c>
    </row>
    <row r="15" spans="1:25" ht="6.65" customHeight="1" x14ac:dyDescent="0.3">
      <c r="A15" s="43">
        <v>15</v>
      </c>
      <c r="B15" s="12" t="s">
        <v>213</v>
      </c>
      <c r="C15" s="10" t="s">
        <v>528</v>
      </c>
      <c r="D15" s="57" t="s">
        <v>494</v>
      </c>
      <c r="E15" s="58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550</v>
      </c>
      <c r="L15" s="34" t="s">
        <v>432</v>
      </c>
      <c r="M15" s="35" t="s">
        <v>18</v>
      </c>
      <c r="N15" s="34" t="s">
        <v>1</v>
      </c>
      <c r="O15" s="11" t="s">
        <v>28</v>
      </c>
      <c r="P15" s="45" t="s">
        <v>453</v>
      </c>
      <c r="Q15" s="46" t="s">
        <v>491</v>
      </c>
      <c r="R15" s="45" t="s">
        <v>454</v>
      </c>
      <c r="S15" s="46" t="s">
        <v>491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48" t="s">
        <v>196</v>
      </c>
      <c r="Y15" s="49" t="s">
        <v>196</v>
      </c>
    </row>
    <row r="16" spans="1:25" ht="6.65" customHeight="1" x14ac:dyDescent="0.3">
      <c r="A16" s="43">
        <v>16</v>
      </c>
      <c r="B16" s="12" t="s">
        <v>214</v>
      </c>
      <c r="C16" s="10" t="s">
        <v>528</v>
      </c>
      <c r="D16" s="57" t="s">
        <v>494</v>
      </c>
      <c r="E16" s="58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550</v>
      </c>
      <c r="L16" s="34" t="s">
        <v>432</v>
      </c>
      <c r="M16" s="35" t="s">
        <v>18</v>
      </c>
      <c r="N16" s="34" t="s">
        <v>1</v>
      </c>
      <c r="O16" s="11" t="s">
        <v>29</v>
      </c>
      <c r="P16" s="45" t="s">
        <v>453</v>
      </c>
      <c r="Q16" s="46" t="s">
        <v>491</v>
      </c>
      <c r="R16" s="45" t="s">
        <v>454</v>
      </c>
      <c r="S16" s="46" t="s">
        <v>491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48" t="s">
        <v>196</v>
      </c>
      <c r="Y16" s="49" t="s">
        <v>196</v>
      </c>
    </row>
    <row r="17" spans="1:25" ht="6.65" customHeight="1" x14ac:dyDescent="0.3">
      <c r="A17" s="43">
        <v>17</v>
      </c>
      <c r="B17" s="12" t="s">
        <v>215</v>
      </c>
      <c r="C17" s="10" t="s">
        <v>528</v>
      </c>
      <c r="D17" s="57" t="s">
        <v>494</v>
      </c>
      <c r="E17" s="58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550</v>
      </c>
      <c r="L17" s="34" t="s">
        <v>432</v>
      </c>
      <c r="M17" s="35" t="s">
        <v>18</v>
      </c>
      <c r="N17" s="34" t="s">
        <v>1</v>
      </c>
      <c r="O17" s="11" t="s">
        <v>30</v>
      </c>
      <c r="P17" s="45" t="s">
        <v>453</v>
      </c>
      <c r="Q17" s="46" t="s">
        <v>491</v>
      </c>
      <c r="R17" s="45" t="s">
        <v>454</v>
      </c>
      <c r="S17" s="46" t="s">
        <v>491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48" t="s">
        <v>196</v>
      </c>
      <c r="Y17" s="49" t="s">
        <v>196</v>
      </c>
    </row>
    <row r="18" spans="1:25" ht="6.65" customHeight="1" x14ac:dyDescent="0.3">
      <c r="A18" s="43">
        <v>18</v>
      </c>
      <c r="B18" s="12" t="s">
        <v>216</v>
      </c>
      <c r="C18" s="10" t="s">
        <v>528</v>
      </c>
      <c r="D18" s="57" t="s">
        <v>494</v>
      </c>
      <c r="E18" s="58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550</v>
      </c>
      <c r="L18" s="34" t="s">
        <v>432</v>
      </c>
      <c r="M18" s="35" t="s">
        <v>18</v>
      </c>
      <c r="N18" s="34" t="s">
        <v>1</v>
      </c>
      <c r="O18" s="11" t="s">
        <v>31</v>
      </c>
      <c r="P18" s="45" t="s">
        <v>453</v>
      </c>
      <c r="Q18" s="46" t="s">
        <v>491</v>
      </c>
      <c r="R18" s="45" t="s">
        <v>454</v>
      </c>
      <c r="S18" s="46" t="s">
        <v>491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48" t="s">
        <v>196</v>
      </c>
      <c r="Y18" s="49" t="s">
        <v>196</v>
      </c>
    </row>
    <row r="19" spans="1:25" ht="6.65" customHeight="1" x14ac:dyDescent="0.3">
      <c r="A19" s="43">
        <v>19</v>
      </c>
      <c r="B19" s="12" t="s">
        <v>217</v>
      </c>
      <c r="C19" s="10" t="s">
        <v>528</v>
      </c>
      <c r="D19" s="57" t="s">
        <v>494</v>
      </c>
      <c r="E19" s="58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550</v>
      </c>
      <c r="L19" s="34" t="s">
        <v>432</v>
      </c>
      <c r="M19" s="35" t="s">
        <v>18</v>
      </c>
      <c r="N19" s="34" t="s">
        <v>1</v>
      </c>
      <c r="O19" s="11" t="s">
        <v>32</v>
      </c>
      <c r="P19" s="45" t="s">
        <v>453</v>
      </c>
      <c r="Q19" s="46" t="s">
        <v>491</v>
      </c>
      <c r="R19" s="45" t="s">
        <v>454</v>
      </c>
      <c r="S19" s="46" t="s">
        <v>491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48" t="s">
        <v>196</v>
      </c>
      <c r="Y19" s="49" t="s">
        <v>196</v>
      </c>
    </row>
    <row r="20" spans="1:25" ht="6.65" customHeight="1" x14ac:dyDescent="0.3">
      <c r="A20" s="43">
        <v>20</v>
      </c>
      <c r="B20" s="7" t="s">
        <v>218</v>
      </c>
      <c r="C20" s="10" t="s">
        <v>521</v>
      </c>
      <c r="D20" s="57" t="s">
        <v>494</v>
      </c>
      <c r="E20" s="58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550</v>
      </c>
      <c r="L20" s="34" t="s">
        <v>432</v>
      </c>
      <c r="M20" s="35" t="s">
        <v>34</v>
      </c>
      <c r="N20" s="34" t="s">
        <v>1</v>
      </c>
      <c r="O20" s="11" t="s">
        <v>33</v>
      </c>
      <c r="P20" s="45" t="s">
        <v>453</v>
      </c>
      <c r="Q20" s="46" t="s">
        <v>491</v>
      </c>
      <c r="R20" s="45" t="s">
        <v>454</v>
      </c>
      <c r="S20" s="46" t="s">
        <v>491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48" t="s">
        <v>196</v>
      </c>
      <c r="Y20" s="49" t="s">
        <v>196</v>
      </c>
    </row>
    <row r="21" spans="1:25" ht="6.65" customHeight="1" x14ac:dyDescent="0.3">
      <c r="A21" s="43">
        <v>21</v>
      </c>
      <c r="B21" s="12" t="s">
        <v>219</v>
      </c>
      <c r="C21" s="10" t="s">
        <v>521</v>
      </c>
      <c r="D21" s="57" t="s">
        <v>494</v>
      </c>
      <c r="E21" s="58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550</v>
      </c>
      <c r="L21" s="34" t="s">
        <v>432</v>
      </c>
      <c r="M21" s="35" t="s">
        <v>34</v>
      </c>
      <c r="N21" s="34" t="s">
        <v>1</v>
      </c>
      <c r="O21" s="11" t="s">
        <v>34</v>
      </c>
      <c r="P21" s="45" t="s">
        <v>453</v>
      </c>
      <c r="Q21" s="46" t="s">
        <v>491</v>
      </c>
      <c r="R21" s="45" t="s">
        <v>454</v>
      </c>
      <c r="S21" s="46" t="s">
        <v>491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48" t="s">
        <v>196</v>
      </c>
      <c r="Y21" s="49" t="s">
        <v>196</v>
      </c>
    </row>
    <row r="22" spans="1:25" ht="6.65" customHeight="1" x14ac:dyDescent="0.3">
      <c r="A22" s="43">
        <v>22</v>
      </c>
      <c r="B22" s="12" t="s">
        <v>220</v>
      </c>
      <c r="C22" s="10" t="s">
        <v>521</v>
      </c>
      <c r="D22" s="57" t="s">
        <v>494</v>
      </c>
      <c r="E22" s="58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550</v>
      </c>
      <c r="L22" s="34" t="s">
        <v>432</v>
      </c>
      <c r="M22" s="35" t="s">
        <v>34</v>
      </c>
      <c r="N22" s="34" t="s">
        <v>1</v>
      </c>
      <c r="O22" s="11" t="s">
        <v>35</v>
      </c>
      <c r="P22" s="45" t="s">
        <v>453</v>
      </c>
      <c r="Q22" s="46" t="s">
        <v>491</v>
      </c>
      <c r="R22" s="45" t="s">
        <v>454</v>
      </c>
      <c r="S22" s="46" t="s">
        <v>491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48" t="s">
        <v>196</v>
      </c>
      <c r="Y22" s="49" t="s">
        <v>196</v>
      </c>
    </row>
    <row r="23" spans="1:25" ht="6.65" customHeight="1" x14ac:dyDescent="0.3">
      <c r="A23" s="43">
        <v>23</v>
      </c>
      <c r="B23" s="12" t="s">
        <v>221</v>
      </c>
      <c r="C23" s="10" t="s">
        <v>521</v>
      </c>
      <c r="D23" s="57" t="s">
        <v>494</v>
      </c>
      <c r="E23" s="58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550</v>
      </c>
      <c r="L23" s="34" t="s">
        <v>432</v>
      </c>
      <c r="M23" s="35" t="s">
        <v>34</v>
      </c>
      <c r="N23" s="34" t="s">
        <v>1</v>
      </c>
      <c r="O23" s="11" t="s">
        <v>36</v>
      </c>
      <c r="P23" s="45" t="s">
        <v>453</v>
      </c>
      <c r="Q23" s="46" t="s">
        <v>491</v>
      </c>
      <c r="R23" s="45" t="s">
        <v>454</v>
      </c>
      <c r="S23" s="46" t="s">
        <v>491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48" t="s">
        <v>196</v>
      </c>
      <c r="Y23" s="49" t="s">
        <v>196</v>
      </c>
    </row>
    <row r="24" spans="1:25" ht="6.65" customHeight="1" x14ac:dyDescent="0.3">
      <c r="A24" s="43">
        <v>24</v>
      </c>
      <c r="B24" s="12" t="s">
        <v>222</v>
      </c>
      <c r="C24" s="10" t="s">
        <v>521</v>
      </c>
      <c r="D24" s="57" t="s">
        <v>494</v>
      </c>
      <c r="E24" s="58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550</v>
      </c>
      <c r="L24" s="34" t="s">
        <v>432</v>
      </c>
      <c r="M24" s="35" t="s">
        <v>34</v>
      </c>
      <c r="N24" s="34" t="s">
        <v>1</v>
      </c>
      <c r="O24" s="11" t="s">
        <v>37</v>
      </c>
      <c r="P24" s="45" t="s">
        <v>453</v>
      </c>
      <c r="Q24" s="46" t="s">
        <v>491</v>
      </c>
      <c r="R24" s="45" t="s">
        <v>454</v>
      </c>
      <c r="S24" s="46" t="s">
        <v>491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48" t="s">
        <v>196</v>
      </c>
      <c r="Y24" s="49" t="s">
        <v>196</v>
      </c>
    </row>
    <row r="25" spans="1:25" ht="6.65" customHeight="1" x14ac:dyDescent="0.3">
      <c r="A25" s="43">
        <v>25</v>
      </c>
      <c r="B25" s="12" t="s">
        <v>223</v>
      </c>
      <c r="C25" s="10" t="s">
        <v>521</v>
      </c>
      <c r="D25" s="57" t="s">
        <v>494</v>
      </c>
      <c r="E25" s="58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550</v>
      </c>
      <c r="L25" s="34" t="s">
        <v>432</v>
      </c>
      <c r="M25" s="35" t="s">
        <v>34</v>
      </c>
      <c r="N25" s="34" t="s">
        <v>1</v>
      </c>
      <c r="O25" s="11" t="s">
        <v>38</v>
      </c>
      <c r="P25" s="45" t="s">
        <v>453</v>
      </c>
      <c r="Q25" s="46" t="s">
        <v>491</v>
      </c>
      <c r="R25" s="45" t="s">
        <v>454</v>
      </c>
      <c r="S25" s="46" t="s">
        <v>491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48" t="s">
        <v>196</v>
      </c>
      <c r="Y25" s="49" t="s">
        <v>196</v>
      </c>
    </row>
    <row r="26" spans="1:25" ht="6.65" customHeight="1" x14ac:dyDescent="0.3">
      <c r="A26" s="43">
        <v>26</v>
      </c>
      <c r="B26" s="12" t="s">
        <v>224</v>
      </c>
      <c r="C26" s="10" t="s">
        <v>521</v>
      </c>
      <c r="D26" s="57" t="s">
        <v>494</v>
      </c>
      <c r="E26" s="58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550</v>
      </c>
      <c r="L26" s="34" t="s">
        <v>432</v>
      </c>
      <c r="M26" s="35" t="s">
        <v>34</v>
      </c>
      <c r="N26" s="34" t="s">
        <v>1</v>
      </c>
      <c r="O26" s="11" t="s">
        <v>39</v>
      </c>
      <c r="P26" s="45" t="s">
        <v>453</v>
      </c>
      <c r="Q26" s="46" t="s">
        <v>491</v>
      </c>
      <c r="R26" s="45" t="s">
        <v>454</v>
      </c>
      <c r="S26" s="46" t="s">
        <v>491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48" t="s">
        <v>196</v>
      </c>
      <c r="Y26" s="49" t="s">
        <v>196</v>
      </c>
    </row>
    <row r="27" spans="1:25" ht="6.65" customHeight="1" x14ac:dyDescent="0.3">
      <c r="A27" s="43">
        <v>27</v>
      </c>
      <c r="B27" s="12" t="s">
        <v>225</v>
      </c>
      <c r="C27" s="10" t="s">
        <v>521</v>
      </c>
      <c r="D27" s="57" t="s">
        <v>494</v>
      </c>
      <c r="E27" s="58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550</v>
      </c>
      <c r="L27" s="34" t="s">
        <v>432</v>
      </c>
      <c r="M27" s="35" t="s">
        <v>34</v>
      </c>
      <c r="N27" s="34" t="s">
        <v>1</v>
      </c>
      <c r="O27" s="11" t="s">
        <v>40</v>
      </c>
      <c r="P27" s="45" t="s">
        <v>453</v>
      </c>
      <c r="Q27" s="46" t="s">
        <v>491</v>
      </c>
      <c r="R27" s="45" t="s">
        <v>454</v>
      </c>
      <c r="S27" s="46" t="s">
        <v>491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48" t="s">
        <v>196</v>
      </c>
      <c r="Y27" s="49" t="s">
        <v>196</v>
      </c>
    </row>
    <row r="28" spans="1:25" ht="6.65" customHeight="1" x14ac:dyDescent="0.3">
      <c r="A28" s="43">
        <v>28</v>
      </c>
      <c r="B28" s="12" t="s">
        <v>226</v>
      </c>
      <c r="C28" s="10" t="s">
        <v>521</v>
      </c>
      <c r="D28" s="57" t="s">
        <v>494</v>
      </c>
      <c r="E28" s="58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550</v>
      </c>
      <c r="L28" s="34" t="s">
        <v>432</v>
      </c>
      <c r="M28" s="35" t="s">
        <v>34</v>
      </c>
      <c r="N28" s="34" t="s">
        <v>1</v>
      </c>
      <c r="O28" s="11" t="s">
        <v>41</v>
      </c>
      <c r="P28" s="45" t="s">
        <v>453</v>
      </c>
      <c r="Q28" s="46" t="s">
        <v>491</v>
      </c>
      <c r="R28" s="45" t="s">
        <v>454</v>
      </c>
      <c r="S28" s="46" t="s">
        <v>491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48" t="s">
        <v>196</v>
      </c>
      <c r="Y28" s="49" t="s">
        <v>196</v>
      </c>
    </row>
    <row r="29" spans="1:25" ht="6.65" customHeight="1" x14ac:dyDescent="0.3">
      <c r="A29" s="43">
        <v>29</v>
      </c>
      <c r="B29" s="12" t="s">
        <v>227</v>
      </c>
      <c r="C29" s="10" t="s">
        <v>521</v>
      </c>
      <c r="D29" s="57" t="s">
        <v>494</v>
      </c>
      <c r="E29" s="58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550</v>
      </c>
      <c r="L29" s="34" t="s">
        <v>432</v>
      </c>
      <c r="M29" s="35" t="s">
        <v>34</v>
      </c>
      <c r="N29" s="34" t="s">
        <v>1</v>
      </c>
      <c r="O29" s="11" t="s">
        <v>433</v>
      </c>
      <c r="P29" s="45" t="s">
        <v>453</v>
      </c>
      <c r="Q29" s="46" t="s">
        <v>491</v>
      </c>
      <c r="R29" s="45" t="s">
        <v>454</v>
      </c>
      <c r="S29" s="46" t="s">
        <v>491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48" t="s">
        <v>196</v>
      </c>
      <c r="Y29" s="49" t="s">
        <v>196</v>
      </c>
    </row>
    <row r="30" spans="1:25" ht="6.65" customHeight="1" x14ac:dyDescent="0.3">
      <c r="A30" s="43">
        <v>30</v>
      </c>
      <c r="B30" s="12" t="s">
        <v>228</v>
      </c>
      <c r="C30" s="10" t="s">
        <v>521</v>
      </c>
      <c r="D30" s="57" t="s">
        <v>494</v>
      </c>
      <c r="E30" s="58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550</v>
      </c>
      <c r="L30" s="34" t="s">
        <v>432</v>
      </c>
      <c r="M30" s="35" t="s">
        <v>34</v>
      </c>
      <c r="N30" s="34" t="s">
        <v>1</v>
      </c>
      <c r="O30" s="11" t="s">
        <v>42</v>
      </c>
      <c r="P30" s="45" t="s">
        <v>453</v>
      </c>
      <c r="Q30" s="46" t="s">
        <v>491</v>
      </c>
      <c r="R30" s="45" t="s">
        <v>454</v>
      </c>
      <c r="S30" s="46" t="s">
        <v>491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48" t="s">
        <v>196</v>
      </c>
      <c r="Y30" s="49" t="s">
        <v>196</v>
      </c>
    </row>
    <row r="31" spans="1:25" ht="6.65" customHeight="1" x14ac:dyDescent="0.3">
      <c r="A31" s="43">
        <v>31</v>
      </c>
      <c r="B31" s="12" t="s">
        <v>229</v>
      </c>
      <c r="C31" s="10" t="s">
        <v>521</v>
      </c>
      <c r="D31" s="57" t="s">
        <v>494</v>
      </c>
      <c r="E31" s="58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550</v>
      </c>
      <c r="L31" s="34" t="s">
        <v>432</v>
      </c>
      <c r="M31" s="35" t="s">
        <v>34</v>
      </c>
      <c r="N31" s="34" t="s">
        <v>1</v>
      </c>
      <c r="O31" s="11" t="s">
        <v>43</v>
      </c>
      <c r="P31" s="45" t="s">
        <v>453</v>
      </c>
      <c r="Q31" s="46" t="s">
        <v>491</v>
      </c>
      <c r="R31" s="45" t="s">
        <v>454</v>
      </c>
      <c r="S31" s="46" t="s">
        <v>491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48" t="s">
        <v>196</v>
      </c>
      <c r="Y31" s="49" t="s">
        <v>196</v>
      </c>
    </row>
    <row r="32" spans="1:25" ht="6.65" customHeight="1" x14ac:dyDescent="0.3">
      <c r="A32" s="43">
        <v>32</v>
      </c>
      <c r="B32" s="12" t="s">
        <v>230</v>
      </c>
      <c r="C32" s="10" t="s">
        <v>523</v>
      </c>
      <c r="D32" s="57" t="s">
        <v>494</v>
      </c>
      <c r="E32" s="58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550</v>
      </c>
      <c r="L32" s="34" t="s">
        <v>432</v>
      </c>
      <c r="M32" s="35" t="s">
        <v>44</v>
      </c>
      <c r="N32" s="34" t="s">
        <v>1</v>
      </c>
      <c r="O32" s="11" t="s">
        <v>44</v>
      </c>
      <c r="P32" s="45" t="s">
        <v>453</v>
      </c>
      <c r="Q32" s="46" t="s">
        <v>491</v>
      </c>
      <c r="R32" s="45" t="s">
        <v>454</v>
      </c>
      <c r="S32" s="46" t="s">
        <v>491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48" t="s">
        <v>196</v>
      </c>
      <c r="Y32" s="49" t="s">
        <v>196</v>
      </c>
    </row>
    <row r="33" spans="1:25" ht="6.65" customHeight="1" x14ac:dyDescent="0.3">
      <c r="A33" s="43">
        <v>33</v>
      </c>
      <c r="B33" s="12" t="s">
        <v>231</v>
      </c>
      <c r="C33" s="10" t="s">
        <v>523</v>
      </c>
      <c r="D33" s="57" t="s">
        <v>494</v>
      </c>
      <c r="E33" s="58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550</v>
      </c>
      <c r="L33" s="34" t="s">
        <v>432</v>
      </c>
      <c r="M33" s="35" t="s">
        <v>44</v>
      </c>
      <c r="N33" s="34" t="s">
        <v>1</v>
      </c>
      <c r="O33" s="11" t="s">
        <v>45</v>
      </c>
      <c r="P33" s="45" t="s">
        <v>453</v>
      </c>
      <c r="Q33" s="46" t="s">
        <v>491</v>
      </c>
      <c r="R33" s="45" t="s">
        <v>454</v>
      </c>
      <c r="S33" s="46" t="s">
        <v>491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48" t="s">
        <v>196</v>
      </c>
      <c r="Y33" s="49" t="s">
        <v>196</v>
      </c>
    </row>
    <row r="34" spans="1:25" ht="6.65" customHeight="1" x14ac:dyDescent="0.3">
      <c r="A34" s="43">
        <v>34</v>
      </c>
      <c r="B34" s="12" t="s">
        <v>232</v>
      </c>
      <c r="C34" s="10" t="s">
        <v>523</v>
      </c>
      <c r="D34" s="57" t="s">
        <v>494</v>
      </c>
      <c r="E34" s="58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550</v>
      </c>
      <c r="L34" s="34" t="s">
        <v>432</v>
      </c>
      <c r="M34" s="35" t="s">
        <v>44</v>
      </c>
      <c r="N34" s="34" t="s">
        <v>1</v>
      </c>
      <c r="O34" s="11" t="s">
        <v>46</v>
      </c>
      <c r="P34" s="45" t="s">
        <v>453</v>
      </c>
      <c r="Q34" s="46" t="s">
        <v>491</v>
      </c>
      <c r="R34" s="45" t="s">
        <v>454</v>
      </c>
      <c r="S34" s="46" t="s">
        <v>491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48" t="s">
        <v>196</v>
      </c>
      <c r="Y34" s="49" t="s">
        <v>196</v>
      </c>
    </row>
    <row r="35" spans="1:25" ht="6.65" customHeight="1" x14ac:dyDescent="0.3">
      <c r="A35" s="43">
        <v>35</v>
      </c>
      <c r="B35" s="12" t="s">
        <v>233</v>
      </c>
      <c r="C35" s="10" t="s">
        <v>523</v>
      </c>
      <c r="D35" s="57" t="s">
        <v>494</v>
      </c>
      <c r="E35" s="58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550</v>
      </c>
      <c r="L35" s="34" t="s">
        <v>432</v>
      </c>
      <c r="M35" s="35" t="s">
        <v>44</v>
      </c>
      <c r="N35" s="34" t="s">
        <v>1</v>
      </c>
      <c r="O35" s="11" t="s">
        <v>47</v>
      </c>
      <c r="P35" s="45" t="s">
        <v>453</v>
      </c>
      <c r="Q35" s="46" t="s">
        <v>491</v>
      </c>
      <c r="R35" s="45" t="s">
        <v>454</v>
      </c>
      <c r="S35" s="46" t="s">
        <v>491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48" t="s">
        <v>196</v>
      </c>
      <c r="Y35" s="49" t="s">
        <v>196</v>
      </c>
    </row>
    <row r="36" spans="1:25" ht="6.65" customHeight="1" x14ac:dyDescent="0.3">
      <c r="A36" s="43">
        <v>36</v>
      </c>
      <c r="B36" s="12" t="s">
        <v>234</v>
      </c>
      <c r="C36" s="10" t="s">
        <v>523</v>
      </c>
      <c r="D36" s="57" t="s">
        <v>494</v>
      </c>
      <c r="E36" s="58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550</v>
      </c>
      <c r="L36" s="34" t="s">
        <v>432</v>
      </c>
      <c r="M36" s="35" t="s">
        <v>44</v>
      </c>
      <c r="N36" s="34" t="s">
        <v>1</v>
      </c>
      <c r="O36" s="11" t="s">
        <v>48</v>
      </c>
      <c r="P36" s="45" t="s">
        <v>453</v>
      </c>
      <c r="Q36" s="46" t="s">
        <v>491</v>
      </c>
      <c r="R36" s="45" t="s">
        <v>454</v>
      </c>
      <c r="S36" s="46" t="s">
        <v>491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48" t="s">
        <v>196</v>
      </c>
      <c r="Y36" s="49" t="s">
        <v>196</v>
      </c>
    </row>
    <row r="37" spans="1:25" ht="6.65" customHeight="1" x14ac:dyDescent="0.3">
      <c r="A37" s="43">
        <v>37</v>
      </c>
      <c r="B37" s="12" t="s">
        <v>235</v>
      </c>
      <c r="C37" s="10" t="s">
        <v>523</v>
      </c>
      <c r="D37" s="57" t="s">
        <v>494</v>
      </c>
      <c r="E37" s="58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550</v>
      </c>
      <c r="L37" s="34" t="s">
        <v>432</v>
      </c>
      <c r="M37" s="35" t="s">
        <v>44</v>
      </c>
      <c r="N37" s="34" t="s">
        <v>1</v>
      </c>
      <c r="O37" s="11" t="s">
        <v>49</v>
      </c>
      <c r="P37" s="45" t="s">
        <v>453</v>
      </c>
      <c r="Q37" s="46" t="s">
        <v>491</v>
      </c>
      <c r="R37" s="45" t="s">
        <v>454</v>
      </c>
      <c r="S37" s="46" t="s">
        <v>491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48" t="s">
        <v>196</v>
      </c>
      <c r="Y37" s="49" t="s">
        <v>196</v>
      </c>
    </row>
    <row r="38" spans="1:25" ht="6.65" customHeight="1" x14ac:dyDescent="0.3">
      <c r="A38" s="43">
        <v>38</v>
      </c>
      <c r="B38" s="12" t="s">
        <v>236</v>
      </c>
      <c r="C38" s="10" t="s">
        <v>523</v>
      </c>
      <c r="D38" s="57" t="s">
        <v>494</v>
      </c>
      <c r="E38" s="58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550</v>
      </c>
      <c r="L38" s="34" t="s">
        <v>432</v>
      </c>
      <c r="M38" s="35" t="s">
        <v>44</v>
      </c>
      <c r="N38" s="34" t="s">
        <v>1</v>
      </c>
      <c r="O38" s="11" t="s">
        <v>50</v>
      </c>
      <c r="P38" s="45" t="s">
        <v>453</v>
      </c>
      <c r="Q38" s="46" t="s">
        <v>491</v>
      </c>
      <c r="R38" s="45" t="s">
        <v>454</v>
      </c>
      <c r="S38" s="46" t="s">
        <v>491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48" t="s">
        <v>196</v>
      </c>
      <c r="Y38" s="49" t="s">
        <v>196</v>
      </c>
    </row>
    <row r="39" spans="1:25" ht="6.65" customHeight="1" x14ac:dyDescent="0.3">
      <c r="A39" s="43">
        <v>39</v>
      </c>
      <c r="B39" s="12" t="s">
        <v>237</v>
      </c>
      <c r="C39" s="10" t="s">
        <v>523</v>
      </c>
      <c r="D39" s="57" t="s">
        <v>494</v>
      </c>
      <c r="E39" s="58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550</v>
      </c>
      <c r="L39" s="34" t="s">
        <v>432</v>
      </c>
      <c r="M39" s="35" t="s">
        <v>44</v>
      </c>
      <c r="N39" s="34" t="s">
        <v>1</v>
      </c>
      <c r="O39" s="11" t="s">
        <v>51</v>
      </c>
      <c r="P39" s="45" t="s">
        <v>453</v>
      </c>
      <c r="Q39" s="46" t="s">
        <v>491</v>
      </c>
      <c r="R39" s="45" t="s">
        <v>454</v>
      </c>
      <c r="S39" s="46" t="s">
        <v>491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48" t="s">
        <v>196</v>
      </c>
      <c r="Y39" s="49" t="s">
        <v>196</v>
      </c>
    </row>
    <row r="40" spans="1:25" ht="6.65" customHeight="1" x14ac:dyDescent="0.3">
      <c r="A40" s="43">
        <v>40</v>
      </c>
      <c r="B40" s="12" t="s">
        <v>238</v>
      </c>
      <c r="C40" s="10" t="s">
        <v>523</v>
      </c>
      <c r="D40" s="57" t="s">
        <v>494</v>
      </c>
      <c r="E40" s="58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550</v>
      </c>
      <c r="L40" s="34" t="s">
        <v>432</v>
      </c>
      <c r="M40" s="35" t="s">
        <v>44</v>
      </c>
      <c r="N40" s="34" t="s">
        <v>1</v>
      </c>
      <c r="O40" s="11" t="s">
        <v>52</v>
      </c>
      <c r="P40" s="45" t="s">
        <v>453</v>
      </c>
      <c r="Q40" s="46" t="s">
        <v>491</v>
      </c>
      <c r="R40" s="45" t="s">
        <v>454</v>
      </c>
      <c r="S40" s="46" t="s">
        <v>491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48" t="s">
        <v>196</v>
      </c>
      <c r="Y40" s="49" t="s">
        <v>196</v>
      </c>
    </row>
    <row r="41" spans="1:25" ht="6.65" customHeight="1" x14ac:dyDescent="0.3">
      <c r="A41" s="43">
        <v>41</v>
      </c>
      <c r="B41" s="12" t="s">
        <v>239</v>
      </c>
      <c r="C41" s="10" t="s">
        <v>523</v>
      </c>
      <c r="D41" s="57" t="s">
        <v>494</v>
      </c>
      <c r="E41" s="58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550</v>
      </c>
      <c r="L41" s="34" t="s">
        <v>432</v>
      </c>
      <c r="M41" s="35" t="s">
        <v>44</v>
      </c>
      <c r="N41" s="34" t="s">
        <v>1</v>
      </c>
      <c r="O41" s="11" t="s">
        <v>53</v>
      </c>
      <c r="P41" s="45" t="s">
        <v>453</v>
      </c>
      <c r="Q41" s="46" t="s">
        <v>491</v>
      </c>
      <c r="R41" s="45" t="s">
        <v>454</v>
      </c>
      <c r="S41" s="46" t="s">
        <v>491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48" t="s">
        <v>196</v>
      </c>
      <c r="Y41" s="49" t="s">
        <v>196</v>
      </c>
    </row>
    <row r="42" spans="1:25" ht="6.65" customHeight="1" x14ac:dyDescent="0.3">
      <c r="A42" s="43">
        <v>42</v>
      </c>
      <c r="B42" s="12" t="s">
        <v>240</v>
      </c>
      <c r="C42" s="10" t="s">
        <v>523</v>
      </c>
      <c r="D42" s="57" t="s">
        <v>494</v>
      </c>
      <c r="E42" s="58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550</v>
      </c>
      <c r="L42" s="34" t="s">
        <v>432</v>
      </c>
      <c r="M42" s="35" t="s">
        <v>44</v>
      </c>
      <c r="N42" s="34" t="s">
        <v>1</v>
      </c>
      <c r="O42" s="11" t="s">
        <v>54</v>
      </c>
      <c r="P42" s="45" t="s">
        <v>453</v>
      </c>
      <c r="Q42" s="46" t="s">
        <v>491</v>
      </c>
      <c r="R42" s="45" t="s">
        <v>454</v>
      </c>
      <c r="S42" s="46" t="s">
        <v>491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48" t="s">
        <v>196</v>
      </c>
      <c r="Y42" s="49" t="s">
        <v>196</v>
      </c>
    </row>
    <row r="43" spans="1:25" ht="6.65" customHeight="1" x14ac:dyDescent="0.3">
      <c r="A43" s="43">
        <v>43</v>
      </c>
      <c r="B43" s="12" t="s">
        <v>241</v>
      </c>
      <c r="C43" s="10" t="s">
        <v>523</v>
      </c>
      <c r="D43" s="57" t="s">
        <v>494</v>
      </c>
      <c r="E43" s="58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550</v>
      </c>
      <c r="L43" s="34" t="s">
        <v>432</v>
      </c>
      <c r="M43" s="35" t="s">
        <v>44</v>
      </c>
      <c r="N43" s="34" t="s">
        <v>1</v>
      </c>
      <c r="O43" s="11" t="s">
        <v>15</v>
      </c>
      <c r="P43" s="45" t="s">
        <v>453</v>
      </c>
      <c r="Q43" s="46" t="s">
        <v>491</v>
      </c>
      <c r="R43" s="45" t="s">
        <v>454</v>
      </c>
      <c r="S43" s="46" t="s">
        <v>491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48" t="s">
        <v>196</v>
      </c>
      <c r="Y43" s="49" t="s">
        <v>196</v>
      </c>
    </row>
    <row r="44" spans="1:25" ht="6.65" customHeight="1" x14ac:dyDescent="0.3">
      <c r="A44" s="43">
        <v>44</v>
      </c>
      <c r="B44" s="12" t="s">
        <v>242</v>
      </c>
      <c r="C44" s="10" t="s">
        <v>523</v>
      </c>
      <c r="D44" s="57" t="s">
        <v>494</v>
      </c>
      <c r="E44" s="58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550</v>
      </c>
      <c r="L44" s="34" t="s">
        <v>432</v>
      </c>
      <c r="M44" s="35" t="s">
        <v>44</v>
      </c>
      <c r="N44" s="34" t="s">
        <v>1</v>
      </c>
      <c r="O44" s="11" t="s">
        <v>55</v>
      </c>
      <c r="P44" s="45" t="s">
        <v>453</v>
      </c>
      <c r="Q44" s="46" t="s">
        <v>491</v>
      </c>
      <c r="R44" s="45" t="s">
        <v>454</v>
      </c>
      <c r="S44" s="46" t="s">
        <v>491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48" t="s">
        <v>196</v>
      </c>
      <c r="Y44" s="49" t="s">
        <v>196</v>
      </c>
    </row>
    <row r="45" spans="1:25" ht="6.65" customHeight="1" x14ac:dyDescent="0.3">
      <c r="A45" s="43">
        <v>45</v>
      </c>
      <c r="B45" s="12" t="s">
        <v>243</v>
      </c>
      <c r="C45" s="10" t="s">
        <v>523</v>
      </c>
      <c r="D45" s="57" t="s">
        <v>494</v>
      </c>
      <c r="E45" s="58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550</v>
      </c>
      <c r="L45" s="34" t="s">
        <v>432</v>
      </c>
      <c r="M45" s="35" t="s">
        <v>44</v>
      </c>
      <c r="N45" s="34" t="s">
        <v>1</v>
      </c>
      <c r="O45" s="11" t="s">
        <v>56</v>
      </c>
      <c r="P45" s="45" t="s">
        <v>453</v>
      </c>
      <c r="Q45" s="46" t="s">
        <v>491</v>
      </c>
      <c r="R45" s="45" t="s">
        <v>454</v>
      </c>
      <c r="S45" s="46" t="s">
        <v>491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48" t="s">
        <v>196</v>
      </c>
      <c r="Y45" s="49" t="s">
        <v>196</v>
      </c>
    </row>
    <row r="46" spans="1:25" ht="6.65" customHeight="1" x14ac:dyDescent="0.3">
      <c r="A46" s="43">
        <v>46</v>
      </c>
      <c r="B46" s="12" t="s">
        <v>244</v>
      </c>
      <c r="C46" s="10" t="s">
        <v>523</v>
      </c>
      <c r="D46" s="57" t="s">
        <v>494</v>
      </c>
      <c r="E46" s="58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550</v>
      </c>
      <c r="L46" s="34" t="s">
        <v>432</v>
      </c>
      <c r="M46" s="35" t="s">
        <v>44</v>
      </c>
      <c r="N46" s="34" t="s">
        <v>1</v>
      </c>
      <c r="O46" s="11" t="s">
        <v>57</v>
      </c>
      <c r="P46" s="45" t="s">
        <v>453</v>
      </c>
      <c r="Q46" s="46" t="s">
        <v>491</v>
      </c>
      <c r="R46" s="45" t="s">
        <v>454</v>
      </c>
      <c r="S46" s="46" t="s">
        <v>491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48" t="s">
        <v>196</v>
      </c>
      <c r="Y46" s="49" t="s">
        <v>196</v>
      </c>
    </row>
    <row r="47" spans="1:25" ht="6.65" customHeight="1" x14ac:dyDescent="0.3">
      <c r="A47" s="43">
        <v>47</v>
      </c>
      <c r="B47" s="12" t="s">
        <v>245</v>
      </c>
      <c r="C47" s="10" t="s">
        <v>523</v>
      </c>
      <c r="D47" s="57" t="s">
        <v>494</v>
      </c>
      <c r="E47" s="58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550</v>
      </c>
      <c r="L47" s="34" t="s">
        <v>432</v>
      </c>
      <c r="M47" s="35" t="s">
        <v>44</v>
      </c>
      <c r="N47" s="34" t="s">
        <v>1</v>
      </c>
      <c r="O47" s="11" t="s">
        <v>58</v>
      </c>
      <c r="P47" s="45" t="s">
        <v>453</v>
      </c>
      <c r="Q47" s="46" t="s">
        <v>491</v>
      </c>
      <c r="R47" s="45" t="s">
        <v>454</v>
      </c>
      <c r="S47" s="46" t="s">
        <v>491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48" t="s">
        <v>196</v>
      </c>
      <c r="Y47" s="49" t="s">
        <v>196</v>
      </c>
    </row>
    <row r="48" spans="1:25" ht="6.65" customHeight="1" x14ac:dyDescent="0.3">
      <c r="A48" s="43">
        <v>48</v>
      </c>
      <c r="B48" s="12" t="s">
        <v>246</v>
      </c>
      <c r="C48" s="10" t="s">
        <v>523</v>
      </c>
      <c r="D48" s="57" t="s">
        <v>494</v>
      </c>
      <c r="E48" s="58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550</v>
      </c>
      <c r="L48" s="34" t="s">
        <v>432</v>
      </c>
      <c r="M48" s="35" t="s">
        <v>44</v>
      </c>
      <c r="N48" s="34" t="s">
        <v>1</v>
      </c>
      <c r="O48" s="11" t="s">
        <v>59</v>
      </c>
      <c r="P48" s="45" t="s">
        <v>453</v>
      </c>
      <c r="Q48" s="46" t="s">
        <v>491</v>
      </c>
      <c r="R48" s="45" t="s">
        <v>454</v>
      </c>
      <c r="S48" s="46" t="s">
        <v>491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48" t="s">
        <v>196</v>
      </c>
      <c r="Y48" s="49" t="s">
        <v>196</v>
      </c>
    </row>
    <row r="49" spans="1:25" ht="6.65" customHeight="1" x14ac:dyDescent="0.3">
      <c r="A49" s="43">
        <v>49</v>
      </c>
      <c r="B49" s="12" t="s">
        <v>247</v>
      </c>
      <c r="C49" s="10" t="s">
        <v>523</v>
      </c>
      <c r="D49" s="57" t="s">
        <v>494</v>
      </c>
      <c r="E49" s="58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550</v>
      </c>
      <c r="L49" s="34" t="s">
        <v>432</v>
      </c>
      <c r="M49" s="35" t="s">
        <v>44</v>
      </c>
      <c r="N49" s="34" t="s">
        <v>1</v>
      </c>
      <c r="O49" s="11" t="s">
        <v>60</v>
      </c>
      <c r="P49" s="45" t="s">
        <v>453</v>
      </c>
      <c r="Q49" s="46" t="s">
        <v>491</v>
      </c>
      <c r="R49" s="45" t="s">
        <v>454</v>
      </c>
      <c r="S49" s="46" t="s">
        <v>491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48" t="s">
        <v>196</v>
      </c>
      <c r="Y49" s="49" t="s">
        <v>196</v>
      </c>
    </row>
    <row r="50" spans="1:25" ht="6.65" customHeight="1" x14ac:dyDescent="0.3">
      <c r="A50" s="43">
        <v>50</v>
      </c>
      <c r="B50" s="12" t="s">
        <v>248</v>
      </c>
      <c r="C50" s="10" t="s">
        <v>523</v>
      </c>
      <c r="D50" s="57" t="s">
        <v>494</v>
      </c>
      <c r="E50" s="58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550</v>
      </c>
      <c r="L50" s="34" t="s">
        <v>432</v>
      </c>
      <c r="M50" s="35" t="s">
        <v>44</v>
      </c>
      <c r="N50" s="34" t="s">
        <v>1</v>
      </c>
      <c r="O50" s="11" t="s">
        <v>61</v>
      </c>
      <c r="P50" s="45" t="s">
        <v>453</v>
      </c>
      <c r="Q50" s="46" t="s">
        <v>491</v>
      </c>
      <c r="R50" s="45" t="s">
        <v>454</v>
      </c>
      <c r="S50" s="46" t="s">
        <v>491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48" t="s">
        <v>196</v>
      </c>
      <c r="Y50" s="49" t="s">
        <v>196</v>
      </c>
    </row>
    <row r="51" spans="1:25" ht="6.65" customHeight="1" x14ac:dyDescent="0.3">
      <c r="A51" s="43">
        <v>51</v>
      </c>
      <c r="B51" s="12" t="s">
        <v>249</v>
      </c>
      <c r="C51" s="10" t="s">
        <v>523</v>
      </c>
      <c r="D51" s="57" t="s">
        <v>494</v>
      </c>
      <c r="E51" s="58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550</v>
      </c>
      <c r="L51" s="34" t="s">
        <v>432</v>
      </c>
      <c r="M51" s="35" t="s">
        <v>44</v>
      </c>
      <c r="N51" s="34" t="s">
        <v>1</v>
      </c>
      <c r="O51" s="11" t="s">
        <v>62</v>
      </c>
      <c r="P51" s="45" t="s">
        <v>453</v>
      </c>
      <c r="Q51" s="46" t="s">
        <v>491</v>
      </c>
      <c r="R51" s="45" t="s">
        <v>454</v>
      </c>
      <c r="S51" s="46" t="s">
        <v>491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48" t="s">
        <v>196</v>
      </c>
      <c r="Y51" s="49" t="s">
        <v>196</v>
      </c>
    </row>
    <row r="52" spans="1:25" ht="6.65" customHeight="1" x14ac:dyDescent="0.3">
      <c r="A52" s="43">
        <v>52</v>
      </c>
      <c r="B52" s="12" t="s">
        <v>250</v>
      </c>
      <c r="C52" s="10" t="s">
        <v>523</v>
      </c>
      <c r="D52" s="57" t="s">
        <v>494</v>
      </c>
      <c r="E52" s="58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550</v>
      </c>
      <c r="L52" s="34" t="s">
        <v>432</v>
      </c>
      <c r="M52" s="35" t="s">
        <v>44</v>
      </c>
      <c r="N52" s="34" t="s">
        <v>1</v>
      </c>
      <c r="O52" s="11" t="s">
        <v>63</v>
      </c>
      <c r="P52" s="45" t="s">
        <v>453</v>
      </c>
      <c r="Q52" s="46" t="s">
        <v>491</v>
      </c>
      <c r="R52" s="45" t="s">
        <v>454</v>
      </c>
      <c r="S52" s="46" t="s">
        <v>491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48" t="s">
        <v>196</v>
      </c>
      <c r="Y52" s="49" t="s">
        <v>196</v>
      </c>
    </row>
    <row r="53" spans="1:25" ht="6.65" customHeight="1" x14ac:dyDescent="0.3">
      <c r="A53" s="43">
        <v>53</v>
      </c>
      <c r="B53" s="12" t="s">
        <v>251</v>
      </c>
      <c r="C53" s="10" t="s">
        <v>523</v>
      </c>
      <c r="D53" s="57" t="s">
        <v>494</v>
      </c>
      <c r="E53" s="58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550</v>
      </c>
      <c r="L53" s="34" t="s">
        <v>432</v>
      </c>
      <c r="M53" s="35" t="s">
        <v>44</v>
      </c>
      <c r="N53" s="34" t="s">
        <v>1</v>
      </c>
      <c r="O53" s="11" t="s">
        <v>64</v>
      </c>
      <c r="P53" s="45" t="s">
        <v>453</v>
      </c>
      <c r="Q53" s="46" t="s">
        <v>491</v>
      </c>
      <c r="R53" s="45" t="s">
        <v>454</v>
      </c>
      <c r="S53" s="46" t="s">
        <v>491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48" t="s">
        <v>196</v>
      </c>
      <c r="Y53" s="49" t="s">
        <v>196</v>
      </c>
    </row>
    <row r="54" spans="1:25" ht="6.65" customHeight="1" x14ac:dyDescent="0.3">
      <c r="A54" s="43">
        <v>54</v>
      </c>
      <c r="B54" s="12" t="s">
        <v>252</v>
      </c>
      <c r="C54" s="10" t="s">
        <v>523</v>
      </c>
      <c r="D54" s="57" t="s">
        <v>494</v>
      </c>
      <c r="E54" s="58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550</v>
      </c>
      <c r="L54" s="34" t="s">
        <v>432</v>
      </c>
      <c r="M54" s="35" t="s">
        <v>44</v>
      </c>
      <c r="N54" s="34" t="s">
        <v>1</v>
      </c>
      <c r="O54" s="11" t="s">
        <v>65</v>
      </c>
      <c r="P54" s="45" t="s">
        <v>453</v>
      </c>
      <c r="Q54" s="46" t="s">
        <v>491</v>
      </c>
      <c r="R54" s="45" t="s">
        <v>454</v>
      </c>
      <c r="S54" s="46" t="s">
        <v>491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48" t="s">
        <v>196</v>
      </c>
      <c r="Y54" s="49" t="s">
        <v>196</v>
      </c>
    </row>
    <row r="55" spans="1:25" ht="6.65" customHeight="1" x14ac:dyDescent="0.3">
      <c r="A55" s="43">
        <v>55</v>
      </c>
      <c r="B55" s="12" t="s">
        <v>253</v>
      </c>
      <c r="C55" s="10" t="s">
        <v>523</v>
      </c>
      <c r="D55" s="57" t="s">
        <v>494</v>
      </c>
      <c r="E55" s="58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550</v>
      </c>
      <c r="L55" s="34" t="s">
        <v>432</v>
      </c>
      <c r="M55" s="35" t="s">
        <v>44</v>
      </c>
      <c r="N55" s="34" t="s">
        <v>1</v>
      </c>
      <c r="O55" s="11" t="s">
        <v>66</v>
      </c>
      <c r="P55" s="45" t="s">
        <v>453</v>
      </c>
      <c r="Q55" s="46" t="s">
        <v>491</v>
      </c>
      <c r="R55" s="45" t="s">
        <v>454</v>
      </c>
      <c r="S55" s="46" t="s">
        <v>491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48" t="s">
        <v>196</v>
      </c>
      <c r="Y55" s="49" t="s">
        <v>196</v>
      </c>
    </row>
    <row r="56" spans="1:25" ht="6.65" customHeight="1" x14ac:dyDescent="0.3">
      <c r="A56" s="43">
        <v>56</v>
      </c>
      <c r="B56" s="12" t="s">
        <v>254</v>
      </c>
      <c r="C56" s="10" t="s">
        <v>523</v>
      </c>
      <c r="D56" s="57" t="s">
        <v>494</v>
      </c>
      <c r="E56" s="58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550</v>
      </c>
      <c r="L56" s="34" t="s">
        <v>432</v>
      </c>
      <c r="M56" s="35" t="s">
        <v>44</v>
      </c>
      <c r="N56" s="34" t="s">
        <v>1</v>
      </c>
      <c r="O56" s="11" t="s">
        <v>67</v>
      </c>
      <c r="P56" s="45" t="s">
        <v>453</v>
      </c>
      <c r="Q56" s="46" t="s">
        <v>491</v>
      </c>
      <c r="R56" s="45" t="s">
        <v>454</v>
      </c>
      <c r="S56" s="46" t="s">
        <v>491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48" t="s">
        <v>196</v>
      </c>
      <c r="Y56" s="49" t="s">
        <v>196</v>
      </c>
    </row>
    <row r="57" spans="1:25" ht="6.65" customHeight="1" x14ac:dyDescent="0.3">
      <c r="A57" s="43">
        <v>57</v>
      </c>
      <c r="B57" s="12" t="s">
        <v>255</v>
      </c>
      <c r="C57" s="10" t="s">
        <v>523</v>
      </c>
      <c r="D57" s="57" t="s">
        <v>494</v>
      </c>
      <c r="E57" s="58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550</v>
      </c>
      <c r="L57" s="34" t="s">
        <v>432</v>
      </c>
      <c r="M57" s="35" t="s">
        <v>44</v>
      </c>
      <c r="N57" s="34" t="s">
        <v>1</v>
      </c>
      <c r="O57" s="11" t="s">
        <v>68</v>
      </c>
      <c r="P57" s="45" t="s">
        <v>453</v>
      </c>
      <c r="Q57" s="46" t="s">
        <v>491</v>
      </c>
      <c r="R57" s="45" t="s">
        <v>454</v>
      </c>
      <c r="S57" s="46" t="s">
        <v>491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48" t="s">
        <v>196</v>
      </c>
      <c r="Y57" s="49" t="s">
        <v>196</v>
      </c>
    </row>
    <row r="58" spans="1:25" ht="6.65" customHeight="1" x14ac:dyDescent="0.3">
      <c r="A58" s="43">
        <v>58</v>
      </c>
      <c r="B58" s="12" t="s">
        <v>256</v>
      </c>
      <c r="C58" s="10" t="s">
        <v>523</v>
      </c>
      <c r="D58" s="57" t="s">
        <v>494</v>
      </c>
      <c r="E58" s="58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550</v>
      </c>
      <c r="L58" s="34" t="s">
        <v>432</v>
      </c>
      <c r="M58" s="35" t="s">
        <v>44</v>
      </c>
      <c r="N58" s="34" t="s">
        <v>1</v>
      </c>
      <c r="O58" s="11" t="s">
        <v>69</v>
      </c>
      <c r="P58" s="45" t="s">
        <v>453</v>
      </c>
      <c r="Q58" s="46" t="s">
        <v>491</v>
      </c>
      <c r="R58" s="45" t="s">
        <v>454</v>
      </c>
      <c r="S58" s="46" t="s">
        <v>491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48" t="s">
        <v>196</v>
      </c>
      <c r="Y58" s="49" t="s">
        <v>196</v>
      </c>
    </row>
    <row r="59" spans="1:25" ht="6.65" customHeight="1" x14ac:dyDescent="0.3">
      <c r="A59" s="43">
        <v>59</v>
      </c>
      <c r="B59" s="12" t="s">
        <v>257</v>
      </c>
      <c r="C59" s="10" t="s">
        <v>523</v>
      </c>
      <c r="D59" s="57" t="s">
        <v>494</v>
      </c>
      <c r="E59" s="58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550</v>
      </c>
      <c r="L59" s="34" t="s">
        <v>432</v>
      </c>
      <c r="M59" s="35" t="s">
        <v>44</v>
      </c>
      <c r="N59" s="34" t="s">
        <v>1</v>
      </c>
      <c r="O59" s="11" t="s">
        <v>70</v>
      </c>
      <c r="P59" s="45" t="s">
        <v>453</v>
      </c>
      <c r="Q59" s="46" t="s">
        <v>491</v>
      </c>
      <c r="R59" s="45" t="s">
        <v>454</v>
      </c>
      <c r="S59" s="46" t="s">
        <v>491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48" t="s">
        <v>196</v>
      </c>
      <c r="Y59" s="49" t="s">
        <v>196</v>
      </c>
    </row>
    <row r="60" spans="1:25" ht="6.65" customHeight="1" x14ac:dyDescent="0.3">
      <c r="A60" s="43">
        <v>60</v>
      </c>
      <c r="B60" s="12" t="s">
        <v>258</v>
      </c>
      <c r="C60" s="10" t="s">
        <v>523</v>
      </c>
      <c r="D60" s="57" t="s">
        <v>494</v>
      </c>
      <c r="E60" s="58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550</v>
      </c>
      <c r="L60" s="34" t="s">
        <v>432</v>
      </c>
      <c r="M60" s="35" t="s">
        <v>44</v>
      </c>
      <c r="N60" s="34" t="s">
        <v>1</v>
      </c>
      <c r="O60" s="11" t="s">
        <v>71</v>
      </c>
      <c r="P60" s="45" t="s">
        <v>453</v>
      </c>
      <c r="Q60" s="46" t="s">
        <v>491</v>
      </c>
      <c r="R60" s="45" t="s">
        <v>454</v>
      </c>
      <c r="S60" s="46" t="s">
        <v>491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48" t="s">
        <v>196</v>
      </c>
      <c r="Y60" s="49" t="s">
        <v>196</v>
      </c>
    </row>
    <row r="61" spans="1:25" ht="6.65" customHeight="1" x14ac:dyDescent="0.3">
      <c r="A61" s="43">
        <v>61</v>
      </c>
      <c r="B61" s="12" t="s">
        <v>259</v>
      </c>
      <c r="C61" s="10" t="s">
        <v>523</v>
      </c>
      <c r="D61" s="57" t="s">
        <v>494</v>
      </c>
      <c r="E61" s="58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550</v>
      </c>
      <c r="L61" s="34" t="s">
        <v>432</v>
      </c>
      <c r="M61" s="35" t="s">
        <v>44</v>
      </c>
      <c r="N61" s="34" t="s">
        <v>1</v>
      </c>
      <c r="O61" s="11" t="s">
        <v>72</v>
      </c>
      <c r="P61" s="45" t="s">
        <v>453</v>
      </c>
      <c r="Q61" s="46" t="s">
        <v>491</v>
      </c>
      <c r="R61" s="45" t="s">
        <v>454</v>
      </c>
      <c r="S61" s="46" t="s">
        <v>491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48" t="s">
        <v>196</v>
      </c>
      <c r="Y61" s="49" t="s">
        <v>196</v>
      </c>
    </row>
    <row r="62" spans="1:25" ht="6.65" customHeight="1" x14ac:dyDescent="0.3">
      <c r="A62" s="43">
        <v>62</v>
      </c>
      <c r="B62" s="12" t="s">
        <v>260</v>
      </c>
      <c r="C62" s="10" t="s">
        <v>523</v>
      </c>
      <c r="D62" s="57" t="s">
        <v>494</v>
      </c>
      <c r="E62" s="58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550</v>
      </c>
      <c r="L62" s="34" t="s">
        <v>432</v>
      </c>
      <c r="M62" s="35" t="s">
        <v>44</v>
      </c>
      <c r="N62" s="34" t="s">
        <v>1</v>
      </c>
      <c r="O62" s="11" t="s">
        <v>73</v>
      </c>
      <c r="P62" s="45" t="s">
        <v>453</v>
      </c>
      <c r="Q62" s="46" t="s">
        <v>491</v>
      </c>
      <c r="R62" s="45" t="s">
        <v>454</v>
      </c>
      <c r="S62" s="46" t="s">
        <v>491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48" t="s">
        <v>196</v>
      </c>
      <c r="Y62" s="49" t="s">
        <v>196</v>
      </c>
    </row>
    <row r="63" spans="1:25" ht="6.65" customHeight="1" x14ac:dyDescent="0.3">
      <c r="A63" s="43">
        <v>63</v>
      </c>
      <c r="B63" s="13" t="s">
        <v>261</v>
      </c>
      <c r="C63" s="10" t="s">
        <v>523</v>
      </c>
      <c r="D63" s="57" t="s">
        <v>494</v>
      </c>
      <c r="E63" s="58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550</v>
      </c>
      <c r="L63" s="34" t="s">
        <v>432</v>
      </c>
      <c r="M63" s="35" t="s">
        <v>44</v>
      </c>
      <c r="N63" s="34" t="s">
        <v>1</v>
      </c>
      <c r="O63" s="11" t="s">
        <v>74</v>
      </c>
      <c r="P63" s="45" t="s">
        <v>453</v>
      </c>
      <c r="Q63" s="46" t="s">
        <v>491</v>
      </c>
      <c r="R63" s="45" t="s">
        <v>454</v>
      </c>
      <c r="S63" s="46" t="s">
        <v>491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48" t="s">
        <v>196</v>
      </c>
      <c r="Y63" s="49" t="s">
        <v>196</v>
      </c>
    </row>
    <row r="64" spans="1:25" ht="6.65" customHeight="1" x14ac:dyDescent="0.3">
      <c r="A64" s="43">
        <v>64</v>
      </c>
      <c r="B64" s="12" t="s">
        <v>262</v>
      </c>
      <c r="C64" s="10" t="s">
        <v>523</v>
      </c>
      <c r="D64" s="57" t="s">
        <v>494</v>
      </c>
      <c r="E64" s="58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550</v>
      </c>
      <c r="L64" s="34" t="s">
        <v>432</v>
      </c>
      <c r="M64" s="35" t="s">
        <v>44</v>
      </c>
      <c r="N64" s="34" t="s">
        <v>1</v>
      </c>
      <c r="O64" s="11" t="s">
        <v>75</v>
      </c>
      <c r="P64" s="45" t="s">
        <v>453</v>
      </c>
      <c r="Q64" s="46" t="s">
        <v>491</v>
      </c>
      <c r="R64" s="45" t="s">
        <v>454</v>
      </c>
      <c r="S64" s="46" t="s">
        <v>491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48" t="s">
        <v>196</v>
      </c>
      <c r="Y64" s="49" t="s">
        <v>196</v>
      </c>
    </row>
    <row r="65" spans="1:25" ht="6.65" customHeight="1" x14ac:dyDescent="0.3">
      <c r="A65" s="43">
        <v>65</v>
      </c>
      <c r="B65" s="12" t="s">
        <v>263</v>
      </c>
      <c r="C65" s="10" t="s">
        <v>523</v>
      </c>
      <c r="D65" s="57" t="s">
        <v>494</v>
      </c>
      <c r="E65" s="58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550</v>
      </c>
      <c r="L65" s="34" t="s">
        <v>432</v>
      </c>
      <c r="M65" s="35" t="s">
        <v>44</v>
      </c>
      <c r="N65" s="34" t="s">
        <v>1</v>
      </c>
      <c r="O65" s="11" t="s">
        <v>462</v>
      </c>
      <c r="P65" s="45" t="s">
        <v>453</v>
      </c>
      <c r="Q65" s="46" t="s">
        <v>491</v>
      </c>
      <c r="R65" s="45" t="s">
        <v>454</v>
      </c>
      <c r="S65" s="46" t="s">
        <v>491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48" t="s">
        <v>196</v>
      </c>
      <c r="Y65" s="49" t="s">
        <v>196</v>
      </c>
    </row>
    <row r="66" spans="1:25" ht="6.65" customHeight="1" x14ac:dyDescent="0.3">
      <c r="A66" s="43">
        <v>66</v>
      </c>
      <c r="B66" s="12" t="s">
        <v>264</v>
      </c>
      <c r="C66" s="10" t="s">
        <v>523</v>
      </c>
      <c r="D66" s="57" t="s">
        <v>494</v>
      </c>
      <c r="E66" s="58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550</v>
      </c>
      <c r="L66" s="34" t="s">
        <v>432</v>
      </c>
      <c r="M66" s="35" t="s">
        <v>44</v>
      </c>
      <c r="N66" s="34" t="s">
        <v>1</v>
      </c>
      <c r="O66" s="11" t="s">
        <v>461</v>
      </c>
      <c r="P66" s="45" t="s">
        <v>453</v>
      </c>
      <c r="Q66" s="46" t="s">
        <v>491</v>
      </c>
      <c r="R66" s="45" t="s">
        <v>454</v>
      </c>
      <c r="S66" s="46" t="s">
        <v>491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48" t="s">
        <v>196</v>
      </c>
      <c r="Y66" s="49" t="s">
        <v>196</v>
      </c>
    </row>
    <row r="67" spans="1:25" ht="6.65" customHeight="1" x14ac:dyDescent="0.3">
      <c r="A67" s="43">
        <v>67</v>
      </c>
      <c r="B67" s="12" t="s">
        <v>265</v>
      </c>
      <c r="C67" s="10" t="s">
        <v>523</v>
      </c>
      <c r="D67" s="57" t="s">
        <v>494</v>
      </c>
      <c r="E67" s="58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550</v>
      </c>
      <c r="L67" s="34" t="s">
        <v>432</v>
      </c>
      <c r="M67" s="35" t="s">
        <v>44</v>
      </c>
      <c r="N67" s="34" t="s">
        <v>1</v>
      </c>
      <c r="O67" s="11" t="s">
        <v>76</v>
      </c>
      <c r="P67" s="45" t="s">
        <v>453</v>
      </c>
      <c r="Q67" s="46" t="s">
        <v>491</v>
      </c>
      <c r="R67" s="45" t="s">
        <v>454</v>
      </c>
      <c r="S67" s="46" t="s">
        <v>491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48" t="s">
        <v>196</v>
      </c>
      <c r="Y67" s="49" t="s">
        <v>196</v>
      </c>
    </row>
    <row r="68" spans="1:25" ht="6.65" customHeight="1" x14ac:dyDescent="0.3">
      <c r="A68" s="43">
        <v>68</v>
      </c>
      <c r="B68" s="12" t="s">
        <v>266</v>
      </c>
      <c r="C68" s="10" t="s">
        <v>529</v>
      </c>
      <c r="D68" s="57" t="s">
        <v>494</v>
      </c>
      <c r="E68" s="58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550</v>
      </c>
      <c r="L68" s="34" t="s">
        <v>432</v>
      </c>
      <c r="M68" s="35" t="s">
        <v>458</v>
      </c>
      <c r="N68" s="34" t="s">
        <v>1</v>
      </c>
      <c r="O68" s="11" t="s">
        <v>77</v>
      </c>
      <c r="P68" s="45" t="s">
        <v>453</v>
      </c>
      <c r="Q68" s="46" t="s">
        <v>491</v>
      </c>
      <c r="R68" s="45" t="s">
        <v>454</v>
      </c>
      <c r="S68" s="46" t="s">
        <v>491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48" t="s">
        <v>196</v>
      </c>
      <c r="Y68" s="49" t="s">
        <v>196</v>
      </c>
    </row>
    <row r="69" spans="1:25" ht="6.65" customHeight="1" x14ac:dyDescent="0.3">
      <c r="A69" s="43">
        <v>69</v>
      </c>
      <c r="B69" s="12" t="s">
        <v>267</v>
      </c>
      <c r="C69" s="10" t="s">
        <v>529</v>
      </c>
      <c r="D69" s="57" t="s">
        <v>494</v>
      </c>
      <c r="E69" s="58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550</v>
      </c>
      <c r="L69" s="34" t="s">
        <v>432</v>
      </c>
      <c r="M69" s="35" t="s">
        <v>458</v>
      </c>
      <c r="N69" s="34" t="s">
        <v>1</v>
      </c>
      <c r="O69" s="11" t="s">
        <v>78</v>
      </c>
      <c r="P69" s="45" t="s">
        <v>453</v>
      </c>
      <c r="Q69" s="46" t="s">
        <v>491</v>
      </c>
      <c r="R69" s="45" t="s">
        <v>454</v>
      </c>
      <c r="S69" s="46" t="s">
        <v>491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48" t="s">
        <v>196</v>
      </c>
      <c r="Y69" s="49" t="s">
        <v>196</v>
      </c>
    </row>
    <row r="70" spans="1:25" ht="6.65" customHeight="1" x14ac:dyDescent="0.3">
      <c r="A70" s="43">
        <v>70</v>
      </c>
      <c r="B70" s="12" t="s">
        <v>268</v>
      </c>
      <c r="C70" s="10" t="s">
        <v>529</v>
      </c>
      <c r="D70" s="57" t="s">
        <v>494</v>
      </c>
      <c r="E70" s="58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550</v>
      </c>
      <c r="L70" s="34" t="s">
        <v>432</v>
      </c>
      <c r="M70" s="35" t="s">
        <v>458</v>
      </c>
      <c r="N70" s="34" t="s">
        <v>1</v>
      </c>
      <c r="O70" s="11" t="s">
        <v>79</v>
      </c>
      <c r="P70" s="45" t="s">
        <v>453</v>
      </c>
      <c r="Q70" s="46" t="s">
        <v>491</v>
      </c>
      <c r="R70" s="45" t="s">
        <v>454</v>
      </c>
      <c r="S70" s="46" t="s">
        <v>491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48" t="s">
        <v>196</v>
      </c>
      <c r="Y70" s="49" t="s">
        <v>196</v>
      </c>
    </row>
    <row r="71" spans="1:25" ht="6.65" customHeight="1" x14ac:dyDescent="0.3">
      <c r="A71" s="43">
        <v>71</v>
      </c>
      <c r="B71" s="12" t="s">
        <v>269</v>
      </c>
      <c r="C71" s="10" t="s">
        <v>529</v>
      </c>
      <c r="D71" s="57" t="s">
        <v>494</v>
      </c>
      <c r="E71" s="58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550</v>
      </c>
      <c r="L71" s="34" t="s">
        <v>432</v>
      </c>
      <c r="M71" s="35" t="s">
        <v>458</v>
      </c>
      <c r="N71" s="34" t="s">
        <v>1</v>
      </c>
      <c r="O71" s="11" t="s">
        <v>80</v>
      </c>
      <c r="P71" s="45" t="s">
        <v>453</v>
      </c>
      <c r="Q71" s="46" t="s">
        <v>491</v>
      </c>
      <c r="R71" s="45" t="s">
        <v>454</v>
      </c>
      <c r="S71" s="46" t="s">
        <v>491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48" t="s">
        <v>196</v>
      </c>
      <c r="Y71" s="49" t="s">
        <v>196</v>
      </c>
    </row>
    <row r="72" spans="1:25" ht="6.65" customHeight="1" x14ac:dyDescent="0.3">
      <c r="A72" s="43">
        <v>72</v>
      </c>
      <c r="B72" s="12" t="s">
        <v>270</v>
      </c>
      <c r="C72" s="10" t="s">
        <v>529</v>
      </c>
      <c r="D72" s="57" t="s">
        <v>494</v>
      </c>
      <c r="E72" s="58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550</v>
      </c>
      <c r="L72" s="34" t="s">
        <v>432</v>
      </c>
      <c r="M72" s="35" t="s">
        <v>458</v>
      </c>
      <c r="N72" s="34" t="s">
        <v>1</v>
      </c>
      <c r="O72" s="11" t="s">
        <v>459</v>
      </c>
      <c r="P72" s="45" t="s">
        <v>453</v>
      </c>
      <c r="Q72" s="46" t="s">
        <v>491</v>
      </c>
      <c r="R72" s="45" t="s">
        <v>454</v>
      </c>
      <c r="S72" s="46" t="s">
        <v>491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48" t="s">
        <v>196</v>
      </c>
      <c r="Y72" s="49" t="s">
        <v>196</v>
      </c>
    </row>
    <row r="73" spans="1:25" ht="6.65" customHeight="1" x14ac:dyDescent="0.3">
      <c r="A73" s="43">
        <v>73</v>
      </c>
      <c r="B73" s="12" t="s">
        <v>271</v>
      </c>
      <c r="C73" s="10" t="s">
        <v>529</v>
      </c>
      <c r="D73" s="57" t="s">
        <v>494</v>
      </c>
      <c r="E73" s="58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550</v>
      </c>
      <c r="L73" s="34" t="s">
        <v>432</v>
      </c>
      <c r="M73" s="35" t="s">
        <v>458</v>
      </c>
      <c r="N73" s="34" t="s">
        <v>1</v>
      </c>
      <c r="O73" s="11" t="s">
        <v>81</v>
      </c>
      <c r="P73" s="45" t="s">
        <v>453</v>
      </c>
      <c r="Q73" s="46" t="s">
        <v>491</v>
      </c>
      <c r="R73" s="45" t="s">
        <v>454</v>
      </c>
      <c r="S73" s="46" t="s">
        <v>491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48" t="s">
        <v>196</v>
      </c>
      <c r="Y73" s="49" t="s">
        <v>196</v>
      </c>
    </row>
    <row r="74" spans="1:25" ht="6.65" customHeight="1" x14ac:dyDescent="0.3">
      <c r="A74" s="43">
        <v>74</v>
      </c>
      <c r="B74" s="12" t="s">
        <v>272</v>
      </c>
      <c r="C74" s="10" t="s">
        <v>529</v>
      </c>
      <c r="D74" s="57" t="s">
        <v>494</v>
      </c>
      <c r="E74" s="58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550</v>
      </c>
      <c r="L74" s="34" t="s">
        <v>432</v>
      </c>
      <c r="M74" s="35" t="s">
        <v>458</v>
      </c>
      <c r="N74" s="34" t="s">
        <v>1</v>
      </c>
      <c r="O74" s="11" t="s">
        <v>82</v>
      </c>
      <c r="P74" s="45" t="s">
        <v>453</v>
      </c>
      <c r="Q74" s="46" t="s">
        <v>491</v>
      </c>
      <c r="R74" s="45" t="s">
        <v>454</v>
      </c>
      <c r="S74" s="46" t="s">
        <v>491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48" t="s">
        <v>196</v>
      </c>
      <c r="Y74" s="49" t="s">
        <v>196</v>
      </c>
    </row>
    <row r="75" spans="1:25" ht="6.65" customHeight="1" x14ac:dyDescent="0.3">
      <c r="A75" s="43">
        <v>75</v>
      </c>
      <c r="B75" s="12" t="s">
        <v>273</v>
      </c>
      <c r="C75" s="10" t="s">
        <v>529</v>
      </c>
      <c r="D75" s="57" t="s">
        <v>494</v>
      </c>
      <c r="E75" s="58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550</v>
      </c>
      <c r="L75" s="34" t="s">
        <v>432</v>
      </c>
      <c r="M75" s="35" t="s">
        <v>458</v>
      </c>
      <c r="N75" s="34" t="s">
        <v>1</v>
      </c>
      <c r="O75" s="11" t="s">
        <v>83</v>
      </c>
      <c r="P75" s="45" t="s">
        <v>453</v>
      </c>
      <c r="Q75" s="46" t="s">
        <v>491</v>
      </c>
      <c r="R75" s="45" t="s">
        <v>454</v>
      </c>
      <c r="S75" s="46" t="s">
        <v>491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48" t="s">
        <v>196</v>
      </c>
      <c r="Y75" s="49" t="s">
        <v>196</v>
      </c>
    </row>
    <row r="76" spans="1:25" ht="6.65" customHeight="1" x14ac:dyDescent="0.3">
      <c r="A76" s="43">
        <v>76</v>
      </c>
      <c r="B76" s="12" t="s">
        <v>274</v>
      </c>
      <c r="C76" s="10" t="s">
        <v>529</v>
      </c>
      <c r="D76" s="57" t="s">
        <v>494</v>
      </c>
      <c r="E76" s="58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550</v>
      </c>
      <c r="L76" s="34" t="s">
        <v>432</v>
      </c>
      <c r="M76" s="35" t="s">
        <v>458</v>
      </c>
      <c r="N76" s="34" t="s">
        <v>1</v>
      </c>
      <c r="O76" s="11" t="s">
        <v>84</v>
      </c>
      <c r="P76" s="45" t="s">
        <v>453</v>
      </c>
      <c r="Q76" s="46" t="s">
        <v>491</v>
      </c>
      <c r="R76" s="45" t="s">
        <v>454</v>
      </c>
      <c r="S76" s="46" t="s">
        <v>491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48" t="s">
        <v>196</v>
      </c>
      <c r="Y76" s="49" t="s">
        <v>196</v>
      </c>
    </row>
    <row r="77" spans="1:25" ht="6.65" customHeight="1" x14ac:dyDescent="0.3">
      <c r="A77" s="43">
        <v>77</v>
      </c>
      <c r="B77" s="12" t="s">
        <v>275</v>
      </c>
      <c r="C77" s="10" t="s">
        <v>529</v>
      </c>
      <c r="D77" s="57" t="s">
        <v>494</v>
      </c>
      <c r="E77" s="58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550</v>
      </c>
      <c r="L77" s="34" t="s">
        <v>432</v>
      </c>
      <c r="M77" s="35" t="s">
        <v>458</v>
      </c>
      <c r="N77" s="34" t="s">
        <v>1</v>
      </c>
      <c r="O77" s="11" t="s">
        <v>85</v>
      </c>
      <c r="P77" s="45" t="s">
        <v>453</v>
      </c>
      <c r="Q77" s="46" t="s">
        <v>491</v>
      </c>
      <c r="R77" s="45" t="s">
        <v>454</v>
      </c>
      <c r="S77" s="46" t="s">
        <v>491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48" t="s">
        <v>196</v>
      </c>
      <c r="Y77" s="49" t="s">
        <v>196</v>
      </c>
    </row>
    <row r="78" spans="1:25" ht="6.65" customHeight="1" x14ac:dyDescent="0.3">
      <c r="A78" s="43">
        <v>78</v>
      </c>
      <c r="B78" s="12" t="s">
        <v>276</v>
      </c>
      <c r="C78" s="10" t="s">
        <v>529</v>
      </c>
      <c r="D78" s="57" t="s">
        <v>494</v>
      </c>
      <c r="E78" s="58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550</v>
      </c>
      <c r="L78" s="34" t="s">
        <v>432</v>
      </c>
      <c r="M78" s="35" t="s">
        <v>458</v>
      </c>
      <c r="N78" s="34" t="s">
        <v>1</v>
      </c>
      <c r="O78" s="11" t="s">
        <v>86</v>
      </c>
      <c r="P78" s="45" t="s">
        <v>453</v>
      </c>
      <c r="Q78" s="46" t="s">
        <v>491</v>
      </c>
      <c r="R78" s="45" t="s">
        <v>454</v>
      </c>
      <c r="S78" s="46" t="s">
        <v>491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48" t="s">
        <v>196</v>
      </c>
      <c r="Y78" s="49" t="s">
        <v>196</v>
      </c>
    </row>
    <row r="79" spans="1:25" ht="6.65" customHeight="1" x14ac:dyDescent="0.3">
      <c r="A79" s="43">
        <v>79</v>
      </c>
      <c r="B79" s="12" t="s">
        <v>277</v>
      </c>
      <c r="C79" s="10" t="s">
        <v>529</v>
      </c>
      <c r="D79" s="57" t="s">
        <v>494</v>
      </c>
      <c r="E79" s="58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550</v>
      </c>
      <c r="L79" s="34" t="s">
        <v>432</v>
      </c>
      <c r="M79" s="35" t="s">
        <v>458</v>
      </c>
      <c r="N79" s="34" t="s">
        <v>1</v>
      </c>
      <c r="O79" s="11" t="s">
        <v>87</v>
      </c>
      <c r="P79" s="45" t="s">
        <v>453</v>
      </c>
      <c r="Q79" s="46" t="s">
        <v>491</v>
      </c>
      <c r="R79" s="45" t="s">
        <v>454</v>
      </c>
      <c r="S79" s="46" t="s">
        <v>491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48" t="s">
        <v>196</v>
      </c>
      <c r="Y79" s="49" t="s">
        <v>196</v>
      </c>
    </row>
    <row r="80" spans="1:25" ht="6.65" customHeight="1" x14ac:dyDescent="0.3">
      <c r="A80" s="43">
        <v>80</v>
      </c>
      <c r="B80" s="13" t="s">
        <v>278</v>
      </c>
      <c r="C80" s="10" t="s">
        <v>529</v>
      </c>
      <c r="D80" s="57" t="s">
        <v>494</v>
      </c>
      <c r="E80" s="58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550</v>
      </c>
      <c r="L80" s="34" t="s">
        <v>432</v>
      </c>
      <c r="M80" s="35" t="s">
        <v>458</v>
      </c>
      <c r="N80" s="34" t="s">
        <v>1</v>
      </c>
      <c r="O80" s="11" t="s">
        <v>88</v>
      </c>
      <c r="P80" s="45" t="s">
        <v>453</v>
      </c>
      <c r="Q80" s="46" t="s">
        <v>491</v>
      </c>
      <c r="R80" s="45" t="s">
        <v>454</v>
      </c>
      <c r="S80" s="46" t="s">
        <v>491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48" t="s">
        <v>196</v>
      </c>
      <c r="Y80" s="49" t="s">
        <v>196</v>
      </c>
    </row>
    <row r="81" spans="1:25" ht="6.65" customHeight="1" x14ac:dyDescent="0.3">
      <c r="A81" s="43">
        <v>81</v>
      </c>
      <c r="B81" s="12" t="s">
        <v>279</v>
      </c>
      <c r="C81" s="10" t="s">
        <v>529</v>
      </c>
      <c r="D81" s="57" t="s">
        <v>494</v>
      </c>
      <c r="E81" s="58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550</v>
      </c>
      <c r="L81" s="34" t="s">
        <v>432</v>
      </c>
      <c r="M81" s="35" t="s">
        <v>458</v>
      </c>
      <c r="N81" s="34" t="s">
        <v>1</v>
      </c>
      <c r="O81" s="11" t="s">
        <v>89</v>
      </c>
      <c r="P81" s="45" t="s">
        <v>453</v>
      </c>
      <c r="Q81" s="46" t="s">
        <v>491</v>
      </c>
      <c r="R81" s="45" t="s">
        <v>454</v>
      </c>
      <c r="S81" s="46" t="s">
        <v>491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48" t="s">
        <v>196</v>
      </c>
      <c r="Y81" s="49" t="s">
        <v>196</v>
      </c>
    </row>
    <row r="82" spans="1:25" ht="6.65" customHeight="1" x14ac:dyDescent="0.3">
      <c r="A82" s="43">
        <v>82</v>
      </c>
      <c r="B82" s="12" t="s">
        <v>280</v>
      </c>
      <c r="C82" s="10" t="s">
        <v>529</v>
      </c>
      <c r="D82" s="57" t="s">
        <v>494</v>
      </c>
      <c r="E82" s="58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550</v>
      </c>
      <c r="L82" s="34" t="s">
        <v>432</v>
      </c>
      <c r="M82" s="35" t="s">
        <v>458</v>
      </c>
      <c r="N82" s="34" t="s">
        <v>1</v>
      </c>
      <c r="O82" s="11" t="s">
        <v>90</v>
      </c>
      <c r="P82" s="45" t="s">
        <v>453</v>
      </c>
      <c r="Q82" s="46" t="s">
        <v>491</v>
      </c>
      <c r="R82" s="45" t="s">
        <v>454</v>
      </c>
      <c r="S82" s="46" t="s">
        <v>491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48" t="s">
        <v>196</v>
      </c>
      <c r="Y82" s="49" t="s">
        <v>196</v>
      </c>
    </row>
    <row r="83" spans="1:25" ht="6.65" customHeight="1" x14ac:dyDescent="0.3">
      <c r="A83" s="43">
        <v>83</v>
      </c>
      <c r="B83" s="12" t="s">
        <v>281</v>
      </c>
      <c r="C83" s="10" t="s">
        <v>529</v>
      </c>
      <c r="D83" s="57" t="s">
        <v>494</v>
      </c>
      <c r="E83" s="58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550</v>
      </c>
      <c r="L83" s="34" t="s">
        <v>432</v>
      </c>
      <c r="M83" s="35" t="s">
        <v>458</v>
      </c>
      <c r="N83" s="34" t="s">
        <v>1</v>
      </c>
      <c r="O83" s="11" t="s">
        <v>460</v>
      </c>
      <c r="P83" s="45" t="s">
        <v>453</v>
      </c>
      <c r="Q83" s="46" t="s">
        <v>491</v>
      </c>
      <c r="R83" s="45" t="s">
        <v>454</v>
      </c>
      <c r="S83" s="46" t="s">
        <v>491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48" t="s">
        <v>196</v>
      </c>
      <c r="Y83" s="49" t="s">
        <v>196</v>
      </c>
    </row>
    <row r="84" spans="1:25" ht="6.65" customHeight="1" x14ac:dyDescent="0.3">
      <c r="A84" s="43">
        <v>84</v>
      </c>
      <c r="B84" s="12" t="s">
        <v>282</v>
      </c>
      <c r="C84" s="10" t="s">
        <v>529</v>
      </c>
      <c r="D84" s="57" t="s">
        <v>494</v>
      </c>
      <c r="E84" s="58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550</v>
      </c>
      <c r="L84" s="34" t="s">
        <v>432</v>
      </c>
      <c r="M84" s="35" t="s">
        <v>458</v>
      </c>
      <c r="N84" s="34" t="s">
        <v>1</v>
      </c>
      <c r="O84" s="11" t="s">
        <v>91</v>
      </c>
      <c r="P84" s="45" t="s">
        <v>453</v>
      </c>
      <c r="Q84" s="46" t="s">
        <v>491</v>
      </c>
      <c r="R84" s="45" t="s">
        <v>454</v>
      </c>
      <c r="S84" s="46" t="s">
        <v>491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48" t="s">
        <v>196</v>
      </c>
      <c r="Y84" s="49" t="s">
        <v>196</v>
      </c>
    </row>
    <row r="85" spans="1:25" ht="6.65" customHeight="1" x14ac:dyDescent="0.3">
      <c r="A85" s="43">
        <v>85</v>
      </c>
      <c r="B85" s="12" t="s">
        <v>283</v>
      </c>
      <c r="C85" s="10" t="s">
        <v>529</v>
      </c>
      <c r="D85" s="57" t="s">
        <v>494</v>
      </c>
      <c r="E85" s="58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550</v>
      </c>
      <c r="L85" s="34" t="s">
        <v>432</v>
      </c>
      <c r="M85" s="35" t="s">
        <v>458</v>
      </c>
      <c r="N85" s="34" t="s">
        <v>1</v>
      </c>
      <c r="O85" s="11" t="s">
        <v>92</v>
      </c>
      <c r="P85" s="45" t="s">
        <v>453</v>
      </c>
      <c r="Q85" s="46" t="s">
        <v>491</v>
      </c>
      <c r="R85" s="45" t="s">
        <v>454</v>
      </c>
      <c r="S85" s="46" t="s">
        <v>491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48" t="s">
        <v>196</v>
      </c>
      <c r="Y85" s="49" t="s">
        <v>196</v>
      </c>
    </row>
    <row r="86" spans="1:25" ht="6.65" customHeight="1" x14ac:dyDescent="0.3">
      <c r="A86" s="43">
        <v>86</v>
      </c>
      <c r="B86" s="12" t="s">
        <v>284</v>
      </c>
      <c r="C86" s="10" t="s">
        <v>529</v>
      </c>
      <c r="D86" s="57" t="s">
        <v>494</v>
      </c>
      <c r="E86" s="58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550</v>
      </c>
      <c r="L86" s="34" t="s">
        <v>432</v>
      </c>
      <c r="M86" s="35" t="s">
        <v>458</v>
      </c>
      <c r="N86" s="34" t="s">
        <v>1</v>
      </c>
      <c r="O86" s="11" t="s">
        <v>93</v>
      </c>
      <c r="P86" s="45" t="s">
        <v>453</v>
      </c>
      <c r="Q86" s="46" t="s">
        <v>491</v>
      </c>
      <c r="R86" s="45" t="s">
        <v>454</v>
      </c>
      <c r="S86" s="46" t="s">
        <v>491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48" t="s">
        <v>196</v>
      </c>
      <c r="Y86" s="49" t="s">
        <v>196</v>
      </c>
    </row>
    <row r="87" spans="1:25" ht="6.65" customHeight="1" x14ac:dyDescent="0.3">
      <c r="A87" s="43">
        <v>87</v>
      </c>
      <c r="B87" s="12" t="s">
        <v>285</v>
      </c>
      <c r="C87" s="10" t="s">
        <v>529</v>
      </c>
      <c r="D87" s="57" t="s">
        <v>494</v>
      </c>
      <c r="E87" s="58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550</v>
      </c>
      <c r="L87" s="34" t="s">
        <v>432</v>
      </c>
      <c r="M87" s="35" t="s">
        <v>458</v>
      </c>
      <c r="N87" s="34" t="s">
        <v>1</v>
      </c>
      <c r="O87" s="11" t="s">
        <v>94</v>
      </c>
      <c r="P87" s="45" t="s">
        <v>453</v>
      </c>
      <c r="Q87" s="46" t="s">
        <v>491</v>
      </c>
      <c r="R87" s="45" t="s">
        <v>454</v>
      </c>
      <c r="S87" s="46" t="s">
        <v>491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48" t="s">
        <v>196</v>
      </c>
      <c r="Y87" s="49" t="s">
        <v>196</v>
      </c>
    </row>
    <row r="88" spans="1:25" ht="6.65" customHeight="1" x14ac:dyDescent="0.3">
      <c r="A88" s="43">
        <v>88</v>
      </c>
      <c r="B88" s="7" t="s">
        <v>286</v>
      </c>
      <c r="C88" s="10" t="s">
        <v>530</v>
      </c>
      <c r="D88" s="57" t="s">
        <v>494</v>
      </c>
      <c r="E88" s="58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550</v>
      </c>
      <c r="L88" s="34" t="s">
        <v>432</v>
      </c>
      <c r="M88" s="35" t="s">
        <v>434</v>
      </c>
      <c r="N88" s="34" t="s">
        <v>1</v>
      </c>
      <c r="O88" s="11" t="s">
        <v>95</v>
      </c>
      <c r="P88" s="45" t="s">
        <v>453</v>
      </c>
      <c r="Q88" s="46" t="s">
        <v>491</v>
      </c>
      <c r="R88" s="45" t="s">
        <v>454</v>
      </c>
      <c r="S88" s="46" t="s">
        <v>491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48" t="s">
        <v>196</v>
      </c>
      <c r="Y88" s="49" t="s">
        <v>196</v>
      </c>
    </row>
    <row r="89" spans="1:25" ht="6.65" customHeight="1" x14ac:dyDescent="0.3">
      <c r="A89" s="43">
        <v>89</v>
      </c>
      <c r="B89" s="12" t="s">
        <v>287</v>
      </c>
      <c r="C89" s="10" t="s">
        <v>530</v>
      </c>
      <c r="D89" s="57" t="s">
        <v>494</v>
      </c>
      <c r="E89" s="58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550</v>
      </c>
      <c r="L89" s="34" t="s">
        <v>432</v>
      </c>
      <c r="M89" s="35" t="s">
        <v>434</v>
      </c>
      <c r="N89" s="34" t="s">
        <v>1</v>
      </c>
      <c r="O89" s="11" t="s">
        <v>96</v>
      </c>
      <c r="P89" s="45" t="s">
        <v>453</v>
      </c>
      <c r="Q89" s="46" t="s">
        <v>491</v>
      </c>
      <c r="R89" s="45" t="s">
        <v>454</v>
      </c>
      <c r="S89" s="46" t="s">
        <v>491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48" t="s">
        <v>196</v>
      </c>
      <c r="Y89" s="49" t="s">
        <v>196</v>
      </c>
    </row>
    <row r="90" spans="1:25" ht="6.65" customHeight="1" x14ac:dyDescent="0.3">
      <c r="A90" s="43">
        <v>90</v>
      </c>
      <c r="B90" s="12" t="s">
        <v>288</v>
      </c>
      <c r="C90" s="10" t="s">
        <v>530</v>
      </c>
      <c r="D90" s="57" t="s">
        <v>494</v>
      </c>
      <c r="E90" s="58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550</v>
      </c>
      <c r="L90" s="34" t="s">
        <v>432</v>
      </c>
      <c r="M90" s="35" t="s">
        <v>434</v>
      </c>
      <c r="N90" s="34" t="s">
        <v>1</v>
      </c>
      <c r="O90" s="11" t="s">
        <v>97</v>
      </c>
      <c r="P90" s="45" t="s">
        <v>453</v>
      </c>
      <c r="Q90" s="46" t="s">
        <v>491</v>
      </c>
      <c r="R90" s="45" t="s">
        <v>454</v>
      </c>
      <c r="S90" s="46" t="s">
        <v>491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48" t="s">
        <v>196</v>
      </c>
      <c r="Y90" s="49" t="s">
        <v>196</v>
      </c>
    </row>
    <row r="91" spans="1:25" ht="6.65" customHeight="1" x14ac:dyDescent="0.3">
      <c r="A91" s="43">
        <v>91</v>
      </c>
      <c r="B91" s="13" t="s">
        <v>289</v>
      </c>
      <c r="C91" s="10" t="s">
        <v>530</v>
      </c>
      <c r="D91" s="57" t="s">
        <v>494</v>
      </c>
      <c r="E91" s="58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550</v>
      </c>
      <c r="L91" s="34" t="s">
        <v>432</v>
      </c>
      <c r="M91" s="35" t="s">
        <v>434</v>
      </c>
      <c r="N91" s="34" t="s">
        <v>1</v>
      </c>
      <c r="O91" s="11" t="s">
        <v>98</v>
      </c>
      <c r="P91" s="45" t="s">
        <v>453</v>
      </c>
      <c r="Q91" s="46" t="s">
        <v>491</v>
      </c>
      <c r="R91" s="45" t="s">
        <v>454</v>
      </c>
      <c r="S91" s="46" t="s">
        <v>491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48" t="s">
        <v>196</v>
      </c>
      <c r="Y91" s="49" t="s">
        <v>196</v>
      </c>
    </row>
    <row r="92" spans="1:25" ht="6.65" customHeight="1" x14ac:dyDescent="0.3">
      <c r="A92" s="43">
        <v>92</v>
      </c>
      <c r="B92" s="13" t="s">
        <v>290</v>
      </c>
      <c r="C92" s="10" t="s">
        <v>530</v>
      </c>
      <c r="D92" s="57" t="s">
        <v>494</v>
      </c>
      <c r="E92" s="58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550</v>
      </c>
      <c r="L92" s="34" t="s">
        <v>432</v>
      </c>
      <c r="M92" s="35" t="s">
        <v>434</v>
      </c>
      <c r="N92" s="34" t="s">
        <v>1</v>
      </c>
      <c r="O92" s="11" t="s">
        <v>463</v>
      </c>
      <c r="P92" s="45" t="s">
        <v>453</v>
      </c>
      <c r="Q92" s="46" t="s">
        <v>491</v>
      </c>
      <c r="R92" s="45" t="s">
        <v>454</v>
      </c>
      <c r="S92" s="46" t="s">
        <v>491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48" t="s">
        <v>196</v>
      </c>
      <c r="Y92" s="49" t="s">
        <v>196</v>
      </c>
    </row>
    <row r="93" spans="1:25" ht="6.65" customHeight="1" x14ac:dyDescent="0.3">
      <c r="A93" s="43">
        <v>93</v>
      </c>
      <c r="B93" s="12" t="s">
        <v>291</v>
      </c>
      <c r="C93" s="10" t="s">
        <v>530</v>
      </c>
      <c r="D93" s="57" t="s">
        <v>494</v>
      </c>
      <c r="E93" s="58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550</v>
      </c>
      <c r="L93" s="34" t="s">
        <v>432</v>
      </c>
      <c r="M93" s="35" t="s">
        <v>434</v>
      </c>
      <c r="N93" s="34" t="s">
        <v>1</v>
      </c>
      <c r="O93" s="11" t="s">
        <v>99</v>
      </c>
      <c r="P93" s="45" t="s">
        <v>453</v>
      </c>
      <c r="Q93" s="46" t="s">
        <v>491</v>
      </c>
      <c r="R93" s="45" t="s">
        <v>454</v>
      </c>
      <c r="S93" s="46" t="s">
        <v>491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48" t="s">
        <v>196</v>
      </c>
      <c r="Y93" s="49" t="s">
        <v>196</v>
      </c>
    </row>
    <row r="94" spans="1:25" ht="6.65" customHeight="1" x14ac:dyDescent="0.3">
      <c r="A94" s="43">
        <v>94</v>
      </c>
      <c r="B94" s="12" t="s">
        <v>292</v>
      </c>
      <c r="C94" s="10" t="s">
        <v>530</v>
      </c>
      <c r="D94" s="57" t="s">
        <v>494</v>
      </c>
      <c r="E94" s="58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550</v>
      </c>
      <c r="L94" s="34" t="s">
        <v>432</v>
      </c>
      <c r="M94" s="35" t="s">
        <v>434</v>
      </c>
      <c r="N94" s="34" t="s">
        <v>1</v>
      </c>
      <c r="O94" s="11" t="s">
        <v>100</v>
      </c>
      <c r="P94" s="45" t="s">
        <v>453</v>
      </c>
      <c r="Q94" s="46" t="s">
        <v>491</v>
      </c>
      <c r="R94" s="45" t="s">
        <v>454</v>
      </c>
      <c r="S94" s="46" t="s">
        <v>491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48" t="s">
        <v>196</v>
      </c>
      <c r="Y94" s="49" t="s">
        <v>196</v>
      </c>
    </row>
    <row r="95" spans="1:25" ht="6.65" customHeight="1" x14ac:dyDescent="0.3">
      <c r="A95" s="43">
        <v>95</v>
      </c>
      <c r="B95" s="12" t="s">
        <v>293</v>
      </c>
      <c r="C95" s="10" t="s">
        <v>524</v>
      </c>
      <c r="D95" s="57" t="s">
        <v>494</v>
      </c>
      <c r="E95" s="58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550</v>
      </c>
      <c r="L95" s="34" t="s">
        <v>432</v>
      </c>
      <c r="M95" s="35" t="s">
        <v>101</v>
      </c>
      <c r="N95" s="34" t="s">
        <v>1</v>
      </c>
      <c r="O95" s="11" t="s">
        <v>101</v>
      </c>
      <c r="P95" s="45" t="s">
        <v>453</v>
      </c>
      <c r="Q95" s="46" t="s">
        <v>491</v>
      </c>
      <c r="R95" s="45" t="s">
        <v>454</v>
      </c>
      <c r="S95" s="46" t="s">
        <v>491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48" t="s">
        <v>196</v>
      </c>
      <c r="Y95" s="49" t="s">
        <v>196</v>
      </c>
    </row>
    <row r="96" spans="1:25" ht="6.65" customHeight="1" x14ac:dyDescent="0.3">
      <c r="A96" s="43">
        <v>96</v>
      </c>
      <c r="B96" s="12" t="s">
        <v>294</v>
      </c>
      <c r="C96" s="10" t="s">
        <v>524</v>
      </c>
      <c r="D96" s="57" t="s">
        <v>494</v>
      </c>
      <c r="E96" s="58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550</v>
      </c>
      <c r="L96" s="34" t="s">
        <v>432</v>
      </c>
      <c r="M96" s="35" t="s">
        <v>101</v>
      </c>
      <c r="N96" s="34" t="s">
        <v>1</v>
      </c>
      <c r="O96" s="11" t="s">
        <v>102</v>
      </c>
      <c r="P96" s="45" t="s">
        <v>453</v>
      </c>
      <c r="Q96" s="46" t="s">
        <v>491</v>
      </c>
      <c r="R96" s="45" t="s">
        <v>454</v>
      </c>
      <c r="S96" s="46" t="s">
        <v>491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48" t="s">
        <v>196</v>
      </c>
      <c r="Y96" s="49" t="s">
        <v>196</v>
      </c>
    </row>
    <row r="97" spans="1:25" ht="6.65" customHeight="1" x14ac:dyDescent="0.3">
      <c r="A97" s="43">
        <v>97</v>
      </c>
      <c r="B97" s="12" t="s">
        <v>295</v>
      </c>
      <c r="C97" s="10" t="s">
        <v>524</v>
      </c>
      <c r="D97" s="57" t="s">
        <v>494</v>
      </c>
      <c r="E97" s="58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550</v>
      </c>
      <c r="L97" s="34" t="s">
        <v>432</v>
      </c>
      <c r="M97" s="35" t="s">
        <v>101</v>
      </c>
      <c r="N97" s="34" t="s">
        <v>1</v>
      </c>
      <c r="O97" s="11" t="s">
        <v>103</v>
      </c>
      <c r="P97" s="45" t="s">
        <v>453</v>
      </c>
      <c r="Q97" s="46" t="s">
        <v>491</v>
      </c>
      <c r="R97" s="45" t="s">
        <v>454</v>
      </c>
      <c r="S97" s="46" t="s">
        <v>491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48" t="s">
        <v>196</v>
      </c>
      <c r="Y97" s="49" t="s">
        <v>196</v>
      </c>
    </row>
    <row r="98" spans="1:25" ht="6.65" customHeight="1" x14ac:dyDescent="0.3">
      <c r="A98" s="43">
        <v>98</v>
      </c>
      <c r="B98" s="12" t="s">
        <v>296</v>
      </c>
      <c r="C98" s="10" t="s">
        <v>524</v>
      </c>
      <c r="D98" s="57" t="s">
        <v>494</v>
      </c>
      <c r="E98" s="58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550</v>
      </c>
      <c r="L98" s="34" t="s">
        <v>432</v>
      </c>
      <c r="M98" s="35" t="s">
        <v>101</v>
      </c>
      <c r="N98" s="34" t="s">
        <v>1</v>
      </c>
      <c r="O98" s="11" t="s">
        <v>104</v>
      </c>
      <c r="P98" s="45" t="s">
        <v>453</v>
      </c>
      <c r="Q98" s="46" t="s">
        <v>491</v>
      </c>
      <c r="R98" s="45" t="s">
        <v>454</v>
      </c>
      <c r="S98" s="46" t="s">
        <v>491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48" t="s">
        <v>196</v>
      </c>
      <c r="Y98" s="49" t="s">
        <v>196</v>
      </c>
    </row>
    <row r="99" spans="1:25" ht="6.65" customHeight="1" x14ac:dyDescent="0.3">
      <c r="A99" s="43">
        <v>99</v>
      </c>
      <c r="B99" s="12" t="s">
        <v>297</v>
      </c>
      <c r="C99" s="10" t="s">
        <v>524</v>
      </c>
      <c r="D99" s="57" t="s">
        <v>494</v>
      </c>
      <c r="E99" s="58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550</v>
      </c>
      <c r="L99" s="34" t="s">
        <v>432</v>
      </c>
      <c r="M99" s="35" t="s">
        <v>101</v>
      </c>
      <c r="N99" s="34" t="s">
        <v>1</v>
      </c>
      <c r="O99" s="11" t="s">
        <v>105</v>
      </c>
      <c r="P99" s="45" t="s">
        <v>453</v>
      </c>
      <c r="Q99" s="46" t="s">
        <v>491</v>
      </c>
      <c r="R99" s="45" t="s">
        <v>454</v>
      </c>
      <c r="S99" s="46" t="s">
        <v>491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48" t="s">
        <v>196</v>
      </c>
      <c r="Y99" s="49" t="s">
        <v>196</v>
      </c>
    </row>
    <row r="100" spans="1:25" ht="6.65" customHeight="1" x14ac:dyDescent="0.3">
      <c r="A100" s="43">
        <v>100</v>
      </c>
      <c r="B100" s="12" t="s">
        <v>298</v>
      </c>
      <c r="C100" s="10" t="s">
        <v>524</v>
      </c>
      <c r="D100" s="57" t="s">
        <v>494</v>
      </c>
      <c r="E100" s="58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550</v>
      </c>
      <c r="L100" s="34" t="s">
        <v>432</v>
      </c>
      <c r="M100" s="35" t="s">
        <v>101</v>
      </c>
      <c r="N100" s="34" t="s">
        <v>1</v>
      </c>
      <c r="O100" s="11" t="s">
        <v>106</v>
      </c>
      <c r="P100" s="45" t="s">
        <v>453</v>
      </c>
      <c r="Q100" s="46" t="s">
        <v>491</v>
      </c>
      <c r="R100" s="45" t="s">
        <v>454</v>
      </c>
      <c r="S100" s="46" t="s">
        <v>491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48" t="s">
        <v>196</v>
      </c>
      <c r="Y100" s="49" t="s">
        <v>196</v>
      </c>
    </row>
    <row r="101" spans="1:25" ht="6.65" customHeight="1" x14ac:dyDescent="0.3">
      <c r="A101" s="43">
        <v>101</v>
      </c>
      <c r="B101" s="12" t="s">
        <v>299</v>
      </c>
      <c r="C101" s="10" t="s">
        <v>524</v>
      </c>
      <c r="D101" s="57" t="s">
        <v>494</v>
      </c>
      <c r="E101" s="58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550</v>
      </c>
      <c r="L101" s="34" t="s">
        <v>432</v>
      </c>
      <c r="M101" s="35" t="s">
        <v>101</v>
      </c>
      <c r="N101" s="34" t="s">
        <v>1</v>
      </c>
      <c r="O101" s="11" t="s">
        <v>107</v>
      </c>
      <c r="P101" s="45" t="s">
        <v>453</v>
      </c>
      <c r="Q101" s="46" t="s">
        <v>491</v>
      </c>
      <c r="R101" s="45" t="s">
        <v>454</v>
      </c>
      <c r="S101" s="46" t="s">
        <v>491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48" t="s">
        <v>196</v>
      </c>
      <c r="Y101" s="49" t="s">
        <v>196</v>
      </c>
    </row>
    <row r="102" spans="1:25" ht="6.65" customHeight="1" x14ac:dyDescent="0.3">
      <c r="A102" s="43">
        <v>102</v>
      </c>
      <c r="B102" s="13" t="s">
        <v>300</v>
      </c>
      <c r="C102" s="10" t="s">
        <v>524</v>
      </c>
      <c r="D102" s="57" t="s">
        <v>494</v>
      </c>
      <c r="E102" s="58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550</v>
      </c>
      <c r="L102" s="34" t="s">
        <v>432</v>
      </c>
      <c r="M102" s="35" t="s">
        <v>101</v>
      </c>
      <c r="N102" s="34" t="s">
        <v>1</v>
      </c>
      <c r="O102" s="11" t="s">
        <v>108</v>
      </c>
      <c r="P102" s="45" t="s">
        <v>453</v>
      </c>
      <c r="Q102" s="46" t="s">
        <v>491</v>
      </c>
      <c r="R102" s="45" t="s">
        <v>454</v>
      </c>
      <c r="S102" s="46" t="s">
        <v>491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48" t="s">
        <v>196</v>
      </c>
      <c r="Y102" s="49" t="s">
        <v>196</v>
      </c>
    </row>
    <row r="103" spans="1:25" ht="6.65" customHeight="1" x14ac:dyDescent="0.3">
      <c r="A103" s="43">
        <v>103</v>
      </c>
      <c r="B103" s="13" t="s">
        <v>301</v>
      </c>
      <c r="C103" s="10" t="s">
        <v>524</v>
      </c>
      <c r="D103" s="57" t="s">
        <v>494</v>
      </c>
      <c r="E103" s="58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550</v>
      </c>
      <c r="L103" s="34" t="s">
        <v>432</v>
      </c>
      <c r="M103" s="35" t="s">
        <v>101</v>
      </c>
      <c r="N103" s="34" t="s">
        <v>1</v>
      </c>
      <c r="O103" s="11" t="s">
        <v>109</v>
      </c>
      <c r="P103" s="45" t="s">
        <v>453</v>
      </c>
      <c r="Q103" s="46" t="s">
        <v>491</v>
      </c>
      <c r="R103" s="45" t="s">
        <v>454</v>
      </c>
      <c r="S103" s="46" t="s">
        <v>491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48" t="s">
        <v>196</v>
      </c>
      <c r="Y103" s="49" t="s">
        <v>196</v>
      </c>
    </row>
    <row r="104" spans="1:25" ht="6.65" customHeight="1" x14ac:dyDescent="0.3">
      <c r="A104" s="43">
        <v>104</v>
      </c>
      <c r="B104" s="7" t="s">
        <v>302</v>
      </c>
      <c r="C104" s="10" t="s">
        <v>526</v>
      </c>
      <c r="D104" s="57" t="s">
        <v>494</v>
      </c>
      <c r="E104" s="58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550</v>
      </c>
      <c r="L104" s="34" t="s">
        <v>432</v>
      </c>
      <c r="M104" s="35" t="s">
        <v>435</v>
      </c>
      <c r="N104" s="34" t="s">
        <v>1</v>
      </c>
      <c r="O104" s="11" t="s">
        <v>110</v>
      </c>
      <c r="P104" s="45" t="s">
        <v>453</v>
      </c>
      <c r="Q104" s="46" t="s">
        <v>491</v>
      </c>
      <c r="R104" s="45" t="s">
        <v>454</v>
      </c>
      <c r="S104" s="46" t="s">
        <v>491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48" t="s">
        <v>196</v>
      </c>
      <c r="Y104" s="49" t="s">
        <v>196</v>
      </c>
    </row>
    <row r="105" spans="1:25" ht="6.65" customHeight="1" x14ac:dyDescent="0.3">
      <c r="A105" s="43">
        <v>105</v>
      </c>
      <c r="B105" s="12" t="s">
        <v>303</v>
      </c>
      <c r="C105" s="10" t="s">
        <v>526</v>
      </c>
      <c r="D105" s="57" t="s">
        <v>494</v>
      </c>
      <c r="E105" s="58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550</v>
      </c>
      <c r="L105" s="34" t="s">
        <v>432</v>
      </c>
      <c r="M105" s="35" t="s">
        <v>435</v>
      </c>
      <c r="N105" s="34" t="s">
        <v>1</v>
      </c>
      <c r="O105" s="11" t="s">
        <v>111</v>
      </c>
      <c r="P105" s="45" t="s">
        <v>453</v>
      </c>
      <c r="Q105" s="46" t="s">
        <v>491</v>
      </c>
      <c r="R105" s="45" t="s">
        <v>454</v>
      </c>
      <c r="S105" s="46" t="s">
        <v>491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48" t="s">
        <v>196</v>
      </c>
      <c r="Y105" s="49" t="s">
        <v>196</v>
      </c>
    </row>
    <row r="106" spans="1:25" ht="6.65" customHeight="1" x14ac:dyDescent="0.3">
      <c r="A106" s="43">
        <v>106</v>
      </c>
      <c r="B106" s="12" t="s">
        <v>304</v>
      </c>
      <c r="C106" s="10" t="s">
        <v>526</v>
      </c>
      <c r="D106" s="57" t="s">
        <v>494</v>
      </c>
      <c r="E106" s="58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550</v>
      </c>
      <c r="L106" s="34" t="s">
        <v>432</v>
      </c>
      <c r="M106" s="35" t="s">
        <v>435</v>
      </c>
      <c r="N106" s="34" t="s">
        <v>1</v>
      </c>
      <c r="O106" s="11" t="s">
        <v>112</v>
      </c>
      <c r="P106" s="45" t="s">
        <v>453</v>
      </c>
      <c r="Q106" s="46" t="s">
        <v>491</v>
      </c>
      <c r="R106" s="45" t="s">
        <v>454</v>
      </c>
      <c r="S106" s="46" t="s">
        <v>491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48" t="s">
        <v>196</v>
      </c>
      <c r="Y106" s="49" t="s">
        <v>196</v>
      </c>
    </row>
    <row r="107" spans="1:25" ht="6.65" customHeight="1" x14ac:dyDescent="0.3">
      <c r="A107" s="43">
        <v>107</v>
      </c>
      <c r="B107" s="12" t="s">
        <v>305</v>
      </c>
      <c r="C107" s="10" t="s">
        <v>526</v>
      </c>
      <c r="D107" s="57" t="s">
        <v>494</v>
      </c>
      <c r="E107" s="58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550</v>
      </c>
      <c r="L107" s="34" t="s">
        <v>432</v>
      </c>
      <c r="M107" s="35" t="s">
        <v>435</v>
      </c>
      <c r="N107" s="34" t="s">
        <v>1</v>
      </c>
      <c r="O107" s="11" t="s">
        <v>113</v>
      </c>
      <c r="P107" s="45" t="s">
        <v>453</v>
      </c>
      <c r="Q107" s="46" t="s">
        <v>491</v>
      </c>
      <c r="R107" s="45" t="s">
        <v>454</v>
      </c>
      <c r="S107" s="46" t="s">
        <v>491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48" t="s">
        <v>196</v>
      </c>
      <c r="Y107" s="49" t="s">
        <v>196</v>
      </c>
    </row>
    <row r="108" spans="1:25" ht="6.65" customHeight="1" x14ac:dyDescent="0.3">
      <c r="A108" s="43">
        <v>108</v>
      </c>
      <c r="B108" s="7" t="s">
        <v>306</v>
      </c>
      <c r="C108" s="10" t="s">
        <v>522</v>
      </c>
      <c r="D108" s="57" t="s">
        <v>494</v>
      </c>
      <c r="E108" s="58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550</v>
      </c>
      <c r="L108" s="34" t="s">
        <v>432</v>
      </c>
      <c r="M108" s="35" t="s">
        <v>114</v>
      </c>
      <c r="N108" s="34" t="s">
        <v>1</v>
      </c>
      <c r="O108" s="11" t="s">
        <v>114</v>
      </c>
      <c r="P108" s="45" t="s">
        <v>453</v>
      </c>
      <c r="Q108" s="46" t="s">
        <v>491</v>
      </c>
      <c r="R108" s="45" t="s">
        <v>454</v>
      </c>
      <c r="S108" s="46" t="s">
        <v>491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48" t="s">
        <v>196</v>
      </c>
      <c r="Y108" s="49" t="s">
        <v>196</v>
      </c>
    </row>
    <row r="109" spans="1:25" ht="6.65" customHeight="1" x14ac:dyDescent="0.3">
      <c r="A109" s="43">
        <v>109</v>
      </c>
      <c r="B109" s="12" t="s">
        <v>307</v>
      </c>
      <c r="C109" s="10" t="s">
        <v>522</v>
      </c>
      <c r="D109" s="57" t="s">
        <v>494</v>
      </c>
      <c r="E109" s="58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550</v>
      </c>
      <c r="L109" s="34" t="s">
        <v>432</v>
      </c>
      <c r="M109" s="35" t="s">
        <v>114</v>
      </c>
      <c r="N109" s="34" t="s">
        <v>1</v>
      </c>
      <c r="O109" s="11" t="s">
        <v>115</v>
      </c>
      <c r="P109" s="45" t="s">
        <v>453</v>
      </c>
      <c r="Q109" s="46" t="s">
        <v>491</v>
      </c>
      <c r="R109" s="45" t="s">
        <v>454</v>
      </c>
      <c r="S109" s="46" t="s">
        <v>491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48" t="s">
        <v>196</v>
      </c>
      <c r="Y109" s="49" t="s">
        <v>196</v>
      </c>
    </row>
    <row r="110" spans="1:25" ht="6.65" customHeight="1" x14ac:dyDescent="0.3">
      <c r="A110" s="43">
        <v>110</v>
      </c>
      <c r="B110" s="12" t="s">
        <v>308</v>
      </c>
      <c r="C110" s="10" t="s">
        <v>522</v>
      </c>
      <c r="D110" s="57" t="s">
        <v>494</v>
      </c>
      <c r="E110" s="58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550</v>
      </c>
      <c r="L110" s="34" t="s">
        <v>432</v>
      </c>
      <c r="M110" s="35" t="s">
        <v>114</v>
      </c>
      <c r="N110" s="34" t="s">
        <v>1</v>
      </c>
      <c r="O110" s="11" t="s">
        <v>116</v>
      </c>
      <c r="P110" s="45" t="s">
        <v>453</v>
      </c>
      <c r="Q110" s="46" t="s">
        <v>491</v>
      </c>
      <c r="R110" s="45" t="s">
        <v>454</v>
      </c>
      <c r="S110" s="46" t="s">
        <v>491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48" t="s">
        <v>196</v>
      </c>
      <c r="Y110" s="49" t="s">
        <v>196</v>
      </c>
    </row>
    <row r="111" spans="1:25" ht="6.65" customHeight="1" x14ac:dyDescent="0.3">
      <c r="A111" s="43">
        <v>111</v>
      </c>
      <c r="B111" s="13" t="s">
        <v>309</v>
      </c>
      <c r="C111" s="10" t="s">
        <v>522</v>
      </c>
      <c r="D111" s="57" t="s">
        <v>494</v>
      </c>
      <c r="E111" s="58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550</v>
      </c>
      <c r="L111" s="34" t="s">
        <v>432</v>
      </c>
      <c r="M111" s="35" t="s">
        <v>114</v>
      </c>
      <c r="N111" s="34" t="s">
        <v>1</v>
      </c>
      <c r="O111" s="11" t="s">
        <v>117</v>
      </c>
      <c r="P111" s="45" t="s">
        <v>453</v>
      </c>
      <c r="Q111" s="46" t="s">
        <v>491</v>
      </c>
      <c r="R111" s="45" t="s">
        <v>454</v>
      </c>
      <c r="S111" s="46" t="s">
        <v>491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48" t="s">
        <v>196</v>
      </c>
      <c r="Y111" s="49" t="s">
        <v>196</v>
      </c>
    </row>
    <row r="112" spans="1:25" ht="6.65" customHeight="1" x14ac:dyDescent="0.3">
      <c r="A112" s="43">
        <v>112</v>
      </c>
      <c r="B112" s="12" t="s">
        <v>310</v>
      </c>
      <c r="C112" s="10" t="s">
        <v>522</v>
      </c>
      <c r="D112" s="57" t="s">
        <v>494</v>
      </c>
      <c r="E112" s="58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550</v>
      </c>
      <c r="L112" s="34" t="s">
        <v>432</v>
      </c>
      <c r="M112" s="35" t="s">
        <v>114</v>
      </c>
      <c r="N112" s="34" t="s">
        <v>1</v>
      </c>
      <c r="O112" s="11" t="s">
        <v>119</v>
      </c>
      <c r="P112" s="45" t="s">
        <v>453</v>
      </c>
      <c r="Q112" s="46" t="s">
        <v>491</v>
      </c>
      <c r="R112" s="45" t="s">
        <v>454</v>
      </c>
      <c r="S112" s="46" t="s">
        <v>491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48" t="s">
        <v>196</v>
      </c>
      <c r="Y112" s="49" t="s">
        <v>196</v>
      </c>
    </row>
    <row r="113" spans="1:25" ht="6.65" customHeight="1" x14ac:dyDescent="0.3">
      <c r="A113" s="43">
        <v>113</v>
      </c>
      <c r="B113" s="12" t="s">
        <v>311</v>
      </c>
      <c r="C113" s="10" t="s">
        <v>522</v>
      </c>
      <c r="D113" s="57" t="s">
        <v>494</v>
      </c>
      <c r="E113" s="58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550</v>
      </c>
      <c r="L113" s="34" t="s">
        <v>432</v>
      </c>
      <c r="M113" s="35" t="s">
        <v>114</v>
      </c>
      <c r="N113" s="34" t="s">
        <v>1</v>
      </c>
      <c r="O113" s="11" t="s">
        <v>120</v>
      </c>
      <c r="P113" s="45" t="s">
        <v>453</v>
      </c>
      <c r="Q113" s="46" t="s">
        <v>491</v>
      </c>
      <c r="R113" s="45" t="s">
        <v>454</v>
      </c>
      <c r="S113" s="46" t="s">
        <v>491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48" t="s">
        <v>196</v>
      </c>
      <c r="Y113" s="49" t="s">
        <v>196</v>
      </c>
    </row>
    <row r="114" spans="1:25" ht="6.65" customHeight="1" x14ac:dyDescent="0.3">
      <c r="A114" s="43">
        <v>114</v>
      </c>
      <c r="B114" s="12" t="s">
        <v>312</v>
      </c>
      <c r="C114" s="10" t="s">
        <v>522</v>
      </c>
      <c r="D114" s="57" t="s">
        <v>494</v>
      </c>
      <c r="E114" s="58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550</v>
      </c>
      <c r="L114" s="34" t="s">
        <v>432</v>
      </c>
      <c r="M114" s="35" t="s">
        <v>114</v>
      </c>
      <c r="N114" s="34" t="s">
        <v>1</v>
      </c>
      <c r="O114" s="11" t="s">
        <v>121</v>
      </c>
      <c r="P114" s="45" t="s">
        <v>453</v>
      </c>
      <c r="Q114" s="46" t="s">
        <v>491</v>
      </c>
      <c r="R114" s="45" t="s">
        <v>454</v>
      </c>
      <c r="S114" s="46" t="s">
        <v>491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48" t="s">
        <v>196</v>
      </c>
      <c r="Y114" s="49" t="s">
        <v>196</v>
      </c>
    </row>
    <row r="115" spans="1:25" ht="6.65" customHeight="1" x14ac:dyDescent="0.3">
      <c r="A115" s="43">
        <v>115</v>
      </c>
      <c r="B115" s="12" t="s">
        <v>313</v>
      </c>
      <c r="C115" s="10" t="s">
        <v>522</v>
      </c>
      <c r="D115" s="57" t="s">
        <v>494</v>
      </c>
      <c r="E115" s="58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550</v>
      </c>
      <c r="L115" s="34" t="s">
        <v>432</v>
      </c>
      <c r="M115" s="35" t="s">
        <v>114</v>
      </c>
      <c r="N115" s="34" t="s">
        <v>1</v>
      </c>
      <c r="O115" s="11" t="s">
        <v>122</v>
      </c>
      <c r="P115" s="45" t="s">
        <v>453</v>
      </c>
      <c r="Q115" s="46" t="s">
        <v>491</v>
      </c>
      <c r="R115" s="45" t="s">
        <v>454</v>
      </c>
      <c r="S115" s="46" t="s">
        <v>491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48" t="s">
        <v>196</v>
      </c>
      <c r="Y115" s="49" t="s">
        <v>196</v>
      </c>
    </row>
    <row r="116" spans="1:25" ht="6.65" customHeight="1" x14ac:dyDescent="0.3">
      <c r="A116" s="43">
        <v>116</v>
      </c>
      <c r="B116" s="12" t="s">
        <v>314</v>
      </c>
      <c r="C116" s="10" t="s">
        <v>522</v>
      </c>
      <c r="D116" s="57" t="s">
        <v>494</v>
      </c>
      <c r="E116" s="58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550</v>
      </c>
      <c r="L116" s="34" t="s">
        <v>432</v>
      </c>
      <c r="M116" s="35" t="s">
        <v>114</v>
      </c>
      <c r="N116" s="34" t="s">
        <v>1</v>
      </c>
      <c r="O116" s="11" t="s">
        <v>123</v>
      </c>
      <c r="P116" s="45" t="s">
        <v>453</v>
      </c>
      <c r="Q116" s="46" t="s">
        <v>491</v>
      </c>
      <c r="R116" s="45" t="s">
        <v>454</v>
      </c>
      <c r="S116" s="46" t="s">
        <v>491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48" t="s">
        <v>196</v>
      </c>
      <c r="Y116" s="49" t="s">
        <v>196</v>
      </c>
    </row>
    <row r="117" spans="1:25" ht="6.65" customHeight="1" x14ac:dyDescent="0.3">
      <c r="A117" s="43">
        <v>117</v>
      </c>
      <c r="B117" s="12" t="s">
        <v>315</v>
      </c>
      <c r="C117" s="10" t="s">
        <v>522</v>
      </c>
      <c r="D117" s="57" t="s">
        <v>494</v>
      </c>
      <c r="E117" s="58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550</v>
      </c>
      <c r="L117" s="34" t="s">
        <v>432</v>
      </c>
      <c r="M117" s="35" t="s">
        <v>114</v>
      </c>
      <c r="N117" s="34" t="s">
        <v>1</v>
      </c>
      <c r="O117" s="11" t="s">
        <v>124</v>
      </c>
      <c r="P117" s="45" t="s">
        <v>453</v>
      </c>
      <c r="Q117" s="46" t="s">
        <v>491</v>
      </c>
      <c r="R117" s="45" t="s">
        <v>454</v>
      </c>
      <c r="S117" s="46" t="s">
        <v>491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48" t="s">
        <v>196</v>
      </c>
      <c r="Y117" s="49" t="s">
        <v>196</v>
      </c>
    </row>
    <row r="118" spans="1:25" ht="6.65" customHeight="1" x14ac:dyDescent="0.3">
      <c r="A118" s="43">
        <v>118</v>
      </c>
      <c r="B118" s="12" t="s">
        <v>316</v>
      </c>
      <c r="C118" s="10" t="s">
        <v>522</v>
      </c>
      <c r="D118" s="57" t="s">
        <v>494</v>
      </c>
      <c r="E118" s="58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550</v>
      </c>
      <c r="L118" s="34" t="s">
        <v>432</v>
      </c>
      <c r="M118" s="35" t="s">
        <v>114</v>
      </c>
      <c r="N118" s="34" t="s">
        <v>1</v>
      </c>
      <c r="O118" s="11" t="s">
        <v>125</v>
      </c>
      <c r="P118" s="45" t="s">
        <v>453</v>
      </c>
      <c r="Q118" s="46" t="s">
        <v>491</v>
      </c>
      <c r="R118" s="45" t="s">
        <v>454</v>
      </c>
      <c r="S118" s="46" t="s">
        <v>491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48" t="s">
        <v>196</v>
      </c>
      <c r="Y118" s="49" t="s">
        <v>196</v>
      </c>
    </row>
    <row r="119" spans="1:25" ht="6.65" customHeight="1" x14ac:dyDescent="0.3">
      <c r="A119" s="43">
        <v>119</v>
      </c>
      <c r="B119" s="12" t="s">
        <v>317</v>
      </c>
      <c r="C119" s="10" t="s">
        <v>522</v>
      </c>
      <c r="D119" s="57" t="s">
        <v>494</v>
      </c>
      <c r="E119" s="58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550</v>
      </c>
      <c r="L119" s="34" t="s">
        <v>432</v>
      </c>
      <c r="M119" s="35" t="s">
        <v>114</v>
      </c>
      <c r="N119" s="34" t="s">
        <v>1</v>
      </c>
      <c r="O119" s="11" t="s">
        <v>126</v>
      </c>
      <c r="P119" s="45" t="s">
        <v>453</v>
      </c>
      <c r="Q119" s="46" t="s">
        <v>491</v>
      </c>
      <c r="R119" s="45" t="s">
        <v>454</v>
      </c>
      <c r="S119" s="46" t="s">
        <v>491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48" t="s">
        <v>196</v>
      </c>
      <c r="Y119" s="49" t="s">
        <v>196</v>
      </c>
    </row>
    <row r="120" spans="1:25" ht="6.65" customHeight="1" x14ac:dyDescent="0.3">
      <c r="A120" s="43">
        <v>120</v>
      </c>
      <c r="B120" s="12" t="s">
        <v>318</v>
      </c>
      <c r="C120" s="10" t="s">
        <v>522</v>
      </c>
      <c r="D120" s="57" t="s">
        <v>494</v>
      </c>
      <c r="E120" s="58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550</v>
      </c>
      <c r="L120" s="34" t="s">
        <v>432</v>
      </c>
      <c r="M120" s="35" t="s">
        <v>114</v>
      </c>
      <c r="N120" s="34" t="s">
        <v>1</v>
      </c>
      <c r="O120" s="11" t="s">
        <v>127</v>
      </c>
      <c r="P120" s="45" t="s">
        <v>453</v>
      </c>
      <c r="Q120" s="46" t="s">
        <v>491</v>
      </c>
      <c r="R120" s="45" t="s">
        <v>454</v>
      </c>
      <c r="S120" s="46" t="s">
        <v>491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48" t="s">
        <v>196</v>
      </c>
      <c r="Y120" s="49" t="s">
        <v>196</v>
      </c>
    </row>
    <row r="121" spans="1:25" ht="6.65" customHeight="1" x14ac:dyDescent="0.3">
      <c r="A121" s="43">
        <v>121</v>
      </c>
      <c r="B121" s="12" t="s">
        <v>319</v>
      </c>
      <c r="C121" s="10" t="s">
        <v>522</v>
      </c>
      <c r="D121" s="57" t="s">
        <v>494</v>
      </c>
      <c r="E121" s="58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550</v>
      </c>
      <c r="L121" s="34" t="s">
        <v>432</v>
      </c>
      <c r="M121" s="35" t="s">
        <v>114</v>
      </c>
      <c r="N121" s="34" t="s">
        <v>1</v>
      </c>
      <c r="O121" s="11" t="s">
        <v>128</v>
      </c>
      <c r="P121" s="45" t="s">
        <v>453</v>
      </c>
      <c r="Q121" s="46" t="s">
        <v>491</v>
      </c>
      <c r="R121" s="45" t="s">
        <v>454</v>
      </c>
      <c r="S121" s="46" t="s">
        <v>491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48" t="s">
        <v>196</v>
      </c>
      <c r="Y121" s="49" t="s">
        <v>196</v>
      </c>
    </row>
    <row r="122" spans="1:25" ht="6.65" customHeight="1" x14ac:dyDescent="0.3">
      <c r="A122" s="43">
        <v>122</v>
      </c>
      <c r="B122" s="12" t="s">
        <v>320</v>
      </c>
      <c r="C122" s="10" t="s">
        <v>522</v>
      </c>
      <c r="D122" s="57" t="s">
        <v>494</v>
      </c>
      <c r="E122" s="58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550</v>
      </c>
      <c r="L122" s="34" t="s">
        <v>432</v>
      </c>
      <c r="M122" s="35" t="s">
        <v>114</v>
      </c>
      <c r="N122" s="34" t="s">
        <v>1</v>
      </c>
      <c r="O122" s="11" t="s">
        <v>129</v>
      </c>
      <c r="P122" s="45" t="s">
        <v>453</v>
      </c>
      <c r="Q122" s="46" t="s">
        <v>491</v>
      </c>
      <c r="R122" s="45" t="s">
        <v>454</v>
      </c>
      <c r="S122" s="46" t="s">
        <v>491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48" t="s">
        <v>196</v>
      </c>
      <c r="Y122" s="49" t="s">
        <v>196</v>
      </c>
    </row>
    <row r="123" spans="1:25" ht="6.65" customHeight="1" x14ac:dyDescent="0.3">
      <c r="A123" s="43">
        <v>123</v>
      </c>
      <c r="B123" s="13" t="s">
        <v>321</v>
      </c>
      <c r="C123" s="10" t="s">
        <v>522</v>
      </c>
      <c r="D123" s="57" t="s">
        <v>494</v>
      </c>
      <c r="E123" s="58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550</v>
      </c>
      <c r="L123" s="34" t="s">
        <v>432</v>
      </c>
      <c r="M123" s="35" t="s">
        <v>114</v>
      </c>
      <c r="N123" s="34" t="s">
        <v>1</v>
      </c>
      <c r="O123" s="11" t="s">
        <v>130</v>
      </c>
      <c r="P123" s="45" t="s">
        <v>453</v>
      </c>
      <c r="Q123" s="46" t="s">
        <v>491</v>
      </c>
      <c r="R123" s="45" t="s">
        <v>454</v>
      </c>
      <c r="S123" s="46" t="s">
        <v>491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48" t="s">
        <v>196</v>
      </c>
      <c r="Y123" s="49" t="s">
        <v>196</v>
      </c>
    </row>
    <row r="124" spans="1:25" ht="6.65" customHeight="1" x14ac:dyDescent="0.3">
      <c r="A124" s="43">
        <v>124</v>
      </c>
      <c r="B124" s="14" t="s">
        <v>457</v>
      </c>
      <c r="C124" s="10" t="s">
        <v>522</v>
      </c>
      <c r="D124" s="57" t="s">
        <v>494</v>
      </c>
      <c r="E124" s="58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550</v>
      </c>
      <c r="L124" s="34" t="s">
        <v>432</v>
      </c>
      <c r="M124" s="35" t="s">
        <v>114</v>
      </c>
      <c r="N124" s="34" t="s">
        <v>1</v>
      </c>
      <c r="O124" s="11" t="s">
        <v>131</v>
      </c>
      <c r="P124" s="45" t="s">
        <v>453</v>
      </c>
      <c r="Q124" s="46" t="s">
        <v>491</v>
      </c>
      <c r="R124" s="45" t="s">
        <v>454</v>
      </c>
      <c r="S124" s="46" t="s">
        <v>491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48" t="s">
        <v>196</v>
      </c>
      <c r="Y124" s="49" t="s">
        <v>196</v>
      </c>
    </row>
    <row r="125" spans="1:25" ht="6.65" customHeight="1" x14ac:dyDescent="0.3">
      <c r="A125" s="43">
        <v>125</v>
      </c>
      <c r="B125" s="14" t="s">
        <v>470</v>
      </c>
      <c r="C125" s="10" t="s">
        <v>522</v>
      </c>
      <c r="D125" s="57" t="s">
        <v>494</v>
      </c>
      <c r="E125" s="58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550</v>
      </c>
      <c r="L125" s="34" t="s">
        <v>432</v>
      </c>
      <c r="M125" s="35" t="s">
        <v>114</v>
      </c>
      <c r="N125" s="34" t="s">
        <v>1</v>
      </c>
      <c r="O125" s="11" t="s">
        <v>118</v>
      </c>
      <c r="P125" s="45" t="s">
        <v>453</v>
      </c>
      <c r="Q125" s="46" t="s">
        <v>491</v>
      </c>
      <c r="R125" s="45" t="s">
        <v>454</v>
      </c>
      <c r="S125" s="46" t="s">
        <v>491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48" t="s">
        <v>196</v>
      </c>
      <c r="Y125" s="49" t="s">
        <v>196</v>
      </c>
    </row>
    <row r="126" spans="1:25" ht="6.65" customHeight="1" x14ac:dyDescent="0.3">
      <c r="A126" s="43">
        <v>126</v>
      </c>
      <c r="B126" s="12" t="s">
        <v>322</v>
      </c>
      <c r="C126" s="10" t="s">
        <v>522</v>
      </c>
      <c r="D126" s="57" t="s">
        <v>494</v>
      </c>
      <c r="E126" s="58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550</v>
      </c>
      <c r="L126" s="34" t="s">
        <v>432</v>
      </c>
      <c r="M126" s="35" t="s">
        <v>114</v>
      </c>
      <c r="N126" s="34" t="s">
        <v>1</v>
      </c>
      <c r="O126" s="11" t="s">
        <v>132</v>
      </c>
      <c r="P126" s="45" t="s">
        <v>453</v>
      </c>
      <c r="Q126" s="46" t="s">
        <v>491</v>
      </c>
      <c r="R126" s="45" t="s">
        <v>454</v>
      </c>
      <c r="S126" s="46" t="s">
        <v>491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48" t="s">
        <v>196</v>
      </c>
      <c r="Y126" s="49" t="s">
        <v>196</v>
      </c>
    </row>
    <row r="127" spans="1:25" ht="6.65" customHeight="1" x14ac:dyDescent="0.3">
      <c r="A127" s="43">
        <v>127</v>
      </c>
      <c r="B127" s="7" t="s">
        <v>323</v>
      </c>
      <c r="C127" s="10" t="s">
        <v>531</v>
      </c>
      <c r="D127" s="57" t="s">
        <v>494</v>
      </c>
      <c r="E127" s="58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550</v>
      </c>
      <c r="L127" s="34" t="s">
        <v>432</v>
      </c>
      <c r="M127" s="35" t="s">
        <v>114</v>
      </c>
      <c r="N127" s="34" t="s">
        <v>1</v>
      </c>
      <c r="O127" s="11" t="s">
        <v>133</v>
      </c>
      <c r="P127" s="45" t="s">
        <v>453</v>
      </c>
      <c r="Q127" s="46" t="s">
        <v>491</v>
      </c>
      <c r="R127" s="45" t="s">
        <v>454</v>
      </c>
      <c r="S127" s="46" t="s">
        <v>491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48" t="s">
        <v>196</v>
      </c>
      <c r="Y127" s="49" t="s">
        <v>196</v>
      </c>
    </row>
    <row r="128" spans="1:25" ht="6.65" customHeight="1" x14ac:dyDescent="0.3">
      <c r="A128" s="43">
        <v>128</v>
      </c>
      <c r="B128" s="15" t="s">
        <v>324</v>
      </c>
      <c r="C128" s="10" t="s">
        <v>531</v>
      </c>
      <c r="D128" s="57" t="s">
        <v>494</v>
      </c>
      <c r="E128" s="58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550</v>
      </c>
      <c r="L128" s="34" t="s">
        <v>432</v>
      </c>
      <c r="M128" s="35" t="s">
        <v>436</v>
      </c>
      <c r="N128" s="34" t="s">
        <v>1</v>
      </c>
      <c r="O128" s="11" t="s">
        <v>134</v>
      </c>
      <c r="P128" s="45" t="s">
        <v>453</v>
      </c>
      <c r="Q128" s="46" t="s">
        <v>491</v>
      </c>
      <c r="R128" s="45" t="s">
        <v>454</v>
      </c>
      <c r="S128" s="46" t="s">
        <v>491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48" t="s">
        <v>196</v>
      </c>
      <c r="Y128" s="49" t="s">
        <v>196</v>
      </c>
    </row>
    <row r="129" spans="1:25" ht="6.65" customHeight="1" x14ac:dyDescent="0.3">
      <c r="A129" s="43">
        <v>129</v>
      </c>
      <c r="B129" s="12" t="s">
        <v>325</v>
      </c>
      <c r="C129" s="10" t="s">
        <v>531</v>
      </c>
      <c r="D129" s="57" t="s">
        <v>494</v>
      </c>
      <c r="E129" s="58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550</v>
      </c>
      <c r="L129" s="34" t="s">
        <v>432</v>
      </c>
      <c r="M129" s="35" t="s">
        <v>436</v>
      </c>
      <c r="N129" s="34" t="s">
        <v>1</v>
      </c>
      <c r="O129" s="11" t="s">
        <v>135</v>
      </c>
      <c r="P129" s="45" t="s">
        <v>453</v>
      </c>
      <c r="Q129" s="46" t="s">
        <v>491</v>
      </c>
      <c r="R129" s="45" t="s">
        <v>454</v>
      </c>
      <c r="S129" s="46" t="s">
        <v>491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48" t="s">
        <v>196</v>
      </c>
      <c r="Y129" s="49" t="s">
        <v>196</v>
      </c>
    </row>
    <row r="130" spans="1:25" ht="6.65" customHeight="1" x14ac:dyDescent="0.3">
      <c r="A130" s="43">
        <v>130</v>
      </c>
      <c r="B130" s="12" t="s">
        <v>326</v>
      </c>
      <c r="C130" s="10" t="s">
        <v>531</v>
      </c>
      <c r="D130" s="57" t="s">
        <v>494</v>
      </c>
      <c r="E130" s="58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550</v>
      </c>
      <c r="L130" s="34" t="s">
        <v>432</v>
      </c>
      <c r="M130" s="35" t="s">
        <v>436</v>
      </c>
      <c r="N130" s="34" t="s">
        <v>1</v>
      </c>
      <c r="O130" s="11" t="s">
        <v>136</v>
      </c>
      <c r="P130" s="45" t="s">
        <v>453</v>
      </c>
      <c r="Q130" s="46" t="s">
        <v>491</v>
      </c>
      <c r="R130" s="45" t="s">
        <v>454</v>
      </c>
      <c r="S130" s="46" t="s">
        <v>491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48" t="s">
        <v>196</v>
      </c>
      <c r="Y130" s="49" t="s">
        <v>196</v>
      </c>
    </row>
    <row r="131" spans="1:25" ht="6.65" customHeight="1" x14ac:dyDescent="0.3">
      <c r="A131" s="43">
        <v>131</v>
      </c>
      <c r="B131" s="12" t="s">
        <v>327</v>
      </c>
      <c r="C131" s="10" t="s">
        <v>531</v>
      </c>
      <c r="D131" s="57" t="s">
        <v>494</v>
      </c>
      <c r="E131" s="58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550</v>
      </c>
      <c r="L131" s="34" t="s">
        <v>432</v>
      </c>
      <c r="M131" s="35" t="s">
        <v>436</v>
      </c>
      <c r="N131" s="34" t="s">
        <v>1</v>
      </c>
      <c r="O131" s="11" t="s">
        <v>137</v>
      </c>
      <c r="P131" s="45" t="s">
        <v>453</v>
      </c>
      <c r="Q131" s="46" t="s">
        <v>491</v>
      </c>
      <c r="R131" s="45" t="s">
        <v>454</v>
      </c>
      <c r="S131" s="46" t="s">
        <v>491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48" t="s">
        <v>196</v>
      </c>
      <c r="Y131" s="49" t="s">
        <v>196</v>
      </c>
    </row>
    <row r="132" spans="1:25" ht="6.65" customHeight="1" x14ac:dyDescent="0.3">
      <c r="A132" s="43">
        <v>132</v>
      </c>
      <c r="B132" s="12" t="s">
        <v>328</v>
      </c>
      <c r="C132" s="10" t="s">
        <v>531</v>
      </c>
      <c r="D132" s="57" t="s">
        <v>494</v>
      </c>
      <c r="E132" s="58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550</v>
      </c>
      <c r="L132" s="34" t="s">
        <v>432</v>
      </c>
      <c r="M132" s="35" t="s">
        <v>436</v>
      </c>
      <c r="N132" s="34" t="s">
        <v>1</v>
      </c>
      <c r="O132" s="11" t="s">
        <v>138</v>
      </c>
      <c r="P132" s="45" t="s">
        <v>453</v>
      </c>
      <c r="Q132" s="46" t="s">
        <v>491</v>
      </c>
      <c r="R132" s="45" t="s">
        <v>454</v>
      </c>
      <c r="S132" s="46" t="s">
        <v>491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48" t="s">
        <v>196</v>
      </c>
      <c r="Y132" s="49" t="s">
        <v>196</v>
      </c>
    </row>
    <row r="133" spans="1:25" ht="6.65" customHeight="1" x14ac:dyDescent="0.3">
      <c r="A133" s="43">
        <v>133</v>
      </c>
      <c r="B133" s="12" t="s">
        <v>329</v>
      </c>
      <c r="C133" s="10" t="s">
        <v>527</v>
      </c>
      <c r="D133" s="57" t="s">
        <v>494</v>
      </c>
      <c r="E133" s="58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550</v>
      </c>
      <c r="L133" s="34" t="s">
        <v>432</v>
      </c>
      <c r="M133" s="35" t="s">
        <v>437</v>
      </c>
      <c r="N133" s="34" t="s">
        <v>1</v>
      </c>
      <c r="O133" s="11" t="s">
        <v>464</v>
      </c>
      <c r="P133" s="45" t="s">
        <v>453</v>
      </c>
      <c r="Q133" s="46" t="s">
        <v>491</v>
      </c>
      <c r="R133" s="45" t="s">
        <v>454</v>
      </c>
      <c r="S133" s="46" t="s">
        <v>491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48" t="s">
        <v>196</v>
      </c>
      <c r="Y133" s="49" t="s">
        <v>196</v>
      </c>
    </row>
    <row r="134" spans="1:25" ht="6.65" customHeight="1" x14ac:dyDescent="0.3">
      <c r="A134" s="43">
        <v>134</v>
      </c>
      <c r="B134" s="12" t="s">
        <v>330</v>
      </c>
      <c r="C134" s="10" t="s">
        <v>527</v>
      </c>
      <c r="D134" s="57" t="s">
        <v>494</v>
      </c>
      <c r="E134" s="58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550</v>
      </c>
      <c r="L134" s="34" t="s">
        <v>432</v>
      </c>
      <c r="M134" s="35" t="s">
        <v>437</v>
      </c>
      <c r="N134" s="34" t="s">
        <v>1</v>
      </c>
      <c r="O134" s="11" t="s">
        <v>465</v>
      </c>
      <c r="P134" s="45" t="s">
        <v>453</v>
      </c>
      <c r="Q134" s="46" t="s">
        <v>491</v>
      </c>
      <c r="R134" s="45" t="s">
        <v>454</v>
      </c>
      <c r="S134" s="46" t="s">
        <v>491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48" t="s">
        <v>196</v>
      </c>
      <c r="Y134" s="49" t="s">
        <v>196</v>
      </c>
    </row>
    <row r="135" spans="1:25" ht="6.65" customHeight="1" x14ac:dyDescent="0.3">
      <c r="A135" s="43">
        <v>135</v>
      </c>
      <c r="B135" s="12" t="s">
        <v>331</v>
      </c>
      <c r="C135" s="10" t="s">
        <v>527</v>
      </c>
      <c r="D135" s="57" t="s">
        <v>494</v>
      </c>
      <c r="E135" s="58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550</v>
      </c>
      <c r="L135" s="34" t="s">
        <v>432</v>
      </c>
      <c r="M135" s="35" t="s">
        <v>437</v>
      </c>
      <c r="N135" s="34" t="s">
        <v>1</v>
      </c>
      <c r="O135" s="11" t="s">
        <v>466</v>
      </c>
      <c r="P135" s="45" t="s">
        <v>453</v>
      </c>
      <c r="Q135" s="46" t="s">
        <v>491</v>
      </c>
      <c r="R135" s="45" t="s">
        <v>454</v>
      </c>
      <c r="S135" s="46" t="s">
        <v>491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48" t="s">
        <v>196</v>
      </c>
      <c r="Y135" s="49" t="s">
        <v>196</v>
      </c>
    </row>
    <row r="136" spans="1:25" ht="6.65" customHeight="1" x14ac:dyDescent="0.3">
      <c r="A136" s="43">
        <v>136</v>
      </c>
      <c r="B136" s="12" t="s">
        <v>332</v>
      </c>
      <c r="C136" s="10" t="s">
        <v>527</v>
      </c>
      <c r="D136" s="57" t="s">
        <v>494</v>
      </c>
      <c r="E136" s="58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550</v>
      </c>
      <c r="L136" s="34" t="s">
        <v>432</v>
      </c>
      <c r="M136" s="35" t="s">
        <v>437</v>
      </c>
      <c r="N136" s="34" t="s">
        <v>1</v>
      </c>
      <c r="O136" s="11" t="s">
        <v>467</v>
      </c>
      <c r="P136" s="45" t="s">
        <v>453</v>
      </c>
      <c r="Q136" s="46" t="s">
        <v>491</v>
      </c>
      <c r="R136" s="45" t="s">
        <v>454</v>
      </c>
      <c r="S136" s="46" t="s">
        <v>491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48" t="s">
        <v>196</v>
      </c>
      <c r="Y136" s="49" t="s">
        <v>196</v>
      </c>
    </row>
    <row r="137" spans="1:25" ht="6.65" customHeight="1" x14ac:dyDescent="0.3">
      <c r="A137" s="43">
        <v>137</v>
      </c>
      <c r="B137" s="12" t="s">
        <v>333</v>
      </c>
      <c r="C137" s="10" t="s">
        <v>527</v>
      </c>
      <c r="D137" s="57" t="s">
        <v>494</v>
      </c>
      <c r="E137" s="58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550</v>
      </c>
      <c r="L137" s="34" t="s">
        <v>432</v>
      </c>
      <c r="M137" s="35" t="s">
        <v>437</v>
      </c>
      <c r="N137" s="34" t="s">
        <v>1</v>
      </c>
      <c r="O137" s="11" t="s">
        <v>468</v>
      </c>
      <c r="P137" s="45" t="s">
        <v>453</v>
      </c>
      <c r="Q137" s="46" t="s">
        <v>491</v>
      </c>
      <c r="R137" s="45" t="s">
        <v>454</v>
      </c>
      <c r="S137" s="46" t="s">
        <v>491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48" t="s">
        <v>196</v>
      </c>
      <c r="Y137" s="49" t="s">
        <v>196</v>
      </c>
    </row>
    <row r="138" spans="1:25" ht="6.65" customHeight="1" x14ac:dyDescent="0.3">
      <c r="A138" s="43">
        <v>138</v>
      </c>
      <c r="B138" s="12" t="s">
        <v>334</v>
      </c>
      <c r="C138" s="10" t="s">
        <v>527</v>
      </c>
      <c r="D138" s="57" t="s">
        <v>494</v>
      </c>
      <c r="E138" s="58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550</v>
      </c>
      <c r="L138" s="34" t="s">
        <v>432</v>
      </c>
      <c r="M138" s="35" t="s">
        <v>437</v>
      </c>
      <c r="N138" s="34" t="s">
        <v>1</v>
      </c>
      <c r="O138" s="11" t="s">
        <v>139</v>
      </c>
      <c r="P138" s="45" t="s">
        <v>453</v>
      </c>
      <c r="Q138" s="46" t="s">
        <v>491</v>
      </c>
      <c r="R138" s="45" t="s">
        <v>454</v>
      </c>
      <c r="S138" s="46" t="s">
        <v>491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48" t="s">
        <v>196</v>
      </c>
      <c r="Y138" s="49" t="s">
        <v>196</v>
      </c>
    </row>
    <row r="139" spans="1:25" ht="6.65" customHeight="1" x14ac:dyDescent="0.3">
      <c r="A139" s="43">
        <v>139</v>
      </c>
      <c r="B139" s="12" t="s">
        <v>335</v>
      </c>
      <c r="C139" s="10" t="s">
        <v>527</v>
      </c>
      <c r="D139" s="57" t="s">
        <v>494</v>
      </c>
      <c r="E139" s="58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550</v>
      </c>
      <c r="L139" s="34" t="s">
        <v>432</v>
      </c>
      <c r="M139" s="35" t="s">
        <v>437</v>
      </c>
      <c r="N139" s="34" t="s">
        <v>1</v>
      </c>
      <c r="O139" s="11" t="s">
        <v>140</v>
      </c>
      <c r="P139" s="45" t="s">
        <v>453</v>
      </c>
      <c r="Q139" s="46" t="s">
        <v>491</v>
      </c>
      <c r="R139" s="45" t="s">
        <v>454</v>
      </c>
      <c r="S139" s="46" t="s">
        <v>491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48" t="s">
        <v>196</v>
      </c>
      <c r="Y139" s="49" t="s">
        <v>196</v>
      </c>
    </row>
    <row r="140" spans="1:25" ht="6.65" customHeight="1" x14ac:dyDescent="0.3">
      <c r="A140" s="43">
        <v>140</v>
      </c>
      <c r="B140" s="12" t="s">
        <v>336</v>
      </c>
      <c r="C140" s="10" t="s">
        <v>527</v>
      </c>
      <c r="D140" s="57" t="s">
        <v>494</v>
      </c>
      <c r="E140" s="58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550</v>
      </c>
      <c r="L140" s="34" t="s">
        <v>432</v>
      </c>
      <c r="M140" s="35" t="s">
        <v>437</v>
      </c>
      <c r="N140" s="34" t="s">
        <v>1</v>
      </c>
      <c r="O140" s="11" t="s">
        <v>141</v>
      </c>
      <c r="P140" s="45" t="s">
        <v>453</v>
      </c>
      <c r="Q140" s="46" t="s">
        <v>491</v>
      </c>
      <c r="R140" s="45" t="s">
        <v>454</v>
      </c>
      <c r="S140" s="46" t="s">
        <v>491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48" t="s">
        <v>196</v>
      </c>
      <c r="Y140" s="49" t="s">
        <v>196</v>
      </c>
    </row>
    <row r="141" spans="1:25" ht="6.65" customHeight="1" x14ac:dyDescent="0.3">
      <c r="A141" s="43">
        <v>141</v>
      </c>
      <c r="B141" s="12" t="s">
        <v>337</v>
      </c>
      <c r="C141" s="10" t="s">
        <v>527</v>
      </c>
      <c r="D141" s="57" t="s">
        <v>494</v>
      </c>
      <c r="E141" s="58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550</v>
      </c>
      <c r="L141" s="34" t="s">
        <v>432</v>
      </c>
      <c r="M141" s="35" t="s">
        <v>437</v>
      </c>
      <c r="N141" s="34" t="s">
        <v>1</v>
      </c>
      <c r="O141" s="11" t="s">
        <v>142</v>
      </c>
      <c r="P141" s="45" t="s">
        <v>453</v>
      </c>
      <c r="Q141" s="46" t="s">
        <v>491</v>
      </c>
      <c r="R141" s="45" t="s">
        <v>454</v>
      </c>
      <c r="S141" s="46" t="s">
        <v>491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48" t="s">
        <v>196</v>
      </c>
      <c r="Y141" s="49" t="s">
        <v>196</v>
      </c>
    </row>
    <row r="142" spans="1:25" ht="6.65" customHeight="1" x14ac:dyDescent="0.3">
      <c r="A142" s="43">
        <v>142</v>
      </c>
      <c r="B142" s="12" t="s">
        <v>338</v>
      </c>
      <c r="C142" s="10" t="s">
        <v>527</v>
      </c>
      <c r="D142" s="57" t="s">
        <v>494</v>
      </c>
      <c r="E142" s="58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550</v>
      </c>
      <c r="L142" s="34" t="s">
        <v>432</v>
      </c>
      <c r="M142" s="35" t="s">
        <v>437</v>
      </c>
      <c r="N142" s="34" t="s">
        <v>1</v>
      </c>
      <c r="O142" s="11" t="s">
        <v>143</v>
      </c>
      <c r="P142" s="45" t="s">
        <v>453</v>
      </c>
      <c r="Q142" s="46" t="s">
        <v>491</v>
      </c>
      <c r="R142" s="45" t="s">
        <v>454</v>
      </c>
      <c r="S142" s="46" t="s">
        <v>491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48" t="s">
        <v>196</v>
      </c>
      <c r="Y142" s="49" t="s">
        <v>196</v>
      </c>
    </row>
    <row r="143" spans="1:25" ht="6.65" customHeight="1" x14ac:dyDescent="0.3">
      <c r="A143" s="43">
        <v>143</v>
      </c>
      <c r="B143" s="12" t="s">
        <v>339</v>
      </c>
      <c r="C143" s="10" t="s">
        <v>527</v>
      </c>
      <c r="D143" s="57" t="s">
        <v>494</v>
      </c>
      <c r="E143" s="58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550</v>
      </c>
      <c r="L143" s="34" t="s">
        <v>432</v>
      </c>
      <c r="M143" s="35" t="s">
        <v>437</v>
      </c>
      <c r="N143" s="34" t="s">
        <v>1</v>
      </c>
      <c r="O143" s="11" t="s">
        <v>144</v>
      </c>
      <c r="P143" s="45" t="s">
        <v>453</v>
      </c>
      <c r="Q143" s="46" t="s">
        <v>491</v>
      </c>
      <c r="R143" s="45" t="s">
        <v>454</v>
      </c>
      <c r="S143" s="46" t="s">
        <v>491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48" t="s">
        <v>196</v>
      </c>
      <c r="Y143" s="49" t="s">
        <v>196</v>
      </c>
    </row>
    <row r="144" spans="1:25" ht="6.65" customHeight="1" x14ac:dyDescent="0.3">
      <c r="A144" s="43">
        <v>144</v>
      </c>
      <c r="B144" s="12" t="s">
        <v>340</v>
      </c>
      <c r="C144" s="10" t="s">
        <v>527</v>
      </c>
      <c r="D144" s="57" t="s">
        <v>494</v>
      </c>
      <c r="E144" s="58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550</v>
      </c>
      <c r="L144" s="34" t="s">
        <v>432</v>
      </c>
      <c r="M144" s="35" t="s">
        <v>437</v>
      </c>
      <c r="N144" s="34" t="s">
        <v>1</v>
      </c>
      <c r="O144" s="11" t="s">
        <v>145</v>
      </c>
      <c r="P144" s="45" t="s">
        <v>453</v>
      </c>
      <c r="Q144" s="46" t="s">
        <v>491</v>
      </c>
      <c r="R144" s="45" t="s">
        <v>454</v>
      </c>
      <c r="S144" s="46" t="s">
        <v>491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48" t="s">
        <v>196</v>
      </c>
      <c r="Y144" s="49" t="s">
        <v>196</v>
      </c>
    </row>
    <row r="145" spans="1:25" ht="6.65" customHeight="1" x14ac:dyDescent="0.3">
      <c r="A145" s="43">
        <v>145</v>
      </c>
      <c r="B145" s="12" t="s">
        <v>341</v>
      </c>
      <c r="C145" s="10" t="s">
        <v>527</v>
      </c>
      <c r="D145" s="57" t="s">
        <v>494</v>
      </c>
      <c r="E145" s="58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550</v>
      </c>
      <c r="L145" s="34" t="s">
        <v>432</v>
      </c>
      <c r="M145" s="35" t="s">
        <v>437</v>
      </c>
      <c r="N145" s="34" t="s">
        <v>1</v>
      </c>
      <c r="O145" s="11" t="s">
        <v>146</v>
      </c>
      <c r="P145" s="45" t="s">
        <v>453</v>
      </c>
      <c r="Q145" s="46" t="s">
        <v>491</v>
      </c>
      <c r="R145" s="45" t="s">
        <v>454</v>
      </c>
      <c r="S145" s="46" t="s">
        <v>491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48" t="s">
        <v>196</v>
      </c>
      <c r="Y145" s="49" t="s">
        <v>196</v>
      </c>
    </row>
    <row r="146" spans="1:25" ht="6.65" customHeight="1" x14ac:dyDescent="0.3">
      <c r="A146" s="43">
        <v>146</v>
      </c>
      <c r="B146" s="12" t="s">
        <v>342</v>
      </c>
      <c r="C146" s="10" t="s">
        <v>527</v>
      </c>
      <c r="D146" s="57" t="s">
        <v>494</v>
      </c>
      <c r="E146" s="58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550</v>
      </c>
      <c r="L146" s="34" t="s">
        <v>432</v>
      </c>
      <c r="M146" s="35" t="s">
        <v>437</v>
      </c>
      <c r="N146" s="34" t="s">
        <v>1</v>
      </c>
      <c r="O146" s="11" t="s">
        <v>147</v>
      </c>
      <c r="P146" s="45" t="s">
        <v>453</v>
      </c>
      <c r="Q146" s="46" t="s">
        <v>491</v>
      </c>
      <c r="R146" s="45" t="s">
        <v>454</v>
      </c>
      <c r="S146" s="46" t="s">
        <v>491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48" t="s">
        <v>196</v>
      </c>
      <c r="Y146" s="49" t="s">
        <v>196</v>
      </c>
    </row>
    <row r="147" spans="1:25" ht="6.65" customHeight="1" x14ac:dyDescent="0.3">
      <c r="A147" s="43">
        <v>147</v>
      </c>
      <c r="B147" s="12" t="s">
        <v>343</v>
      </c>
      <c r="C147" s="10" t="s">
        <v>527</v>
      </c>
      <c r="D147" s="57" t="s">
        <v>494</v>
      </c>
      <c r="E147" s="58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550</v>
      </c>
      <c r="L147" s="34" t="s">
        <v>432</v>
      </c>
      <c r="M147" s="35" t="s">
        <v>437</v>
      </c>
      <c r="N147" s="34" t="s">
        <v>1</v>
      </c>
      <c r="O147" s="11" t="s">
        <v>148</v>
      </c>
      <c r="P147" s="45" t="s">
        <v>453</v>
      </c>
      <c r="Q147" s="46" t="s">
        <v>491</v>
      </c>
      <c r="R147" s="45" t="s">
        <v>454</v>
      </c>
      <c r="S147" s="46" t="s">
        <v>491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48" t="s">
        <v>196</v>
      </c>
      <c r="Y147" s="49" t="s">
        <v>196</v>
      </c>
    </row>
    <row r="148" spans="1:25" ht="6.65" customHeight="1" x14ac:dyDescent="0.3">
      <c r="A148" s="43">
        <v>148</v>
      </c>
      <c r="B148" s="12" t="s">
        <v>344</v>
      </c>
      <c r="C148" s="10" t="s">
        <v>527</v>
      </c>
      <c r="D148" s="57" t="s">
        <v>494</v>
      </c>
      <c r="E148" s="58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550</v>
      </c>
      <c r="L148" s="34" t="s">
        <v>432</v>
      </c>
      <c r="M148" s="35" t="s">
        <v>437</v>
      </c>
      <c r="N148" s="34" t="s">
        <v>1</v>
      </c>
      <c r="O148" s="11" t="s">
        <v>149</v>
      </c>
      <c r="P148" s="45" t="s">
        <v>453</v>
      </c>
      <c r="Q148" s="46" t="s">
        <v>491</v>
      </c>
      <c r="R148" s="45" t="s">
        <v>454</v>
      </c>
      <c r="S148" s="46" t="s">
        <v>491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48" t="s">
        <v>196</v>
      </c>
      <c r="Y148" s="49" t="s">
        <v>196</v>
      </c>
    </row>
    <row r="149" spans="1:25" ht="6.65" customHeight="1" x14ac:dyDescent="0.3">
      <c r="A149" s="43">
        <v>149</v>
      </c>
      <c r="B149" s="12" t="s">
        <v>345</v>
      </c>
      <c r="C149" s="10" t="s">
        <v>527</v>
      </c>
      <c r="D149" s="57" t="s">
        <v>494</v>
      </c>
      <c r="E149" s="58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550</v>
      </c>
      <c r="L149" s="34" t="s">
        <v>432</v>
      </c>
      <c r="M149" s="35" t="s">
        <v>437</v>
      </c>
      <c r="N149" s="34" t="s">
        <v>1</v>
      </c>
      <c r="O149" s="11" t="s">
        <v>150</v>
      </c>
      <c r="P149" s="45" t="s">
        <v>453</v>
      </c>
      <c r="Q149" s="46" t="s">
        <v>491</v>
      </c>
      <c r="R149" s="45" t="s">
        <v>454</v>
      </c>
      <c r="S149" s="46" t="s">
        <v>491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48" t="s">
        <v>196</v>
      </c>
      <c r="Y149" s="49" t="s">
        <v>196</v>
      </c>
    </row>
    <row r="150" spans="1:25" ht="6.65" customHeight="1" x14ac:dyDescent="0.3">
      <c r="A150" s="43">
        <v>150</v>
      </c>
      <c r="B150" s="12" t="s">
        <v>346</v>
      </c>
      <c r="C150" s="10" t="s">
        <v>527</v>
      </c>
      <c r="D150" s="57" t="s">
        <v>494</v>
      </c>
      <c r="E150" s="58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550</v>
      </c>
      <c r="L150" s="34" t="s">
        <v>432</v>
      </c>
      <c r="M150" s="35" t="s">
        <v>437</v>
      </c>
      <c r="N150" s="34" t="s">
        <v>1</v>
      </c>
      <c r="O150" s="11" t="s">
        <v>151</v>
      </c>
      <c r="P150" s="45" t="s">
        <v>453</v>
      </c>
      <c r="Q150" s="46" t="s">
        <v>491</v>
      </c>
      <c r="R150" s="45" t="s">
        <v>454</v>
      </c>
      <c r="S150" s="46" t="s">
        <v>491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48" t="s">
        <v>196</v>
      </c>
      <c r="Y150" s="49" t="s">
        <v>196</v>
      </c>
    </row>
    <row r="151" spans="1:25" ht="6.65" customHeight="1" x14ac:dyDescent="0.3">
      <c r="A151" s="43">
        <v>151</v>
      </c>
      <c r="B151" s="12" t="s">
        <v>347</v>
      </c>
      <c r="C151" s="10" t="s">
        <v>527</v>
      </c>
      <c r="D151" s="57" t="s">
        <v>494</v>
      </c>
      <c r="E151" s="58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550</v>
      </c>
      <c r="L151" s="34" t="s">
        <v>432</v>
      </c>
      <c r="M151" s="35" t="s">
        <v>437</v>
      </c>
      <c r="N151" s="34" t="s">
        <v>1</v>
      </c>
      <c r="O151" s="11" t="s">
        <v>152</v>
      </c>
      <c r="P151" s="45" t="s">
        <v>453</v>
      </c>
      <c r="Q151" s="46" t="s">
        <v>491</v>
      </c>
      <c r="R151" s="45" t="s">
        <v>454</v>
      </c>
      <c r="S151" s="46" t="s">
        <v>491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48" t="s">
        <v>196</v>
      </c>
      <c r="Y151" s="49" t="s">
        <v>196</v>
      </c>
    </row>
    <row r="152" spans="1:25" ht="6.65" customHeight="1" x14ac:dyDescent="0.3">
      <c r="A152" s="43">
        <v>152</v>
      </c>
      <c r="B152" s="12" t="s">
        <v>348</v>
      </c>
      <c r="C152" s="10" t="s">
        <v>527</v>
      </c>
      <c r="D152" s="57" t="s">
        <v>494</v>
      </c>
      <c r="E152" s="58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550</v>
      </c>
      <c r="L152" s="34" t="s">
        <v>432</v>
      </c>
      <c r="M152" s="35" t="s">
        <v>437</v>
      </c>
      <c r="N152" s="34" t="s">
        <v>1</v>
      </c>
      <c r="O152" s="11" t="s">
        <v>153</v>
      </c>
      <c r="P152" s="45" t="s">
        <v>453</v>
      </c>
      <c r="Q152" s="46" t="s">
        <v>491</v>
      </c>
      <c r="R152" s="45" t="s">
        <v>454</v>
      </c>
      <c r="S152" s="46" t="s">
        <v>491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48" t="s">
        <v>196</v>
      </c>
      <c r="Y152" s="49" t="s">
        <v>196</v>
      </c>
    </row>
    <row r="153" spans="1:25" ht="6.65" customHeight="1" x14ac:dyDescent="0.3">
      <c r="A153" s="43">
        <v>153</v>
      </c>
      <c r="B153" s="12" t="s">
        <v>349</v>
      </c>
      <c r="C153" s="10" t="s">
        <v>527</v>
      </c>
      <c r="D153" s="57" t="s">
        <v>494</v>
      </c>
      <c r="E153" s="58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550</v>
      </c>
      <c r="L153" s="34" t="s">
        <v>432</v>
      </c>
      <c r="M153" s="35" t="s">
        <v>437</v>
      </c>
      <c r="N153" s="34" t="s">
        <v>1</v>
      </c>
      <c r="O153" s="11" t="s">
        <v>154</v>
      </c>
      <c r="P153" s="45" t="s">
        <v>453</v>
      </c>
      <c r="Q153" s="46" t="s">
        <v>491</v>
      </c>
      <c r="R153" s="45" t="s">
        <v>454</v>
      </c>
      <c r="S153" s="46" t="s">
        <v>491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48" t="s">
        <v>196</v>
      </c>
      <c r="Y153" s="49" t="s">
        <v>196</v>
      </c>
    </row>
    <row r="154" spans="1:25" ht="6.65" customHeight="1" x14ac:dyDescent="0.3">
      <c r="A154" s="43">
        <v>154</v>
      </c>
      <c r="B154" s="12" t="s">
        <v>350</v>
      </c>
      <c r="C154" s="10" t="s">
        <v>533</v>
      </c>
      <c r="D154" s="57" t="s">
        <v>494</v>
      </c>
      <c r="E154" s="58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550</v>
      </c>
      <c r="L154" s="34" t="s">
        <v>432</v>
      </c>
      <c r="M154" s="35" t="s">
        <v>438</v>
      </c>
      <c r="N154" s="34" t="s">
        <v>1</v>
      </c>
      <c r="O154" s="11" t="s">
        <v>469</v>
      </c>
      <c r="P154" s="45" t="s">
        <v>453</v>
      </c>
      <c r="Q154" s="46" t="s">
        <v>491</v>
      </c>
      <c r="R154" s="45" t="s">
        <v>454</v>
      </c>
      <c r="S154" s="46" t="s">
        <v>491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48" t="s">
        <v>196</v>
      </c>
      <c r="Y154" s="49" t="s">
        <v>196</v>
      </c>
    </row>
    <row r="155" spans="1:25" ht="6.65" customHeight="1" x14ac:dyDescent="0.3">
      <c r="A155" s="43">
        <v>155</v>
      </c>
      <c r="B155" s="12" t="s">
        <v>351</v>
      </c>
      <c r="C155" s="10" t="s">
        <v>533</v>
      </c>
      <c r="D155" s="57" t="s">
        <v>494</v>
      </c>
      <c r="E155" s="58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550</v>
      </c>
      <c r="L155" s="34" t="s">
        <v>432</v>
      </c>
      <c r="M155" s="35" t="s">
        <v>438</v>
      </c>
      <c r="N155" s="34" t="s">
        <v>1</v>
      </c>
      <c r="O155" s="11" t="s">
        <v>155</v>
      </c>
      <c r="P155" s="45" t="s">
        <v>453</v>
      </c>
      <c r="Q155" s="46" t="s">
        <v>491</v>
      </c>
      <c r="R155" s="45" t="s">
        <v>454</v>
      </c>
      <c r="S155" s="46" t="s">
        <v>491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48" t="s">
        <v>196</v>
      </c>
      <c r="Y155" s="49" t="s">
        <v>196</v>
      </c>
    </row>
    <row r="156" spans="1:25" ht="6.65" customHeight="1" x14ac:dyDescent="0.3">
      <c r="A156" s="43">
        <v>156</v>
      </c>
      <c r="B156" s="12" t="s">
        <v>352</v>
      </c>
      <c r="C156" s="10" t="s">
        <v>533</v>
      </c>
      <c r="D156" s="57" t="s">
        <v>494</v>
      </c>
      <c r="E156" s="58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550</v>
      </c>
      <c r="L156" s="34" t="s">
        <v>432</v>
      </c>
      <c r="M156" s="35" t="s">
        <v>438</v>
      </c>
      <c r="N156" s="34" t="s">
        <v>1</v>
      </c>
      <c r="O156" s="11" t="s">
        <v>156</v>
      </c>
      <c r="P156" s="45" t="s">
        <v>453</v>
      </c>
      <c r="Q156" s="46" t="s">
        <v>491</v>
      </c>
      <c r="R156" s="45" t="s">
        <v>454</v>
      </c>
      <c r="S156" s="46" t="s">
        <v>491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48" t="s">
        <v>196</v>
      </c>
      <c r="Y156" s="49" t="s">
        <v>196</v>
      </c>
    </row>
    <row r="157" spans="1:25" ht="6.65" customHeight="1" x14ac:dyDescent="0.3">
      <c r="A157" s="43">
        <v>157</v>
      </c>
      <c r="B157" s="12" t="s">
        <v>353</v>
      </c>
      <c r="C157" s="10" t="s">
        <v>533</v>
      </c>
      <c r="D157" s="57" t="s">
        <v>494</v>
      </c>
      <c r="E157" s="58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550</v>
      </c>
      <c r="L157" s="34" t="s">
        <v>432</v>
      </c>
      <c r="M157" s="35" t="s">
        <v>438</v>
      </c>
      <c r="N157" s="34" t="s">
        <v>1</v>
      </c>
      <c r="O157" s="11" t="s">
        <v>157</v>
      </c>
      <c r="P157" s="45" t="s">
        <v>453</v>
      </c>
      <c r="Q157" s="46" t="s">
        <v>491</v>
      </c>
      <c r="R157" s="45" t="s">
        <v>454</v>
      </c>
      <c r="S157" s="46" t="s">
        <v>491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48" t="s">
        <v>196</v>
      </c>
      <c r="Y157" s="49" t="s">
        <v>196</v>
      </c>
    </row>
    <row r="158" spans="1:25" ht="6.65" customHeight="1" x14ac:dyDescent="0.3">
      <c r="A158" s="43">
        <v>158</v>
      </c>
      <c r="B158" s="12" t="s">
        <v>354</v>
      </c>
      <c r="C158" s="10" t="s">
        <v>533</v>
      </c>
      <c r="D158" s="57" t="s">
        <v>494</v>
      </c>
      <c r="E158" s="58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550</v>
      </c>
      <c r="L158" s="34" t="s">
        <v>432</v>
      </c>
      <c r="M158" s="35" t="s">
        <v>438</v>
      </c>
      <c r="N158" s="34" t="s">
        <v>1</v>
      </c>
      <c r="O158" s="11" t="s">
        <v>158</v>
      </c>
      <c r="P158" s="45" t="s">
        <v>453</v>
      </c>
      <c r="Q158" s="46" t="s">
        <v>491</v>
      </c>
      <c r="R158" s="45" t="s">
        <v>454</v>
      </c>
      <c r="S158" s="46" t="s">
        <v>491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48" t="s">
        <v>196</v>
      </c>
      <c r="Y158" s="49" t="s">
        <v>196</v>
      </c>
    </row>
    <row r="159" spans="1:25" ht="6.65" customHeight="1" x14ac:dyDescent="0.3">
      <c r="A159" s="43">
        <v>159</v>
      </c>
      <c r="B159" s="7" t="s">
        <v>355</v>
      </c>
      <c r="C159" s="10" t="s">
        <v>525</v>
      </c>
      <c r="D159" s="57" t="s">
        <v>494</v>
      </c>
      <c r="E159" s="58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550</v>
      </c>
      <c r="L159" s="34" t="s">
        <v>432</v>
      </c>
      <c r="M159" s="35" t="s">
        <v>439</v>
      </c>
      <c r="N159" s="34" t="s">
        <v>1</v>
      </c>
      <c r="O159" s="11" t="s">
        <v>159</v>
      </c>
      <c r="P159" s="45" t="s">
        <v>453</v>
      </c>
      <c r="Q159" s="46" t="s">
        <v>491</v>
      </c>
      <c r="R159" s="45" t="s">
        <v>454</v>
      </c>
      <c r="S159" s="46" t="s">
        <v>491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48" t="s">
        <v>196</v>
      </c>
      <c r="Y159" s="49" t="s">
        <v>196</v>
      </c>
    </row>
    <row r="160" spans="1:25" ht="6.65" customHeight="1" x14ac:dyDescent="0.3">
      <c r="A160" s="43">
        <v>160</v>
      </c>
      <c r="B160" s="12" t="s">
        <v>356</v>
      </c>
      <c r="C160" s="10" t="s">
        <v>525</v>
      </c>
      <c r="D160" s="57" t="s">
        <v>494</v>
      </c>
      <c r="E160" s="58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550</v>
      </c>
      <c r="L160" s="34" t="s">
        <v>432</v>
      </c>
      <c r="M160" s="35" t="s">
        <v>439</v>
      </c>
      <c r="N160" s="34" t="s">
        <v>1</v>
      </c>
      <c r="O160" s="11" t="s">
        <v>160</v>
      </c>
      <c r="P160" s="45" t="s">
        <v>453</v>
      </c>
      <c r="Q160" s="46" t="s">
        <v>491</v>
      </c>
      <c r="R160" s="45" t="s">
        <v>454</v>
      </c>
      <c r="S160" s="46" t="s">
        <v>491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48" t="s">
        <v>196</v>
      </c>
      <c r="Y160" s="49" t="s">
        <v>196</v>
      </c>
    </row>
    <row r="161" spans="1:25" ht="6.65" customHeight="1" x14ac:dyDescent="0.3">
      <c r="A161" s="43">
        <v>161</v>
      </c>
      <c r="B161" s="12" t="s">
        <v>357</v>
      </c>
      <c r="C161" s="10" t="s">
        <v>525</v>
      </c>
      <c r="D161" s="57" t="s">
        <v>494</v>
      </c>
      <c r="E161" s="58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550</v>
      </c>
      <c r="L161" s="34" t="s">
        <v>432</v>
      </c>
      <c r="M161" s="35" t="s">
        <v>439</v>
      </c>
      <c r="N161" s="34" t="s">
        <v>1</v>
      </c>
      <c r="O161" s="11" t="s">
        <v>161</v>
      </c>
      <c r="P161" s="45" t="s">
        <v>453</v>
      </c>
      <c r="Q161" s="46" t="s">
        <v>491</v>
      </c>
      <c r="R161" s="45" t="s">
        <v>454</v>
      </c>
      <c r="S161" s="46" t="s">
        <v>491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48" t="s">
        <v>196</v>
      </c>
      <c r="Y161" s="49" t="s">
        <v>196</v>
      </c>
    </row>
    <row r="162" spans="1:25" ht="6.65" customHeight="1" x14ac:dyDescent="0.3">
      <c r="A162" s="43">
        <v>162</v>
      </c>
      <c r="B162" s="12" t="s">
        <v>358</v>
      </c>
      <c r="C162" s="10" t="s">
        <v>525</v>
      </c>
      <c r="D162" s="57" t="s">
        <v>494</v>
      </c>
      <c r="E162" s="58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550</v>
      </c>
      <c r="L162" s="34" t="s">
        <v>432</v>
      </c>
      <c r="M162" s="35" t="s">
        <v>439</v>
      </c>
      <c r="N162" s="34" t="s">
        <v>1</v>
      </c>
      <c r="O162" s="11" t="s">
        <v>162</v>
      </c>
      <c r="P162" s="45" t="s">
        <v>453</v>
      </c>
      <c r="Q162" s="46" t="s">
        <v>491</v>
      </c>
      <c r="R162" s="45" t="s">
        <v>454</v>
      </c>
      <c r="S162" s="46" t="s">
        <v>491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48" t="s">
        <v>196</v>
      </c>
      <c r="Y162" s="49" t="s">
        <v>196</v>
      </c>
    </row>
    <row r="163" spans="1:25" ht="6.65" customHeight="1" x14ac:dyDescent="0.3">
      <c r="A163" s="43">
        <v>163</v>
      </c>
      <c r="B163" s="12" t="s">
        <v>359</v>
      </c>
      <c r="C163" s="10" t="s">
        <v>525</v>
      </c>
      <c r="D163" s="57" t="s">
        <v>494</v>
      </c>
      <c r="E163" s="58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550</v>
      </c>
      <c r="L163" s="34" t="s">
        <v>432</v>
      </c>
      <c r="M163" s="35" t="s">
        <v>439</v>
      </c>
      <c r="N163" s="34" t="s">
        <v>1</v>
      </c>
      <c r="O163" s="11" t="s">
        <v>163</v>
      </c>
      <c r="P163" s="45" t="s">
        <v>453</v>
      </c>
      <c r="Q163" s="46" t="s">
        <v>491</v>
      </c>
      <c r="R163" s="45" t="s">
        <v>454</v>
      </c>
      <c r="S163" s="46" t="s">
        <v>491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48" t="s">
        <v>196</v>
      </c>
      <c r="Y163" s="49" t="s">
        <v>196</v>
      </c>
    </row>
    <row r="164" spans="1:25" ht="6.65" customHeight="1" x14ac:dyDescent="0.3">
      <c r="A164" s="43">
        <v>164</v>
      </c>
      <c r="B164" s="12" t="s">
        <v>360</v>
      </c>
      <c r="C164" s="10" t="s">
        <v>525</v>
      </c>
      <c r="D164" s="57" t="s">
        <v>494</v>
      </c>
      <c r="E164" s="58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550</v>
      </c>
      <c r="L164" s="34" t="s">
        <v>432</v>
      </c>
      <c r="M164" s="35" t="s">
        <v>439</v>
      </c>
      <c r="N164" s="34" t="s">
        <v>1</v>
      </c>
      <c r="O164" s="11" t="s">
        <v>164</v>
      </c>
      <c r="P164" s="45" t="s">
        <v>453</v>
      </c>
      <c r="Q164" s="46" t="s">
        <v>491</v>
      </c>
      <c r="R164" s="45" t="s">
        <v>454</v>
      </c>
      <c r="S164" s="46" t="s">
        <v>491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48" t="s">
        <v>196</v>
      </c>
      <c r="Y164" s="49" t="s">
        <v>196</v>
      </c>
    </row>
    <row r="165" spans="1:25" ht="6.65" customHeight="1" x14ac:dyDescent="0.3">
      <c r="A165" s="43">
        <v>165</v>
      </c>
      <c r="B165" s="12" t="s">
        <v>361</v>
      </c>
      <c r="C165" s="10" t="s">
        <v>525</v>
      </c>
      <c r="D165" s="57" t="s">
        <v>494</v>
      </c>
      <c r="E165" s="58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550</v>
      </c>
      <c r="L165" s="34" t="s">
        <v>432</v>
      </c>
      <c r="M165" s="35" t="s">
        <v>439</v>
      </c>
      <c r="N165" s="34" t="s">
        <v>1</v>
      </c>
      <c r="O165" s="11" t="s">
        <v>165</v>
      </c>
      <c r="P165" s="45" t="s">
        <v>453</v>
      </c>
      <c r="Q165" s="46" t="s">
        <v>491</v>
      </c>
      <c r="R165" s="45" t="s">
        <v>454</v>
      </c>
      <c r="S165" s="46" t="s">
        <v>491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48" t="s">
        <v>196</v>
      </c>
      <c r="Y165" s="49" t="s">
        <v>196</v>
      </c>
    </row>
    <row r="166" spans="1:25" ht="6.65" customHeight="1" x14ac:dyDescent="0.3">
      <c r="A166" s="43">
        <v>166</v>
      </c>
      <c r="B166" s="12" t="s">
        <v>362</v>
      </c>
      <c r="C166" s="10" t="s">
        <v>525</v>
      </c>
      <c r="D166" s="57" t="s">
        <v>494</v>
      </c>
      <c r="E166" s="58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550</v>
      </c>
      <c r="L166" s="34" t="s">
        <v>432</v>
      </c>
      <c r="M166" s="35" t="s">
        <v>439</v>
      </c>
      <c r="N166" s="34" t="s">
        <v>1</v>
      </c>
      <c r="O166" s="11" t="s">
        <v>166</v>
      </c>
      <c r="P166" s="45" t="s">
        <v>453</v>
      </c>
      <c r="Q166" s="46" t="s">
        <v>491</v>
      </c>
      <c r="R166" s="45" t="s">
        <v>454</v>
      </c>
      <c r="S166" s="46" t="s">
        <v>491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48" t="s">
        <v>196</v>
      </c>
      <c r="Y166" s="49" t="s">
        <v>196</v>
      </c>
    </row>
    <row r="167" spans="1:25" ht="6.65" customHeight="1" x14ac:dyDescent="0.3">
      <c r="A167" s="43">
        <v>167</v>
      </c>
      <c r="B167" s="12" t="s">
        <v>363</v>
      </c>
      <c r="C167" s="10" t="s">
        <v>525</v>
      </c>
      <c r="D167" s="57" t="s">
        <v>494</v>
      </c>
      <c r="E167" s="58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550</v>
      </c>
      <c r="L167" s="34" t="s">
        <v>432</v>
      </c>
      <c r="M167" s="35" t="s">
        <v>439</v>
      </c>
      <c r="N167" s="34" t="s">
        <v>1</v>
      </c>
      <c r="O167" s="11" t="s">
        <v>167</v>
      </c>
      <c r="P167" s="45" t="s">
        <v>453</v>
      </c>
      <c r="Q167" s="46" t="s">
        <v>491</v>
      </c>
      <c r="R167" s="45" t="s">
        <v>454</v>
      </c>
      <c r="S167" s="46" t="s">
        <v>491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48" t="s">
        <v>196</v>
      </c>
      <c r="Y167" s="49" t="s">
        <v>196</v>
      </c>
    </row>
    <row r="168" spans="1:25" ht="6.65" customHeight="1" x14ac:dyDescent="0.3">
      <c r="A168" s="43">
        <v>168</v>
      </c>
      <c r="B168" s="12" t="s">
        <v>364</v>
      </c>
      <c r="C168" s="10" t="s">
        <v>525</v>
      </c>
      <c r="D168" s="57" t="s">
        <v>494</v>
      </c>
      <c r="E168" s="58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550</v>
      </c>
      <c r="L168" s="34" t="s">
        <v>432</v>
      </c>
      <c r="M168" s="35" t="s">
        <v>439</v>
      </c>
      <c r="N168" s="34" t="s">
        <v>1</v>
      </c>
      <c r="O168" s="11" t="s">
        <v>168</v>
      </c>
      <c r="P168" s="45" t="s">
        <v>453</v>
      </c>
      <c r="Q168" s="46" t="s">
        <v>491</v>
      </c>
      <c r="R168" s="45" t="s">
        <v>454</v>
      </c>
      <c r="S168" s="46" t="s">
        <v>491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48" t="s">
        <v>196</v>
      </c>
      <c r="Y168" s="49" t="s">
        <v>196</v>
      </c>
    </row>
    <row r="169" spans="1:25" ht="6.65" customHeight="1" x14ac:dyDescent="0.3">
      <c r="A169" s="43">
        <v>169</v>
      </c>
      <c r="B169" s="12" t="s">
        <v>365</v>
      </c>
      <c r="C169" s="10" t="s">
        <v>525</v>
      </c>
      <c r="D169" s="57" t="s">
        <v>494</v>
      </c>
      <c r="E169" s="58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550</v>
      </c>
      <c r="L169" s="34" t="s">
        <v>432</v>
      </c>
      <c r="M169" s="35" t="s">
        <v>439</v>
      </c>
      <c r="N169" s="34" t="s">
        <v>1</v>
      </c>
      <c r="O169" s="11" t="s">
        <v>169</v>
      </c>
      <c r="P169" s="45" t="s">
        <v>453</v>
      </c>
      <c r="Q169" s="46" t="s">
        <v>491</v>
      </c>
      <c r="R169" s="45" t="s">
        <v>454</v>
      </c>
      <c r="S169" s="46" t="s">
        <v>491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48" t="s">
        <v>196</v>
      </c>
      <c r="Y169" s="49" t="s">
        <v>196</v>
      </c>
    </row>
    <row r="170" spans="1:25" ht="6.65" customHeight="1" x14ac:dyDescent="0.3">
      <c r="A170" s="43">
        <v>170</v>
      </c>
      <c r="B170" s="12" t="s">
        <v>366</v>
      </c>
      <c r="C170" s="10" t="s">
        <v>525</v>
      </c>
      <c r="D170" s="57" t="s">
        <v>494</v>
      </c>
      <c r="E170" s="58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550</v>
      </c>
      <c r="L170" s="34" t="s">
        <v>432</v>
      </c>
      <c r="M170" s="35" t="s">
        <v>439</v>
      </c>
      <c r="N170" s="36" t="s">
        <v>1</v>
      </c>
      <c r="O170" s="11" t="s">
        <v>170</v>
      </c>
      <c r="P170" s="45" t="s">
        <v>453</v>
      </c>
      <c r="Q170" s="46" t="s">
        <v>491</v>
      </c>
      <c r="R170" s="45" t="s">
        <v>454</v>
      </c>
      <c r="S170" s="46" t="s">
        <v>491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48" t="s">
        <v>196</v>
      </c>
      <c r="Y170" s="49" t="s">
        <v>196</v>
      </c>
    </row>
    <row r="171" spans="1:25" ht="6.65" customHeight="1" x14ac:dyDescent="0.3">
      <c r="A171" s="43">
        <v>171</v>
      </c>
      <c r="B171" s="12" t="s">
        <v>367</v>
      </c>
      <c r="C171" s="10" t="s">
        <v>525</v>
      </c>
      <c r="D171" s="57" t="s">
        <v>494</v>
      </c>
      <c r="E171" s="58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550</v>
      </c>
      <c r="L171" s="34" t="s">
        <v>432</v>
      </c>
      <c r="M171" s="35" t="s">
        <v>439</v>
      </c>
      <c r="N171" s="36" t="s">
        <v>1</v>
      </c>
      <c r="O171" s="11" t="s">
        <v>171</v>
      </c>
      <c r="P171" s="45" t="s">
        <v>453</v>
      </c>
      <c r="Q171" s="46" t="s">
        <v>491</v>
      </c>
      <c r="R171" s="45" t="s">
        <v>454</v>
      </c>
      <c r="S171" s="46" t="s">
        <v>491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48" t="s">
        <v>196</v>
      </c>
      <c r="Y171" s="49" t="s">
        <v>196</v>
      </c>
    </row>
    <row r="172" spans="1:25" ht="6.65" customHeight="1" x14ac:dyDescent="0.3">
      <c r="A172" s="43">
        <v>172</v>
      </c>
      <c r="B172" s="12" t="s">
        <v>368</v>
      </c>
      <c r="C172" s="10" t="s">
        <v>532</v>
      </c>
      <c r="D172" s="57" t="s">
        <v>494</v>
      </c>
      <c r="E172" s="58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550</v>
      </c>
      <c r="L172" s="34" t="s">
        <v>432</v>
      </c>
      <c r="M172" s="35" t="s">
        <v>172</v>
      </c>
      <c r="N172" s="36" t="s">
        <v>1</v>
      </c>
      <c r="O172" s="11" t="s">
        <v>172</v>
      </c>
      <c r="P172" s="45" t="s">
        <v>453</v>
      </c>
      <c r="Q172" s="46" t="s">
        <v>491</v>
      </c>
      <c r="R172" s="45" t="s">
        <v>454</v>
      </c>
      <c r="S172" s="46" t="s">
        <v>491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48" t="s">
        <v>196</v>
      </c>
      <c r="Y172" s="49" t="s">
        <v>196</v>
      </c>
    </row>
    <row r="173" spans="1:25" ht="6.65" customHeight="1" x14ac:dyDescent="0.3">
      <c r="A173" s="43">
        <v>173</v>
      </c>
      <c r="B173" s="12" t="s">
        <v>369</v>
      </c>
      <c r="C173" s="10" t="s">
        <v>532</v>
      </c>
      <c r="D173" s="57" t="s">
        <v>494</v>
      </c>
      <c r="E173" s="58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550</v>
      </c>
      <c r="L173" s="34" t="s">
        <v>432</v>
      </c>
      <c r="M173" s="35" t="s">
        <v>172</v>
      </c>
      <c r="N173" s="36" t="s">
        <v>1</v>
      </c>
      <c r="O173" s="11" t="s">
        <v>173</v>
      </c>
      <c r="P173" s="45" t="s">
        <v>453</v>
      </c>
      <c r="Q173" s="46" t="s">
        <v>491</v>
      </c>
      <c r="R173" s="45" t="s">
        <v>454</v>
      </c>
      <c r="S173" s="46" t="s">
        <v>491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48" t="s">
        <v>196</v>
      </c>
      <c r="Y173" s="49" t="s">
        <v>196</v>
      </c>
    </row>
    <row r="174" spans="1:25" ht="6.65" customHeight="1" x14ac:dyDescent="0.3">
      <c r="A174" s="43">
        <v>174</v>
      </c>
      <c r="B174" s="12" t="s">
        <v>370</v>
      </c>
      <c r="C174" s="10" t="s">
        <v>532</v>
      </c>
      <c r="D174" s="57" t="s">
        <v>494</v>
      </c>
      <c r="E174" s="58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550</v>
      </c>
      <c r="L174" s="34" t="s">
        <v>432</v>
      </c>
      <c r="M174" s="35" t="s">
        <v>172</v>
      </c>
      <c r="N174" s="36" t="s">
        <v>1</v>
      </c>
      <c r="O174" s="11" t="s">
        <v>174</v>
      </c>
      <c r="P174" s="45" t="s">
        <v>453</v>
      </c>
      <c r="Q174" s="46" t="s">
        <v>491</v>
      </c>
      <c r="R174" s="45" t="s">
        <v>454</v>
      </c>
      <c r="S174" s="46" t="s">
        <v>491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48" t="s">
        <v>196</v>
      </c>
      <c r="Y174" s="49" t="s">
        <v>196</v>
      </c>
    </row>
    <row r="175" spans="1:25" ht="6.65" customHeight="1" x14ac:dyDescent="0.3">
      <c r="A175" s="43">
        <v>175</v>
      </c>
      <c r="B175" s="12" t="s">
        <v>371</v>
      </c>
      <c r="C175" s="10" t="s">
        <v>532</v>
      </c>
      <c r="D175" s="57" t="s">
        <v>494</v>
      </c>
      <c r="E175" s="58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550</v>
      </c>
      <c r="L175" s="34" t="s">
        <v>432</v>
      </c>
      <c r="M175" s="35" t="s">
        <v>172</v>
      </c>
      <c r="N175" s="36" t="s">
        <v>1</v>
      </c>
      <c r="O175" s="11" t="s">
        <v>175</v>
      </c>
      <c r="P175" s="45" t="s">
        <v>453</v>
      </c>
      <c r="Q175" s="46" t="s">
        <v>491</v>
      </c>
      <c r="R175" s="45" t="s">
        <v>454</v>
      </c>
      <c r="S175" s="46" t="s">
        <v>491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48" t="s">
        <v>196</v>
      </c>
      <c r="Y175" s="49" t="s">
        <v>196</v>
      </c>
    </row>
    <row r="176" spans="1:25" ht="6.65" customHeight="1" x14ac:dyDescent="0.3">
      <c r="A176" s="43">
        <v>176</v>
      </c>
      <c r="B176" s="12" t="s">
        <v>372</v>
      </c>
      <c r="C176" s="10" t="s">
        <v>532</v>
      </c>
      <c r="D176" s="57" t="s">
        <v>494</v>
      </c>
      <c r="E176" s="58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550</v>
      </c>
      <c r="L176" s="34" t="s">
        <v>432</v>
      </c>
      <c r="M176" s="35" t="s">
        <v>172</v>
      </c>
      <c r="N176" s="36" t="s">
        <v>1</v>
      </c>
      <c r="O176" s="11" t="s">
        <v>176</v>
      </c>
      <c r="P176" s="45" t="s">
        <v>453</v>
      </c>
      <c r="Q176" s="46" t="s">
        <v>491</v>
      </c>
      <c r="R176" s="45" t="s">
        <v>454</v>
      </c>
      <c r="S176" s="46" t="s">
        <v>491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48" t="s">
        <v>196</v>
      </c>
      <c r="Y176" s="49" t="s">
        <v>196</v>
      </c>
    </row>
    <row r="177" spans="1:25" ht="6.65" customHeight="1" x14ac:dyDescent="0.3">
      <c r="A177" s="43">
        <v>177</v>
      </c>
      <c r="B177" s="12" t="s">
        <v>373</v>
      </c>
      <c r="C177" s="10" t="s">
        <v>532</v>
      </c>
      <c r="D177" s="57" t="s">
        <v>494</v>
      </c>
      <c r="E177" s="58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550</v>
      </c>
      <c r="L177" s="34" t="s">
        <v>432</v>
      </c>
      <c r="M177" s="35" t="s">
        <v>172</v>
      </c>
      <c r="N177" s="36" t="s">
        <v>1</v>
      </c>
      <c r="O177" s="11" t="s">
        <v>177</v>
      </c>
      <c r="P177" s="45" t="s">
        <v>453</v>
      </c>
      <c r="Q177" s="46" t="s">
        <v>491</v>
      </c>
      <c r="R177" s="45" t="s">
        <v>454</v>
      </c>
      <c r="S177" s="46" t="s">
        <v>491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48" t="s">
        <v>196</v>
      </c>
      <c r="Y177" s="49" t="s">
        <v>196</v>
      </c>
    </row>
    <row r="178" spans="1:25" ht="6.65" customHeight="1" x14ac:dyDescent="0.3">
      <c r="A178" s="43">
        <v>178</v>
      </c>
      <c r="B178" s="16" t="s">
        <v>374</v>
      </c>
      <c r="C178" s="10" t="s">
        <v>532</v>
      </c>
      <c r="D178" s="57" t="s">
        <v>494</v>
      </c>
      <c r="E178" s="58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550</v>
      </c>
      <c r="L178" s="34" t="s">
        <v>432</v>
      </c>
      <c r="M178" s="35" t="s">
        <v>172</v>
      </c>
      <c r="N178" s="36" t="s">
        <v>1</v>
      </c>
      <c r="O178" s="17" t="s">
        <v>178</v>
      </c>
      <c r="P178" s="45" t="s">
        <v>453</v>
      </c>
      <c r="Q178" s="46" t="s">
        <v>491</v>
      </c>
      <c r="R178" s="45" t="s">
        <v>454</v>
      </c>
      <c r="S178" s="46" t="s">
        <v>491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48" t="s">
        <v>196</v>
      </c>
      <c r="Y178" s="49" t="s">
        <v>196</v>
      </c>
    </row>
  </sheetData>
  <phoneticPr fontId="12" type="noConversion"/>
  <conditionalFormatting sqref="B1:B1048576">
    <cfRule type="duplicateValues" dxfId="7" priority="3"/>
  </conditionalFormatting>
  <conditionalFormatting sqref="L1">
    <cfRule type="cellIs" dxfId="6" priority="2" operator="equal">
      <formula>"null"</formula>
    </cfRule>
  </conditionalFormatting>
  <conditionalFormatting sqref="P2:S4">
    <cfRule type="cellIs" dxfId="5" priority="1" operator="equal">
      <formula>"null"</formula>
    </cfRule>
  </conditionalFormatting>
  <conditionalFormatting sqref="T1 V1 X1 F1 H1 J1 N1 P1 R1">
    <cfRule type="cellIs" dxfId="4" priority="5" operator="equal">
      <formula>"null"</formula>
    </cfRule>
  </conditionalFormatting>
  <conditionalFormatting sqref="T1:Y178">
    <cfRule type="cellIs" dxfId="3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2026-07-29T21:45:44Z</dcterms:modified>
</cp:coreProperties>
</file>