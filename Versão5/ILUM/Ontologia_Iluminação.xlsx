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ILUM\"/>
    </mc:Choice>
  </mc:AlternateContent>
  <xr:revisionPtr revIDLastSave="0" documentId="13_ncr:1_{B2BE782C-F0AF-40EB-A009-B3EC98685FDF}" xr6:coauthVersionLast="47" xr6:coauthVersionMax="47" xr10:uidLastSave="{00000000-0000-0000-0000-000000000000}"/>
  <bookViews>
    <workbookView xWindow="-120" yWindow="-120" windowWidth="24240" windowHeight="13290" tabRatio="520" activeTab="3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7" l="1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U3" i="17" l="1"/>
  <c r="T3" i="17"/>
  <c r="O3" i="17"/>
  <c r="N3" i="17"/>
  <c r="M3" i="17"/>
  <c r="L3" i="17"/>
  <c r="U2" i="17"/>
  <c r="T2" i="17"/>
  <c r="O2" i="17"/>
  <c r="N2" i="17"/>
  <c r="M2" i="17"/>
  <c r="L2" i="17"/>
  <c r="AA3" i="17"/>
  <c r="AA2" i="17"/>
  <c r="O11" i="17" l="1"/>
  <c r="N11" i="17"/>
  <c r="M11" i="17"/>
  <c r="L11" i="17"/>
  <c r="O19" i="17"/>
  <c r="N19" i="17"/>
  <c r="M19" i="17"/>
  <c r="L19" i="17"/>
  <c r="O27" i="17" l="1"/>
  <c r="N27" i="17"/>
  <c r="M27" i="17"/>
  <c r="L27" i="17"/>
  <c r="O4" i="17"/>
  <c r="O5" i="17"/>
  <c r="O6" i="17"/>
  <c r="O7" i="17"/>
  <c r="O8" i="17"/>
  <c r="O9" i="17"/>
  <c r="O10" i="17"/>
  <c r="O12" i="17"/>
  <c r="O13" i="17"/>
  <c r="O14" i="17"/>
  <c r="O15" i="17"/>
  <c r="O16" i="17"/>
  <c r="O17" i="17"/>
  <c r="O18" i="17"/>
  <c r="O20" i="17"/>
  <c r="O21" i="17"/>
  <c r="O22" i="17"/>
  <c r="O23" i="17"/>
  <c r="O24" i="17"/>
  <c r="O25" i="17"/>
  <c r="O26" i="17"/>
  <c r="O28" i="17"/>
  <c r="O29" i="17"/>
  <c r="O30" i="17"/>
  <c r="N30" i="17" l="1"/>
  <c r="M30" i="17"/>
  <c r="L30" i="17"/>
  <c r="N29" i="17"/>
  <c r="M29" i="17"/>
  <c r="L29" i="17"/>
  <c r="N28" i="17"/>
  <c r="M28" i="17"/>
  <c r="L28" i="17"/>
  <c r="N13" i="17" l="1"/>
  <c r="M13" i="17"/>
  <c r="L13" i="17"/>
  <c r="L24" i="17"/>
  <c r="M24" i="17"/>
  <c r="N24" i="17"/>
  <c r="L7" i="17"/>
  <c r="M7" i="17"/>
  <c r="N7" i="17"/>
  <c r="L4" i="17"/>
  <c r="M4" i="17"/>
  <c r="N4" i="17"/>
  <c r="L8" i="17"/>
  <c r="M8" i="17"/>
  <c r="N8" i="17"/>
  <c r="L5" i="17"/>
  <c r="M5" i="17"/>
  <c r="N5" i="17"/>
  <c r="L9" i="17"/>
  <c r="M9" i="17"/>
  <c r="N9" i="17"/>
  <c r="L10" i="17"/>
  <c r="M10" i="17"/>
  <c r="N10" i="17"/>
  <c r="L16" i="17"/>
  <c r="M16" i="17"/>
  <c r="N16" i="17"/>
  <c r="L15" i="17"/>
  <c r="M15" i="17"/>
  <c r="N15" i="17"/>
  <c r="L20" i="17"/>
  <c r="M20" i="17"/>
  <c r="N20" i="17"/>
  <c r="L21" i="17"/>
  <c r="M21" i="17"/>
  <c r="N21" i="17"/>
  <c r="L14" i="17"/>
  <c r="M14" i="17"/>
  <c r="N14" i="17"/>
  <c r="L18" i="17"/>
  <c r="M18" i="17"/>
  <c r="N18" i="17"/>
  <c r="L22" i="17"/>
  <c r="M22" i="17"/>
  <c r="N22" i="17"/>
  <c r="L23" i="17"/>
  <c r="M23" i="17"/>
  <c r="N23" i="17"/>
  <c r="L25" i="17"/>
  <c r="M25" i="17"/>
  <c r="N25" i="17"/>
  <c r="L26" i="17"/>
  <c r="M26" i="17"/>
  <c r="N26" i="17"/>
  <c r="L12" i="17"/>
  <c r="M12" i="17"/>
  <c r="N12" i="17"/>
  <c r="L17" i="17"/>
  <c r="M17" i="17"/>
  <c r="N17" i="17"/>
  <c r="N6" i="17"/>
  <c r="M6" i="17"/>
  <c r="L6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<sst xmlns="http://schemas.openxmlformats.org/spreadsheetml/2006/main" count="1024" uniqueCount="274">
  <si>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</si>
  <si>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</si>
  <si>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</si>
  <si>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</si>
  <si>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</si>
  <si>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</si>
  <si>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</si>
  <si>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</si>
  <si>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</si>
  <si>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</si>
  <si>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</si>
  <si>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</si>
  <si>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</si>
  <si>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</si>
  <si>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</si>
  <si>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</si>
  <si>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</si>
  <si>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</si>
  <si>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</si>
  <si>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</si>
  <si>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</si>
  <si>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</si>
  <si>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</si>
  <si>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</si>
  <si>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</si>
  <si>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</si>
  <si>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</si>
  <si>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</si>
  <si>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</si>
  <si>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</si>
  <si>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</si>
  <si>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</si>
  <si>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</si>
  <si>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</si>
  <si>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</si>
  <si>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</si>
  <si>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</si>
  <si>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</si>
  <si>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</si>
  <si>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</si>
  <si>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</si>
  <si>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</si>
  <si>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</si>
  <si>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</si>
  <si>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Luminotécnica</t>
  </si>
  <si>
    <t>Luminária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</si>
  <si>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</si>
  <si>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</si>
  <si>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</si>
  <si>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</si>
  <si>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</si>
  <si>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</si>
  <si>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</si>
  <si>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</si>
  <si>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</si>
  <si>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</si>
  <si>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</si>
  <si>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</si>
  <si>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</si>
  <si>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</si>
  <si>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</si>
  <si>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</si>
  <si>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</si>
  <si>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</si>
  <si>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</si>
  <si>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</si>
  <si>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</si>
  <si>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</si>
  <si>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</si>
  <si>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</si>
  <si>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</si>
  <si>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</si>
  <si>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</si>
  <si>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</si>
  <si>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</si>
  <si>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</si>
  <si>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</si>
  <si>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</si>
  <si>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</si>
  <si>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</si>
  <si>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</si>
  <si>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</si>
  <si>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</si>
  <si>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</si>
  <si>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</si>
  <si>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</si>
  <si>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</si>
  <si>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</si>
  <si>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</si>
  <si>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</si>
  <si>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</si>
  <si>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</si>
  <si>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</si>
  <si>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</si>
  <si>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</si>
  <si>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Objetos de Iluminação</t>
  </si>
  <si>
    <t>Luz.Arandela</t>
  </si>
  <si>
    <t>Luz.Baliza</t>
  </si>
  <si>
    <t>Luz.Aletas</t>
  </si>
  <si>
    <t>Luz.Difusa</t>
  </si>
  <si>
    <t xml:space="preserve">Luz.Antiofuscamento </t>
  </si>
  <si>
    <t>Luz.Embutida.Fixa</t>
  </si>
  <si>
    <t>Luz.Embutida.Orientável</t>
  </si>
  <si>
    <t>Luz.Hermética</t>
  </si>
  <si>
    <t>Luz.Grande.Altura</t>
  </si>
  <si>
    <t>Luz.Linear</t>
  </si>
  <si>
    <t>Luz.Painel</t>
  </si>
  <si>
    <t>Luz.Gôndola</t>
  </si>
  <si>
    <t>Luz.Pendente</t>
  </si>
  <si>
    <t>Luz.Plafon</t>
  </si>
  <si>
    <t>Luz.Spot</t>
  </si>
  <si>
    <t>Luz.Externa</t>
  </si>
  <si>
    <t>Luz.Feixe.Amplo</t>
  </si>
  <si>
    <t>Luz.Trilho</t>
  </si>
  <si>
    <t>Luz.LEDTubular</t>
  </si>
  <si>
    <t>Luz.LEDFita</t>
  </si>
  <si>
    <t>Luminária de Aletas</t>
  </si>
  <si>
    <t xml:space="preserve">Luminária de Antiofuscamento </t>
  </si>
  <si>
    <t>Luminária Arandela</t>
  </si>
  <si>
    <t>Luminária Balizadora</t>
  </si>
  <si>
    <t>Luminária de Luz Difusa</t>
  </si>
  <si>
    <t>Luminária Embutida Fixa</t>
  </si>
  <si>
    <t>Luminária Embutida Orientável</t>
  </si>
  <si>
    <t>Luminária de Paredes de Feixe Amplo tipo Wall Washer</t>
  </si>
  <si>
    <t>Luminária de Gôndolas</t>
  </si>
  <si>
    <t>Luminária de Grandes Alturas tipo High Bay</t>
  </si>
  <si>
    <t>Luminária Hermética</t>
  </si>
  <si>
    <t>Luminária de LEDFita</t>
  </si>
  <si>
    <t>Luminária de LEDTubular</t>
  </si>
  <si>
    <t>Luminária de Linear</t>
  </si>
  <si>
    <t>Luminária de Painel</t>
  </si>
  <si>
    <t>Luminária Pendente</t>
  </si>
  <si>
    <t>Luminária de Plafon</t>
  </si>
  <si>
    <t>Luminária de Automação com Sensor</t>
  </si>
  <si>
    <t>Luminária de Spot</t>
  </si>
  <si>
    <t>Luminária de Trilho</t>
  </si>
  <si>
    <t>Luminaria Empotrada Fija</t>
  </si>
  <si>
    <t>Luminaria Empotrada Ajustable</t>
  </si>
  <si>
    <t>Luminaria de LED Tubular</t>
  </si>
  <si>
    <t>Luminaria de LED Cinta</t>
  </si>
  <si>
    <t>Luminaria Lineal</t>
  </si>
  <si>
    <t>Luminaria Panel</t>
  </si>
  <si>
    <t>Luminaria colgante</t>
  </si>
  <si>
    <t>Luminaria Plafón</t>
  </si>
  <si>
    <t>Luminaria de automatización con Sensor</t>
  </si>
  <si>
    <t>Luminaria de Foco</t>
  </si>
  <si>
    <t>Luminaire de Pista</t>
  </si>
  <si>
    <t>Luminaria Hermética</t>
  </si>
  <si>
    <t>Luminaria de Pared</t>
  </si>
  <si>
    <t>Luminaria de Baliza</t>
  </si>
  <si>
    <t>Luminaria de Aletas</t>
  </si>
  <si>
    <t>Luminaria Antirreflejo</t>
  </si>
  <si>
    <t>Luminaria de Luz Difusa</t>
  </si>
  <si>
    <t>Luminaria de Pared de Haz Ancho tipo Wall Washer</t>
  </si>
  <si>
    <t>Luminaria de Góndola</t>
  </si>
  <si>
    <t>Luminaria de Altura tipo High Bay</t>
  </si>
  <si>
    <t>0</t>
  </si>
  <si>
    <t>Anotações 
de ajuda
Classe 1</t>
  </si>
  <si>
    <t>Interop</t>
  </si>
  <si>
    <t>Fin Luminaire</t>
  </si>
  <si>
    <t>Anti-glare luminaire</t>
  </si>
  <si>
    <t>Wall Luminaire</t>
  </si>
  <si>
    <t>Beacon Luminaire</t>
  </si>
  <si>
    <t>Diffused Light Luminaire</t>
  </si>
  <si>
    <t>Fixed recessed luminaire</t>
  </si>
  <si>
    <t>Adjustable recessed luminaire</t>
  </si>
  <si>
    <t>Gondola Luminaire</t>
  </si>
  <si>
    <t>High Bay Type Luminaire</t>
  </si>
  <si>
    <t>Hermetic Luminaire</t>
  </si>
  <si>
    <t>LED Lamp Tape</t>
  </si>
  <si>
    <t>Tubular LED Luminaire</t>
  </si>
  <si>
    <t>Linear Luminaire</t>
  </si>
  <si>
    <t>Panel Luminaire</t>
  </si>
  <si>
    <t>Ceiling Light Fixture</t>
  </si>
  <si>
    <t>Automation luminaire with sensor</t>
  </si>
  <si>
    <t>Spotlight Luminaire</t>
  </si>
  <si>
    <t>Track Luminaire</t>
  </si>
  <si>
    <t>Wide Beam Wall Washer Luminaire</t>
  </si>
  <si>
    <t>Pendant Luminaire</t>
  </si>
  <si>
    <t>CTI_Projeto_01</t>
  </si>
  <si>
    <t>"Lumicenter Lighting"</t>
  </si>
  <si>
    <t>"Indivíduo Luminária arandela, ideal para criar efeitos de luz decorativos em ambientes residenciais, hotéis, bares e restaurantes."</t>
  </si>
  <si>
    <t>"Indivíduo Luminária Balizadora LED de embutir com IP65. Ideal para criar efeitos de luz e demarcar caminhos, escadas, corredores, muros e fachadas."</t>
  </si>
  <si>
    <t>"A Escada de acesso"</t>
  </si>
  <si>
    <t>"A Sala de recepção"</t>
  </si>
  <si>
    <t>[ 3E.28.02 ]</t>
  </si>
  <si>
    <t>Iluminação</t>
  </si>
  <si>
    <t>Análise</t>
  </si>
  <si>
    <t>Ponto.Iluminado</t>
  </si>
  <si>
    <t>Linha.Iluminada</t>
  </si>
  <si>
    <t>Area.Iluminada</t>
  </si>
  <si>
    <t>Ponto de iluminação analizado</t>
  </si>
  <si>
    <t>Área de iluminação analizada</t>
  </si>
  <si>
    <t>Punto de iluminación analizado</t>
  </si>
  <si>
    <t>Faja de iluminación analizada</t>
  </si>
  <si>
    <t>Faixa de iluminação analizada</t>
  </si>
  <si>
    <t>Área de iluminación analizada</t>
  </si>
  <si>
    <t>Analitical Point of Light</t>
  </si>
  <si>
    <t>Analitical Track of Light</t>
  </si>
  <si>
    <t>Analitical Area of Light</t>
  </si>
  <si>
    <t>código.abnt</t>
  </si>
  <si>
    <t>"[ 3E.28.02 ]"</t>
  </si>
  <si>
    <t>"Nome da empresa vendedora do produto."</t>
  </si>
  <si>
    <t>Objetos_de_Luminotécnica</t>
  </si>
  <si>
    <t>Formalizar elementos do projeto BIM. Objetos específicos de Luminotécnica</t>
  </si>
  <si>
    <t>Formalizar elementos de proyecto BIM. Objetos específicos de Iluminación</t>
  </si>
  <si>
    <t>classe.ifc</t>
  </si>
  <si>
    <t>categoria.revit</t>
  </si>
  <si>
    <t>Sistema Eléctrico de Iluminación</t>
  </si>
  <si>
    <t>Sistema Elétrico de Iluminação</t>
  </si>
  <si>
    <t>[ OST_SwitchSystem ]</t>
  </si>
  <si>
    <t>[ IfcDistributionSystemLIGHTING ]</t>
  </si>
  <si>
    <t>Acessórios.de.Iluminação</t>
  </si>
  <si>
    <t>Sis_Luz_01</t>
  </si>
  <si>
    <t>Sis_Luz_02</t>
  </si>
  <si>
    <t>é.pertencente.a</t>
  </si>
  <si>
    <t>"Indivíduo de Iluminação que representa a luz de uma Escada do projeto"</t>
  </si>
  <si>
    <t>"Indivíduo de Iluminação que representa a luz de uma Sala do projeto"</t>
  </si>
  <si>
    <t>"Indivíduo de Sistema de Iluminação usado no Projeto"</t>
  </si>
  <si>
    <t>modelo</t>
  </si>
  <si>
    <t>"AR93-S"</t>
  </si>
  <si>
    <t>"BZ48-E"</t>
  </si>
  <si>
    <t>Lumi_Escada</t>
  </si>
  <si>
    <t>Lumi_Sala_A</t>
  </si>
  <si>
    <t>Lum_333324</t>
  </si>
  <si>
    <t>Lum_333325</t>
  </si>
  <si>
    <t>Lum_333326</t>
  </si>
  <si>
    <t>Lum_333327</t>
  </si>
  <si>
    <t>Lum_111233</t>
  </si>
  <si>
    <t>Lum_111234</t>
  </si>
  <si>
    <t>Lum_111235</t>
  </si>
  <si>
    <t>Lum_111236</t>
  </si>
  <si>
    <t>"Circuito de iluminação 1"</t>
  </si>
  <si>
    <t>"Circuito de iluminação 2"</t>
  </si>
  <si>
    <t>[ IfcDiscreteAccessory ]</t>
  </si>
  <si>
    <t>Elemento.Iluminação</t>
  </si>
  <si>
    <t>Analítico.de.Luz</t>
  </si>
  <si>
    <t>Acessórios de Luminitécnica</t>
  </si>
  <si>
    <t>Accesorio de Luminitécnica</t>
  </si>
  <si>
    <t>Instalações</t>
  </si>
  <si>
    <t>Luminárias</t>
  </si>
  <si>
    <t>[ OST_LightingFixtures ]</t>
  </si>
  <si>
    <t>Acessório.Luz</t>
  </si>
  <si>
    <t>Luz.TuboFluorescente</t>
  </si>
  <si>
    <t>Luminária de Tubular Fluorescente</t>
  </si>
  <si>
    <t>Luminaria Tubular Fluorescente</t>
  </si>
  <si>
    <t>Tubular Fluorescent Light</t>
  </si>
  <si>
    <t>Luminaire Accessory Fixture</t>
  </si>
  <si>
    <t>Luz.Sensorizada</t>
  </si>
  <si>
    <t>Luz.Externa.Urbana</t>
  </si>
  <si>
    <t>Luminaria de Exteriores Urbanos como postes de luz en calles y avenidas</t>
  </si>
  <si>
    <t>Luminária de Exteriores Urbanos como postes de luz em ruas e avenidas</t>
  </si>
  <si>
    <t>Outdoor Urban Luminaire</t>
  </si>
  <si>
    <t>Outdoor Garden Luminaire</t>
  </si>
  <si>
    <t>Luminária de Exteriores Domésticos como pátios e jardins</t>
  </si>
  <si>
    <t>Luminaria de Exteriores Domésticos como patios y jardines</t>
  </si>
  <si>
    <t>Circuito.Luz.Geral</t>
  </si>
  <si>
    <t>Circuito.Luz.Emergência</t>
  </si>
  <si>
    <t>Sistemas.Elétricos</t>
  </si>
  <si>
    <t>Sistemas.de.Iluminação</t>
  </si>
  <si>
    <t>Eletrotécnica</t>
  </si>
  <si>
    <t>[ 3E.26 ]</t>
  </si>
  <si>
    <t>quem.fabricou</t>
  </si>
  <si>
    <t>quem.forneceu</t>
  </si>
  <si>
    <t>Conceitos</t>
  </si>
  <si>
    <t>LuminoTécnicos</t>
  </si>
  <si>
    <t>[ IfcLamp : IfcLightFixture ]</t>
  </si>
  <si>
    <t>[ IfcLamp : IfcLampLED ]</t>
  </si>
  <si>
    <t>[ IfcLamp : IfcLightFixturePOINTSOURCE ]</t>
  </si>
  <si>
    <t>"Informações contidas no Projeto de Luminotécnica"</t>
  </si>
  <si>
    <t>"[ IfcDistributionSystemLIGHTING ]"</t>
  </si>
  <si>
    <t>"[ IfcLamp ]"</t>
  </si>
  <si>
    <t>"[ OST_SwitchSystem ]"</t>
  </si>
  <si>
    <t>"[ OST_LightingDevices 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</si>
</sst>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4" fillId="19" borderId="4" xfId="0" applyFont="1" applyFill="1" applyBorder="1" applyAlignment="1">
      <alignment vertical="center"/>
    </xf>
    <xf numFmtId="0" fontId="2" fillId="17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2" fillId="23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8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1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6" sqref="B6"/>
    </sheetView>
  </sheetViews>
  <sheetFormatPr defaultColWidth="9.140625" defaultRowHeight="9.75" customHeight="1" x14ac:dyDescent="0.25"/>
  <cols>
    <col min="1" max="1" width="8.7109375" customWidth="1"/>
    <col min="2" max="2" width="33.7109375" customWidth="1"/>
    <col min="3" max="3" width="3.42578125" style="42" bestFit="1" customWidth="1"/>
  </cols>
  <sheetData>
    <row r="1" spans="1:3" ht="20.25" customHeight="1" x14ac:dyDescent="0.25">
      <c r="A1" s="12" t="s">
        <v>46</v>
      </c>
      <c r="B1" s="12" t="s">
        <v>47</v>
      </c>
      <c r="C1" s="40" t="s">
        <v>91</v>
      </c>
    </row>
    <row r="2" spans="1:3" ht="9" customHeight="1" x14ac:dyDescent="0.25">
      <c r="A2" s="13" t="s">
        <v>48</v>
      </c>
      <c r="B2" s="13" t="s">
        <v>49</v>
      </c>
      <c r="C2" s="41" t="s">
        <v>92</v>
      </c>
    </row>
    <row r="3" spans="1:3" ht="9" customHeight="1" x14ac:dyDescent="0.25">
      <c r="A3" s="13" t="s">
        <v>50</v>
      </c>
      <c r="B3" s="13" t="s">
        <v>203</v>
      </c>
      <c r="C3" s="41" t="s">
        <v>92</v>
      </c>
    </row>
    <row r="4" spans="1:3" ht="9" customHeight="1" x14ac:dyDescent="0.25">
      <c r="A4" s="14" t="s">
        <v>51</v>
      </c>
      <c r="B4" s="14" t="s">
        <v>32</v>
      </c>
      <c r="C4" s="41" t="s">
        <v>92</v>
      </c>
    </row>
    <row r="5" spans="1:3" ht="9" customHeight="1" x14ac:dyDescent="0.25">
      <c r="A5" s="14" t="s">
        <v>52</v>
      </c>
      <c r="B5" s="14" t="str">
        <f>_xlfn.CONCAT(B4,"Prop")</f>
        <v>BIMProp</v>
      </c>
      <c r="C5" s="41" t="s">
        <v>92</v>
      </c>
    </row>
    <row r="6" spans="1:3" ht="9" customHeight="1" x14ac:dyDescent="0.25">
      <c r="A6" s="14" t="s">
        <v>53</v>
      </c>
      <c r="B6" s="14" t="str">
        <f>_xlfn.CONCAT(B4,"Data")</f>
        <v>BIMData</v>
      </c>
      <c r="C6" s="41" t="s">
        <v>92</v>
      </c>
    </row>
    <row r="7" spans="1:3" ht="9" customHeight="1" x14ac:dyDescent="0.25">
      <c r="A7" s="14" t="s">
        <v>54</v>
      </c>
      <c r="B7" s="15" t="s">
        <v>55</v>
      </c>
      <c r="C7" s="41" t="s">
        <v>92</v>
      </c>
    </row>
    <row r="8" spans="1:3" s="39" customFormat="1" ht="9" customHeight="1" x14ac:dyDescent="0.25">
      <c r="A8" s="38" t="s">
        <v>56</v>
      </c>
      <c r="B8" s="38" t="s">
        <v>89</v>
      </c>
      <c r="C8" s="41" t="s">
        <v>92</v>
      </c>
    </row>
    <row r="9" spans="1:3" ht="9" customHeight="1" x14ac:dyDescent="0.25">
      <c r="A9" s="14" t="s">
        <v>57</v>
      </c>
      <c r="B9" s="14" t="s">
        <v>58</v>
      </c>
      <c r="C9" s="41" t="s">
        <v>92</v>
      </c>
    </row>
    <row r="10" spans="1:3" ht="9" customHeight="1" x14ac:dyDescent="0.25">
      <c r="A10" s="14" t="s">
        <v>59</v>
      </c>
      <c r="B10" s="14" t="s">
        <v>60</v>
      </c>
      <c r="C10" s="41" t="s">
        <v>92</v>
      </c>
    </row>
    <row r="11" spans="1:3" ht="9" customHeight="1" x14ac:dyDescent="0.25">
      <c r="A11" s="14" t="s">
        <v>61</v>
      </c>
      <c r="B11" s="14" t="s">
        <v>60</v>
      </c>
      <c r="C11" s="41" t="s">
        <v>92</v>
      </c>
    </row>
    <row r="12" spans="1:3" ht="9" customHeight="1" x14ac:dyDescent="0.25">
      <c r="A12" s="14" t="s">
        <v>62</v>
      </c>
      <c r="B12" s="14" t="s">
        <v>60</v>
      </c>
      <c r="C12" s="41" t="s">
        <v>92</v>
      </c>
    </row>
    <row r="13" spans="1:3" ht="9" customHeight="1" x14ac:dyDescent="0.25">
      <c r="A13" s="14" t="s">
        <v>63</v>
      </c>
      <c r="B13" s="14" t="s">
        <v>60</v>
      </c>
      <c r="C13" s="41" t="s">
        <v>92</v>
      </c>
    </row>
    <row r="14" spans="1:3" ht="9" customHeight="1" x14ac:dyDescent="0.25">
      <c r="A14" s="14" t="s">
        <v>64</v>
      </c>
      <c r="B14" s="14" t="s">
        <v>60</v>
      </c>
      <c r="C14" s="41" t="s">
        <v>92</v>
      </c>
    </row>
    <row r="15" spans="1:3" ht="9" customHeight="1" x14ac:dyDescent="0.25">
      <c r="A15" s="14" t="s">
        <v>65</v>
      </c>
      <c r="B15" s="14" t="s">
        <v>60</v>
      </c>
      <c r="C15" s="41" t="s">
        <v>92</v>
      </c>
    </row>
    <row r="16" spans="1:3" ht="9" customHeight="1" x14ac:dyDescent="0.25">
      <c r="A16" s="14" t="s">
        <v>66</v>
      </c>
      <c r="B16" s="14" t="s">
        <v>60</v>
      </c>
      <c r="C16" s="41" t="s">
        <v>92</v>
      </c>
    </row>
    <row r="17" spans="1:3" ht="9" customHeight="1" x14ac:dyDescent="0.25">
      <c r="A17" s="14" t="s">
        <v>67</v>
      </c>
      <c r="B17" s="14" t="s">
        <v>95</v>
      </c>
      <c r="C17" s="41" t="s">
        <v>92</v>
      </c>
    </row>
    <row r="18" spans="1:3" ht="9" customHeight="1" x14ac:dyDescent="0.25">
      <c r="A18" s="14" t="s">
        <v>68</v>
      </c>
      <c r="B18" s="16">
        <f ca="1">NOW()</f>
        <v>46244.669257175927</v>
      </c>
      <c r="C18" s="41" t="s">
        <v>92</v>
      </c>
    </row>
    <row r="19" spans="1:3" ht="9" customHeight="1" x14ac:dyDescent="0.25">
      <c r="A19" s="14" t="s">
        <v>69</v>
      </c>
      <c r="B19" s="16" t="s">
        <v>70</v>
      </c>
      <c r="C19" s="41" t="s">
        <v>92</v>
      </c>
    </row>
    <row r="20" spans="1:3" ht="9" customHeight="1" x14ac:dyDescent="0.25">
      <c r="A20" s="14" t="s">
        <v>71</v>
      </c>
      <c r="B20" s="14" t="s">
        <v>60</v>
      </c>
      <c r="C20" s="41" t="s">
        <v>92</v>
      </c>
    </row>
    <row r="21" spans="1:3" ht="9" customHeight="1" x14ac:dyDescent="0.25">
      <c r="A21" s="14" t="s">
        <v>72</v>
      </c>
      <c r="B21" s="14" t="s">
        <v>60</v>
      </c>
      <c r="C21" s="41" t="s">
        <v>92</v>
      </c>
    </row>
    <row r="22" spans="1:3" ht="9" customHeight="1" x14ac:dyDescent="0.25">
      <c r="A22" s="14" t="s">
        <v>73</v>
      </c>
      <c r="B22" s="17" t="s">
        <v>204</v>
      </c>
      <c r="C22" s="41" t="s">
        <v>92</v>
      </c>
    </row>
    <row r="23" spans="1:3" ht="9" customHeight="1" x14ac:dyDescent="0.25">
      <c r="A23" s="14" t="s">
        <v>74</v>
      </c>
      <c r="B23" s="17" t="s">
        <v>205</v>
      </c>
      <c r="C23" s="41" t="s">
        <v>93</v>
      </c>
    </row>
    <row r="24" spans="1:3" s="39" customFormat="1" ht="9" customHeight="1" x14ac:dyDescent="0.25">
      <c r="A24" s="14" t="s">
        <v>90</v>
      </c>
      <c r="B24" s="17" t="str">
        <f>_xlfn.TRANSLATE(B22,"pt","en")</f>
        <v>Formalize elements of the BIM project. Specific objects of Lighting</v>
      </c>
      <c r="C24" s="41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30"/>
  <sheetViews>
    <sheetView zoomScale="220" zoomScaleNormal="220" workbookViewId="0">
      <pane ySplit="1" topLeftCell="A14" activePane="bottomLeft" state="frozen"/>
      <selection activeCell="A179" sqref="A179:XFD190"/>
      <selection pane="bottomLeft" activeCell="C14" sqref="C14"/>
    </sheetView>
  </sheetViews>
  <sheetFormatPr defaultColWidth="9.140625" defaultRowHeight="6.6" customHeight="1" x14ac:dyDescent="0.25"/>
  <cols>
    <col min="1" max="1" width="2.42578125" bestFit="1" customWidth="1"/>
    <col min="2" max="2" width="5.7109375" style="59" bestFit="1" customWidth="1"/>
    <col min="3" max="3" width="8.5703125" style="59" bestFit="1" customWidth="1"/>
    <col min="4" max="4" width="11.28515625" style="59" bestFit="1" customWidth="1"/>
    <col min="5" max="5" width="14.140625" style="59" bestFit="1" customWidth="1"/>
    <col min="6" max="6" width="13.42578125" style="64" bestFit="1" customWidth="1"/>
    <col min="7" max="11" width="8" style="59" bestFit="1" customWidth="1"/>
    <col min="12" max="12" width="8.5703125" style="59" bestFit="1" customWidth="1"/>
    <col min="13" max="13" width="11.28515625" style="59" bestFit="1" customWidth="1"/>
    <col min="14" max="14" width="14.140625" style="59" bestFit="1" customWidth="1"/>
    <col min="15" max="15" width="13.42578125" style="59" bestFit="1" customWidth="1"/>
    <col min="16" max="16" width="64.5703125" style="59" bestFit="1" customWidth="1"/>
    <col min="17" max="17" width="40.85546875" style="59" bestFit="1" customWidth="1"/>
    <col min="18" max="18" width="3.7109375" style="59" bestFit="1" customWidth="1"/>
    <col min="19" max="19" width="8.140625" style="59" bestFit="1" customWidth="1"/>
    <col min="20" max="20" width="10.42578125" style="59" bestFit="1" customWidth="1"/>
    <col min="21" max="21" width="12.7109375" style="59" bestFit="1" customWidth="1"/>
    <col min="22" max="22" width="6.7109375" style="59" bestFit="1" customWidth="1"/>
    <col min="23" max="23" width="7.140625" style="59" bestFit="1" customWidth="1"/>
    <col min="24" max="24" width="13.85546875" style="59" bestFit="1" customWidth="1"/>
    <col min="25" max="25" width="23.85546875" style="65" customWidth="1"/>
    <col min="26" max="26" width="7.28515625" style="59" bestFit="1" customWidth="1"/>
    <col min="27" max="27" width="67.7109375" style="59" bestFit="1" customWidth="1"/>
    <col min="28" max="16384" width="9.140625" style="59"/>
  </cols>
  <sheetData>
    <row r="1" spans="1:27" ht="55.5" customHeight="1" x14ac:dyDescent="0.25">
      <c r="A1" s="44" t="s">
        <v>156</v>
      </c>
      <c r="B1" s="45" t="s">
        <v>42</v>
      </c>
      <c r="C1" s="45" t="s">
        <v>40</v>
      </c>
      <c r="D1" s="45" t="s">
        <v>41</v>
      </c>
      <c r="E1" s="45" t="s">
        <v>39</v>
      </c>
      <c r="F1" s="45" t="s">
        <v>36</v>
      </c>
      <c r="G1" s="46" t="s">
        <v>0</v>
      </c>
      <c r="H1" s="46" t="s">
        <v>1</v>
      </c>
      <c r="I1" s="46" t="s">
        <v>2</v>
      </c>
      <c r="J1" s="46" t="s">
        <v>3</v>
      </c>
      <c r="K1" s="46" t="s">
        <v>4</v>
      </c>
      <c r="L1" s="36" t="s">
        <v>157</v>
      </c>
      <c r="M1" s="36" t="s">
        <v>5</v>
      </c>
      <c r="N1" s="36" t="s">
        <v>6</v>
      </c>
      <c r="O1" s="36" t="s">
        <v>7</v>
      </c>
      <c r="P1" s="36" t="s">
        <v>37</v>
      </c>
      <c r="Q1" s="36" t="s">
        <v>43</v>
      </c>
      <c r="R1" s="36" t="s">
        <v>158</v>
      </c>
      <c r="S1" s="36" t="s">
        <v>33</v>
      </c>
      <c r="T1" s="36" t="s">
        <v>38</v>
      </c>
      <c r="U1" s="47" t="s">
        <v>35</v>
      </c>
      <c r="V1" s="36" t="s">
        <v>34</v>
      </c>
      <c r="W1" s="60" t="s">
        <v>8</v>
      </c>
      <c r="X1" s="36" t="s">
        <v>85</v>
      </c>
      <c r="Y1" s="36" t="s">
        <v>86</v>
      </c>
      <c r="Z1" s="36" t="s">
        <v>87</v>
      </c>
      <c r="AA1" s="37" t="s">
        <v>88</v>
      </c>
    </row>
    <row r="2" spans="1:27" ht="6.6" customHeight="1" x14ac:dyDescent="0.25">
      <c r="A2" s="56">
        <v>2</v>
      </c>
      <c r="B2" s="1" t="s">
        <v>264</v>
      </c>
      <c r="C2" s="33" t="s">
        <v>265</v>
      </c>
      <c r="D2" s="43" t="s">
        <v>258</v>
      </c>
      <c r="E2" s="43" t="s">
        <v>259</v>
      </c>
      <c r="F2" s="43" t="s">
        <v>256</v>
      </c>
      <c r="G2" s="57" t="s">
        <v>9</v>
      </c>
      <c r="H2" s="57" t="s">
        <v>9</v>
      </c>
      <c r="I2" s="57" t="s">
        <v>9</v>
      </c>
      <c r="J2" s="57" t="s">
        <v>9</v>
      </c>
      <c r="K2" s="57" t="s">
        <v>9</v>
      </c>
      <c r="L2" s="34" t="str">
        <f t="shared" ref="L2:L30" si="0">CONCATENATE("", C2)</f>
        <v>LuminoTécnicos</v>
      </c>
      <c r="M2" s="34" t="str">
        <f t="shared" ref="M2:M30" si="1">CONCATENATE("", D2)</f>
        <v>Sistemas.Elétricos</v>
      </c>
      <c r="N2" s="34" t="str">
        <f t="shared" ref="N2:N30" si="2">(SUBSTITUTE(SUBSTITUTE(CONCATENATE("",E2),"."," ")," De "," de "))</f>
        <v>Sistemas de Iluminação</v>
      </c>
      <c r="O2" s="30" t="str">
        <f t="shared" ref="O2:O3" si="3">IF(ISNUMBER(FIND("Ifc",F2)),CONCATENATE("Classe IFC:   ",F2),CONCATENATE("",F2))</f>
        <v>Circuito.Luz.Geral</v>
      </c>
      <c r="P2" s="53" t="s">
        <v>209</v>
      </c>
      <c r="Q2" s="53" t="s">
        <v>208</v>
      </c>
      <c r="R2" s="30" t="s">
        <v>9</v>
      </c>
      <c r="S2" s="30" t="s">
        <v>260</v>
      </c>
      <c r="T2" s="30" t="str">
        <f t="shared" ref="T2:T3" si="4">SUBSTITUTE(D2, "_", " ")</f>
        <v>Sistemas.Elétricos</v>
      </c>
      <c r="U2" s="30" t="str">
        <f t="shared" ref="U2:U3" si="5">SUBSTITUTE(E2, "_", " ")</f>
        <v>Sistemas.de.Iluminação</v>
      </c>
      <c r="V2" s="30" t="s">
        <v>239</v>
      </c>
      <c r="W2" s="58" t="str">
        <f t="shared" ref="W2:W30" si="6">CONCATENATE("Key-ILUM-",A2)</f>
        <v>Key-ILUM-2</v>
      </c>
      <c r="X2" s="61" t="s">
        <v>210</v>
      </c>
      <c r="Y2" s="61" t="s">
        <v>211</v>
      </c>
      <c r="Z2" s="30" t="s">
        <v>261</v>
      </c>
      <c r="AA2" s="30" t="str">
        <f t="shared" ref="AA2:AA3" si="7">_xlfn.TRANSLATE(P2,"pt","en")</f>
        <v>Electrical Lighting System</v>
      </c>
    </row>
    <row r="3" spans="1:27" ht="6.6" customHeight="1" x14ac:dyDescent="0.25">
      <c r="A3" s="56">
        <v>3</v>
      </c>
      <c r="B3" s="1" t="s">
        <v>264</v>
      </c>
      <c r="C3" s="33" t="s">
        <v>265</v>
      </c>
      <c r="D3" s="43" t="s">
        <v>258</v>
      </c>
      <c r="E3" s="43" t="s">
        <v>259</v>
      </c>
      <c r="F3" s="43" t="s">
        <v>257</v>
      </c>
      <c r="G3" s="57" t="s">
        <v>9</v>
      </c>
      <c r="H3" s="57" t="s">
        <v>9</v>
      </c>
      <c r="I3" s="57" t="s">
        <v>9</v>
      </c>
      <c r="J3" s="57" t="s">
        <v>9</v>
      </c>
      <c r="K3" s="57" t="s">
        <v>9</v>
      </c>
      <c r="L3" s="34" t="str">
        <f t="shared" si="0"/>
        <v>LuminoTécnicos</v>
      </c>
      <c r="M3" s="34" t="str">
        <f t="shared" si="1"/>
        <v>Sistemas.Elétricos</v>
      </c>
      <c r="N3" s="34" t="str">
        <f t="shared" si="2"/>
        <v>Sistemas de Iluminação</v>
      </c>
      <c r="O3" s="30" t="str">
        <f t="shared" si="3"/>
        <v>Circuito.Luz.Emergência</v>
      </c>
      <c r="P3" s="53" t="s">
        <v>209</v>
      </c>
      <c r="Q3" s="53" t="s">
        <v>208</v>
      </c>
      <c r="R3" s="30" t="s">
        <v>9</v>
      </c>
      <c r="S3" s="30" t="s">
        <v>260</v>
      </c>
      <c r="T3" s="30" t="str">
        <f t="shared" si="4"/>
        <v>Sistemas.Elétricos</v>
      </c>
      <c r="U3" s="30" t="str">
        <f t="shared" si="5"/>
        <v>Sistemas.de.Iluminação</v>
      </c>
      <c r="V3" s="30" t="s">
        <v>239</v>
      </c>
      <c r="W3" s="58" t="str">
        <f t="shared" si="6"/>
        <v>Key-ILUM-3</v>
      </c>
      <c r="X3" s="61" t="s">
        <v>210</v>
      </c>
      <c r="Y3" s="61" t="s">
        <v>211</v>
      </c>
      <c r="Z3" s="30" t="s">
        <v>261</v>
      </c>
      <c r="AA3" s="30" t="str">
        <f t="shared" si="7"/>
        <v>Electrical Lighting System</v>
      </c>
    </row>
    <row r="4" spans="1:27" ht="6.6" customHeight="1" x14ac:dyDescent="0.25">
      <c r="A4" s="56">
        <v>4</v>
      </c>
      <c r="B4" s="1" t="s">
        <v>264</v>
      </c>
      <c r="C4" s="33" t="s">
        <v>265</v>
      </c>
      <c r="D4" s="1" t="s">
        <v>235</v>
      </c>
      <c r="E4" s="43" t="s">
        <v>45</v>
      </c>
      <c r="F4" s="62" t="s">
        <v>98</v>
      </c>
      <c r="G4" s="63" t="s">
        <v>9</v>
      </c>
      <c r="H4" s="57" t="s">
        <v>9</v>
      </c>
      <c r="I4" s="57" t="s">
        <v>9</v>
      </c>
      <c r="J4" s="57" t="s">
        <v>9</v>
      </c>
      <c r="K4" s="57" t="s">
        <v>9</v>
      </c>
      <c r="L4" s="34" t="str">
        <f t="shared" si="0"/>
        <v>LuminoTécnicos</v>
      </c>
      <c r="M4" s="34" t="str">
        <f t="shared" si="1"/>
        <v>Elemento.Iluminação</v>
      </c>
      <c r="N4" s="34" t="str">
        <f t="shared" si="2"/>
        <v>Luminária</v>
      </c>
      <c r="O4" s="30" t="str">
        <f t="shared" ref="O4:O30" si="8">IF(ISNUMBER(FIND("Ifc",F4)),CONCATENATE("Classe IFC:   ",F4),CONCATENATE("",F4))</f>
        <v>Luz.Aletas</v>
      </c>
      <c r="P4" s="30" t="s">
        <v>116</v>
      </c>
      <c r="Q4" s="30" t="s">
        <v>150</v>
      </c>
      <c r="R4" s="30" t="s">
        <v>9</v>
      </c>
      <c r="S4" s="30" t="s">
        <v>44</v>
      </c>
      <c r="T4" s="30" t="s">
        <v>186</v>
      </c>
      <c r="U4" s="30" t="s">
        <v>240</v>
      </c>
      <c r="V4" s="30" t="s">
        <v>239</v>
      </c>
      <c r="W4" s="58" t="str">
        <f t="shared" si="6"/>
        <v>Key-ILUM-4</v>
      </c>
      <c r="X4" s="30" t="s">
        <v>241</v>
      </c>
      <c r="Y4" s="61" t="s">
        <v>266</v>
      </c>
      <c r="Z4" s="30" t="s">
        <v>185</v>
      </c>
      <c r="AA4" s="30" t="s">
        <v>159</v>
      </c>
    </row>
    <row r="5" spans="1:27" ht="6.6" customHeight="1" x14ac:dyDescent="0.25">
      <c r="A5" s="56">
        <v>5</v>
      </c>
      <c r="B5" s="1" t="s">
        <v>264</v>
      </c>
      <c r="C5" s="33" t="s">
        <v>265</v>
      </c>
      <c r="D5" s="1" t="s">
        <v>235</v>
      </c>
      <c r="E5" s="43" t="s">
        <v>45</v>
      </c>
      <c r="F5" s="62" t="s">
        <v>100</v>
      </c>
      <c r="G5" s="63" t="s">
        <v>9</v>
      </c>
      <c r="H5" s="57" t="s">
        <v>9</v>
      </c>
      <c r="I5" s="57" t="s">
        <v>9</v>
      </c>
      <c r="J5" s="57" t="s">
        <v>9</v>
      </c>
      <c r="K5" s="57" t="s">
        <v>9</v>
      </c>
      <c r="L5" s="34" t="str">
        <f t="shared" si="0"/>
        <v>LuminoTécnicos</v>
      </c>
      <c r="M5" s="34" t="str">
        <f t="shared" si="1"/>
        <v>Elemento.Iluminação</v>
      </c>
      <c r="N5" s="34" t="str">
        <f t="shared" si="2"/>
        <v>Luminária</v>
      </c>
      <c r="O5" s="30" t="str">
        <f t="shared" si="8"/>
        <v xml:space="preserve">Luz.Antiofuscamento </v>
      </c>
      <c r="P5" s="30" t="s">
        <v>117</v>
      </c>
      <c r="Q5" s="30" t="s">
        <v>151</v>
      </c>
      <c r="R5" s="30" t="s">
        <v>9</v>
      </c>
      <c r="S5" s="30" t="s">
        <v>44</v>
      </c>
      <c r="T5" s="30" t="s">
        <v>186</v>
      </c>
      <c r="U5" s="30" t="s">
        <v>240</v>
      </c>
      <c r="V5" s="30" t="s">
        <v>239</v>
      </c>
      <c r="W5" s="58" t="str">
        <f t="shared" si="6"/>
        <v>Key-ILUM-5</v>
      </c>
      <c r="X5" s="30" t="s">
        <v>241</v>
      </c>
      <c r="Y5" s="61" t="s">
        <v>266</v>
      </c>
      <c r="Z5" s="30" t="s">
        <v>185</v>
      </c>
      <c r="AA5" s="30" t="s">
        <v>160</v>
      </c>
    </row>
    <row r="6" spans="1:27" ht="6.6" customHeight="1" x14ac:dyDescent="0.25">
      <c r="A6" s="56">
        <v>6</v>
      </c>
      <c r="B6" s="1" t="s">
        <v>264</v>
      </c>
      <c r="C6" s="33" t="s">
        <v>265</v>
      </c>
      <c r="D6" s="1" t="s">
        <v>235</v>
      </c>
      <c r="E6" s="43" t="s">
        <v>45</v>
      </c>
      <c r="F6" s="62" t="s">
        <v>96</v>
      </c>
      <c r="G6" s="63" t="s">
        <v>9</v>
      </c>
      <c r="H6" s="57" t="s">
        <v>9</v>
      </c>
      <c r="I6" s="57" t="s">
        <v>9</v>
      </c>
      <c r="J6" s="57" t="s">
        <v>9</v>
      </c>
      <c r="K6" s="57" t="s">
        <v>9</v>
      </c>
      <c r="L6" s="34" t="str">
        <f t="shared" si="0"/>
        <v>LuminoTécnicos</v>
      </c>
      <c r="M6" s="34" t="str">
        <f t="shared" si="1"/>
        <v>Elemento.Iluminação</v>
      </c>
      <c r="N6" s="34" t="str">
        <f t="shared" si="2"/>
        <v>Luminária</v>
      </c>
      <c r="O6" s="30" t="str">
        <f t="shared" si="8"/>
        <v>Luz.Arandela</v>
      </c>
      <c r="P6" s="30" t="s">
        <v>118</v>
      </c>
      <c r="Q6" s="30" t="s">
        <v>148</v>
      </c>
      <c r="R6" s="30" t="s">
        <v>9</v>
      </c>
      <c r="S6" s="30" t="s">
        <v>44</v>
      </c>
      <c r="T6" s="30" t="s">
        <v>186</v>
      </c>
      <c r="U6" s="30" t="s">
        <v>240</v>
      </c>
      <c r="V6" s="30" t="s">
        <v>239</v>
      </c>
      <c r="W6" s="58" t="str">
        <f t="shared" si="6"/>
        <v>Key-ILUM-6</v>
      </c>
      <c r="X6" s="30" t="s">
        <v>241</v>
      </c>
      <c r="Y6" s="61" t="s">
        <v>266</v>
      </c>
      <c r="Z6" s="30" t="s">
        <v>185</v>
      </c>
      <c r="AA6" s="30" t="s">
        <v>161</v>
      </c>
    </row>
    <row r="7" spans="1:27" ht="6.6" customHeight="1" x14ac:dyDescent="0.25">
      <c r="A7" s="56">
        <v>7</v>
      </c>
      <c r="B7" s="1" t="s">
        <v>264</v>
      </c>
      <c r="C7" s="33" t="s">
        <v>265</v>
      </c>
      <c r="D7" s="1" t="s">
        <v>235</v>
      </c>
      <c r="E7" s="43" t="s">
        <v>45</v>
      </c>
      <c r="F7" s="62" t="s">
        <v>97</v>
      </c>
      <c r="G7" s="63" t="s">
        <v>9</v>
      </c>
      <c r="H7" s="57" t="s">
        <v>9</v>
      </c>
      <c r="I7" s="57" t="s">
        <v>9</v>
      </c>
      <c r="J7" s="57" t="s">
        <v>9</v>
      </c>
      <c r="K7" s="57" t="s">
        <v>9</v>
      </c>
      <c r="L7" s="34" t="str">
        <f t="shared" si="0"/>
        <v>LuminoTécnicos</v>
      </c>
      <c r="M7" s="34" t="str">
        <f t="shared" si="1"/>
        <v>Elemento.Iluminação</v>
      </c>
      <c r="N7" s="34" t="str">
        <f t="shared" si="2"/>
        <v>Luminária</v>
      </c>
      <c r="O7" s="30" t="str">
        <f t="shared" si="8"/>
        <v>Luz.Baliza</v>
      </c>
      <c r="P7" s="30" t="s">
        <v>119</v>
      </c>
      <c r="Q7" s="30" t="s">
        <v>149</v>
      </c>
      <c r="R7" s="30" t="s">
        <v>9</v>
      </c>
      <c r="S7" s="30" t="s">
        <v>44</v>
      </c>
      <c r="T7" s="30" t="s">
        <v>186</v>
      </c>
      <c r="U7" s="30" t="s">
        <v>240</v>
      </c>
      <c r="V7" s="30" t="s">
        <v>239</v>
      </c>
      <c r="W7" s="58" t="str">
        <f t="shared" si="6"/>
        <v>Key-ILUM-7</v>
      </c>
      <c r="X7" s="30" t="s">
        <v>241</v>
      </c>
      <c r="Y7" s="61" t="s">
        <v>266</v>
      </c>
      <c r="Z7" s="30" t="s">
        <v>185</v>
      </c>
      <c r="AA7" s="30" t="s">
        <v>162</v>
      </c>
    </row>
    <row r="8" spans="1:27" ht="6.6" customHeight="1" x14ac:dyDescent="0.25">
      <c r="A8" s="56">
        <v>8</v>
      </c>
      <c r="B8" s="1" t="s">
        <v>264</v>
      </c>
      <c r="C8" s="33" t="s">
        <v>265</v>
      </c>
      <c r="D8" s="1" t="s">
        <v>235</v>
      </c>
      <c r="E8" s="43" t="s">
        <v>45</v>
      </c>
      <c r="F8" s="62" t="s">
        <v>99</v>
      </c>
      <c r="G8" s="63" t="s">
        <v>9</v>
      </c>
      <c r="H8" s="57" t="s">
        <v>9</v>
      </c>
      <c r="I8" s="57" t="s">
        <v>9</v>
      </c>
      <c r="J8" s="57" t="s">
        <v>9</v>
      </c>
      <c r="K8" s="57" t="s">
        <v>9</v>
      </c>
      <c r="L8" s="34" t="str">
        <f t="shared" si="0"/>
        <v>LuminoTécnicos</v>
      </c>
      <c r="M8" s="34" t="str">
        <f t="shared" si="1"/>
        <v>Elemento.Iluminação</v>
      </c>
      <c r="N8" s="34" t="str">
        <f t="shared" si="2"/>
        <v>Luminária</v>
      </c>
      <c r="O8" s="30" t="str">
        <f t="shared" si="8"/>
        <v>Luz.Difusa</v>
      </c>
      <c r="P8" s="30" t="s">
        <v>120</v>
      </c>
      <c r="Q8" s="30" t="s">
        <v>152</v>
      </c>
      <c r="R8" s="30" t="s">
        <v>9</v>
      </c>
      <c r="S8" s="30" t="s">
        <v>44</v>
      </c>
      <c r="T8" s="30" t="s">
        <v>186</v>
      </c>
      <c r="U8" s="30" t="s">
        <v>240</v>
      </c>
      <c r="V8" s="30" t="s">
        <v>239</v>
      </c>
      <c r="W8" s="58" t="str">
        <f t="shared" si="6"/>
        <v>Key-ILUM-8</v>
      </c>
      <c r="X8" s="30" t="s">
        <v>241</v>
      </c>
      <c r="Y8" s="61" t="s">
        <v>266</v>
      </c>
      <c r="Z8" s="30" t="s">
        <v>185</v>
      </c>
      <c r="AA8" s="30" t="s">
        <v>163</v>
      </c>
    </row>
    <row r="9" spans="1:27" ht="6.6" customHeight="1" x14ac:dyDescent="0.25">
      <c r="A9" s="56">
        <v>9</v>
      </c>
      <c r="B9" s="1" t="s">
        <v>264</v>
      </c>
      <c r="C9" s="33" t="s">
        <v>265</v>
      </c>
      <c r="D9" s="1" t="s">
        <v>235</v>
      </c>
      <c r="E9" s="43" t="s">
        <v>45</v>
      </c>
      <c r="F9" s="62" t="s">
        <v>101</v>
      </c>
      <c r="G9" s="63" t="s">
        <v>9</v>
      </c>
      <c r="H9" s="57" t="s">
        <v>9</v>
      </c>
      <c r="I9" s="57" t="s">
        <v>9</v>
      </c>
      <c r="J9" s="57" t="s">
        <v>9</v>
      </c>
      <c r="K9" s="57" t="s">
        <v>9</v>
      </c>
      <c r="L9" s="34" t="str">
        <f t="shared" si="0"/>
        <v>LuminoTécnicos</v>
      </c>
      <c r="M9" s="34" t="str">
        <f t="shared" si="1"/>
        <v>Elemento.Iluminação</v>
      </c>
      <c r="N9" s="34" t="str">
        <f t="shared" si="2"/>
        <v>Luminária</v>
      </c>
      <c r="O9" s="30" t="str">
        <f t="shared" si="8"/>
        <v>Luz.Embutida.Fixa</v>
      </c>
      <c r="P9" s="30" t="s">
        <v>121</v>
      </c>
      <c r="Q9" s="30" t="s">
        <v>136</v>
      </c>
      <c r="R9" s="30" t="s">
        <v>9</v>
      </c>
      <c r="S9" s="30" t="s">
        <v>44</v>
      </c>
      <c r="T9" s="30" t="s">
        <v>186</v>
      </c>
      <c r="U9" s="30" t="s">
        <v>240</v>
      </c>
      <c r="V9" s="30" t="s">
        <v>239</v>
      </c>
      <c r="W9" s="58" t="str">
        <f t="shared" si="6"/>
        <v>Key-ILUM-9</v>
      </c>
      <c r="X9" s="30" t="s">
        <v>241</v>
      </c>
      <c r="Y9" s="61" t="s">
        <v>266</v>
      </c>
      <c r="Z9" s="30" t="s">
        <v>185</v>
      </c>
      <c r="AA9" s="30" t="s">
        <v>164</v>
      </c>
    </row>
    <row r="10" spans="1:27" ht="6.6" customHeight="1" x14ac:dyDescent="0.25">
      <c r="A10" s="56">
        <v>10</v>
      </c>
      <c r="B10" s="1" t="s">
        <v>264</v>
      </c>
      <c r="C10" s="33" t="s">
        <v>265</v>
      </c>
      <c r="D10" s="1" t="s">
        <v>235</v>
      </c>
      <c r="E10" s="43" t="s">
        <v>45</v>
      </c>
      <c r="F10" s="62" t="s">
        <v>102</v>
      </c>
      <c r="G10" s="63" t="s">
        <v>9</v>
      </c>
      <c r="H10" s="57" t="s">
        <v>9</v>
      </c>
      <c r="I10" s="57" t="s">
        <v>9</v>
      </c>
      <c r="J10" s="57" t="s">
        <v>9</v>
      </c>
      <c r="K10" s="57" t="s">
        <v>9</v>
      </c>
      <c r="L10" s="34" t="str">
        <f t="shared" si="0"/>
        <v>LuminoTécnicos</v>
      </c>
      <c r="M10" s="34" t="str">
        <f t="shared" si="1"/>
        <v>Elemento.Iluminação</v>
      </c>
      <c r="N10" s="34" t="str">
        <f t="shared" si="2"/>
        <v>Luminária</v>
      </c>
      <c r="O10" s="30" t="str">
        <f t="shared" si="8"/>
        <v>Luz.Embutida.Orientável</v>
      </c>
      <c r="P10" s="30" t="s">
        <v>122</v>
      </c>
      <c r="Q10" s="30" t="s">
        <v>137</v>
      </c>
      <c r="R10" s="30" t="s">
        <v>9</v>
      </c>
      <c r="S10" s="30" t="s">
        <v>44</v>
      </c>
      <c r="T10" s="30" t="s">
        <v>186</v>
      </c>
      <c r="U10" s="30" t="s">
        <v>240</v>
      </c>
      <c r="V10" s="30" t="s">
        <v>239</v>
      </c>
      <c r="W10" s="58" t="str">
        <f t="shared" si="6"/>
        <v>Key-ILUM-10</v>
      </c>
      <c r="X10" s="30" t="s">
        <v>241</v>
      </c>
      <c r="Y10" s="61" t="s">
        <v>266</v>
      </c>
      <c r="Z10" s="30" t="s">
        <v>185</v>
      </c>
      <c r="AA10" s="30" t="s">
        <v>165</v>
      </c>
    </row>
    <row r="11" spans="1:27" ht="6.6" customHeight="1" x14ac:dyDescent="0.25">
      <c r="A11" s="56">
        <v>11</v>
      </c>
      <c r="B11" s="1" t="s">
        <v>264</v>
      </c>
      <c r="C11" s="33" t="s">
        <v>265</v>
      </c>
      <c r="D11" s="1" t="s">
        <v>235</v>
      </c>
      <c r="E11" s="43" t="s">
        <v>45</v>
      </c>
      <c r="F11" s="62" t="s">
        <v>111</v>
      </c>
      <c r="G11" s="63" t="s">
        <v>9</v>
      </c>
      <c r="H11" s="57" t="s">
        <v>9</v>
      </c>
      <c r="I11" s="57" t="s">
        <v>9</v>
      </c>
      <c r="J11" s="57" t="s">
        <v>9</v>
      </c>
      <c r="K11" s="57" t="s">
        <v>9</v>
      </c>
      <c r="L11" s="34" t="str">
        <f t="shared" ref="L11" si="9">CONCATENATE("", C11)</f>
        <v>LuminoTécnicos</v>
      </c>
      <c r="M11" s="34" t="str">
        <f t="shared" ref="M11" si="10">CONCATENATE("", D11)</f>
        <v>Elemento.Iluminação</v>
      </c>
      <c r="N11" s="34" t="str">
        <f t="shared" ref="N11" si="11">(SUBSTITUTE(SUBSTITUTE(CONCATENATE("",E11),"."," ")," De "," de "))</f>
        <v>Luminária</v>
      </c>
      <c r="O11" s="30" t="str">
        <f t="shared" ref="O11" si="12">IF(ISNUMBER(FIND("Ifc",F11)),CONCATENATE("Classe IFC:   ",F11),CONCATENATE("",F11))</f>
        <v>Luz.Externa</v>
      </c>
      <c r="P11" s="30" t="s">
        <v>254</v>
      </c>
      <c r="Q11" s="30" t="s">
        <v>255</v>
      </c>
      <c r="R11" s="30" t="s">
        <v>9</v>
      </c>
      <c r="S11" s="30" t="s">
        <v>44</v>
      </c>
      <c r="T11" s="30" t="s">
        <v>186</v>
      </c>
      <c r="U11" s="30" t="s">
        <v>240</v>
      </c>
      <c r="V11" s="30" t="s">
        <v>239</v>
      </c>
      <c r="W11" s="58" t="str">
        <f t="shared" si="6"/>
        <v>Key-ILUM-11</v>
      </c>
      <c r="X11" s="30" t="s">
        <v>241</v>
      </c>
      <c r="Y11" s="61" t="s">
        <v>266</v>
      </c>
      <c r="Z11" s="30" t="s">
        <v>185</v>
      </c>
      <c r="AA11" s="30" t="s">
        <v>253</v>
      </c>
    </row>
    <row r="12" spans="1:27" ht="6.6" customHeight="1" x14ac:dyDescent="0.25">
      <c r="A12" s="56">
        <v>12</v>
      </c>
      <c r="B12" s="1" t="s">
        <v>264</v>
      </c>
      <c r="C12" s="33" t="s">
        <v>265</v>
      </c>
      <c r="D12" s="1" t="s">
        <v>235</v>
      </c>
      <c r="E12" s="43" t="s">
        <v>45</v>
      </c>
      <c r="F12" s="62" t="s">
        <v>249</v>
      </c>
      <c r="G12" s="63" t="s">
        <v>9</v>
      </c>
      <c r="H12" s="57" t="s">
        <v>9</v>
      </c>
      <c r="I12" s="57" t="s">
        <v>9</v>
      </c>
      <c r="J12" s="57" t="s">
        <v>9</v>
      </c>
      <c r="K12" s="57" t="s">
        <v>9</v>
      </c>
      <c r="L12" s="34" t="str">
        <f t="shared" si="0"/>
        <v>LuminoTécnicos</v>
      </c>
      <c r="M12" s="34" t="str">
        <f t="shared" si="1"/>
        <v>Elemento.Iluminação</v>
      </c>
      <c r="N12" s="34" t="str">
        <f t="shared" si="2"/>
        <v>Luminária</v>
      </c>
      <c r="O12" s="30" t="str">
        <f t="shared" si="8"/>
        <v>Luz.Externa.Urbana</v>
      </c>
      <c r="P12" s="30" t="s">
        <v>251</v>
      </c>
      <c r="Q12" s="30" t="s">
        <v>250</v>
      </c>
      <c r="R12" s="30" t="s">
        <v>9</v>
      </c>
      <c r="S12" s="30" t="s">
        <v>44</v>
      </c>
      <c r="T12" s="30" t="s">
        <v>186</v>
      </c>
      <c r="U12" s="30" t="s">
        <v>240</v>
      </c>
      <c r="V12" s="30" t="s">
        <v>239</v>
      </c>
      <c r="W12" s="58" t="str">
        <f t="shared" si="6"/>
        <v>Key-ILUM-12</v>
      </c>
      <c r="X12" s="30" t="s">
        <v>241</v>
      </c>
      <c r="Y12" s="61" t="s">
        <v>266</v>
      </c>
      <c r="Z12" s="30" t="s">
        <v>185</v>
      </c>
      <c r="AA12" s="30" t="s">
        <v>252</v>
      </c>
    </row>
    <row r="13" spans="1:27" ht="6.6" customHeight="1" x14ac:dyDescent="0.25">
      <c r="A13" s="56">
        <v>13</v>
      </c>
      <c r="B13" s="1" t="s">
        <v>264</v>
      </c>
      <c r="C13" s="33" t="s">
        <v>265</v>
      </c>
      <c r="D13" s="1" t="s">
        <v>235</v>
      </c>
      <c r="E13" s="43" t="s">
        <v>45</v>
      </c>
      <c r="F13" s="62" t="s">
        <v>112</v>
      </c>
      <c r="G13" s="63" t="s">
        <v>9</v>
      </c>
      <c r="H13" s="57" t="s">
        <v>9</v>
      </c>
      <c r="I13" s="57" t="s">
        <v>9</v>
      </c>
      <c r="J13" s="57" t="s">
        <v>9</v>
      </c>
      <c r="K13" s="57" t="s">
        <v>9</v>
      </c>
      <c r="L13" s="34" t="str">
        <f t="shared" si="0"/>
        <v>LuminoTécnicos</v>
      </c>
      <c r="M13" s="34" t="str">
        <f t="shared" si="1"/>
        <v>Elemento.Iluminação</v>
      </c>
      <c r="N13" s="34" t="str">
        <f t="shared" si="2"/>
        <v>Luminária</v>
      </c>
      <c r="O13" s="30" t="str">
        <f t="shared" si="8"/>
        <v>Luz.Feixe.Amplo</v>
      </c>
      <c r="P13" s="30" t="s">
        <v>123</v>
      </c>
      <c r="Q13" s="30" t="s">
        <v>153</v>
      </c>
      <c r="R13" s="30" t="s">
        <v>9</v>
      </c>
      <c r="S13" s="30" t="s">
        <v>44</v>
      </c>
      <c r="T13" s="30" t="s">
        <v>186</v>
      </c>
      <c r="U13" s="30" t="s">
        <v>240</v>
      </c>
      <c r="V13" s="30" t="s">
        <v>239</v>
      </c>
      <c r="W13" s="58" t="str">
        <f t="shared" si="6"/>
        <v>Key-ILUM-13</v>
      </c>
      <c r="X13" s="30" t="s">
        <v>241</v>
      </c>
      <c r="Y13" s="61" t="s">
        <v>266</v>
      </c>
      <c r="Z13" s="30" t="s">
        <v>185</v>
      </c>
      <c r="AA13" s="30" t="s">
        <v>177</v>
      </c>
    </row>
    <row r="14" spans="1:27" ht="6.6" customHeight="1" x14ac:dyDescent="0.25">
      <c r="A14" s="56">
        <v>14</v>
      </c>
      <c r="B14" s="1" t="s">
        <v>264</v>
      </c>
      <c r="C14" s="33" t="s">
        <v>265</v>
      </c>
      <c r="D14" s="1" t="s">
        <v>235</v>
      </c>
      <c r="E14" s="43" t="s">
        <v>45</v>
      </c>
      <c r="F14" s="62" t="s">
        <v>107</v>
      </c>
      <c r="G14" s="63" t="s">
        <v>9</v>
      </c>
      <c r="H14" s="57" t="s">
        <v>9</v>
      </c>
      <c r="I14" s="57" t="s">
        <v>9</v>
      </c>
      <c r="J14" s="57" t="s">
        <v>9</v>
      </c>
      <c r="K14" s="57" t="s">
        <v>9</v>
      </c>
      <c r="L14" s="34" t="str">
        <f t="shared" si="0"/>
        <v>LuminoTécnicos</v>
      </c>
      <c r="M14" s="34" t="str">
        <f t="shared" si="1"/>
        <v>Elemento.Iluminação</v>
      </c>
      <c r="N14" s="34" t="str">
        <f t="shared" si="2"/>
        <v>Luminária</v>
      </c>
      <c r="O14" s="30" t="str">
        <f t="shared" si="8"/>
        <v>Luz.Gôndola</v>
      </c>
      <c r="P14" s="30" t="s">
        <v>124</v>
      </c>
      <c r="Q14" s="30" t="s">
        <v>154</v>
      </c>
      <c r="R14" s="30" t="s">
        <v>9</v>
      </c>
      <c r="S14" s="30" t="s">
        <v>44</v>
      </c>
      <c r="T14" s="30" t="s">
        <v>186</v>
      </c>
      <c r="U14" s="30" t="s">
        <v>240</v>
      </c>
      <c r="V14" s="30" t="s">
        <v>239</v>
      </c>
      <c r="W14" s="58" t="str">
        <f t="shared" si="6"/>
        <v>Key-ILUM-14</v>
      </c>
      <c r="X14" s="30" t="s">
        <v>241</v>
      </c>
      <c r="Y14" s="61" t="s">
        <v>266</v>
      </c>
      <c r="Z14" s="30" t="s">
        <v>185</v>
      </c>
      <c r="AA14" s="30" t="s">
        <v>166</v>
      </c>
    </row>
    <row r="15" spans="1:27" ht="6.6" customHeight="1" x14ac:dyDescent="0.25">
      <c r="A15" s="56">
        <v>15</v>
      </c>
      <c r="B15" s="1" t="s">
        <v>264</v>
      </c>
      <c r="C15" s="33" t="s">
        <v>265</v>
      </c>
      <c r="D15" s="1" t="s">
        <v>235</v>
      </c>
      <c r="E15" s="43" t="s">
        <v>45</v>
      </c>
      <c r="F15" s="62" t="s">
        <v>104</v>
      </c>
      <c r="G15" s="63" t="s">
        <v>9</v>
      </c>
      <c r="H15" s="57" t="s">
        <v>9</v>
      </c>
      <c r="I15" s="57" t="s">
        <v>9</v>
      </c>
      <c r="J15" s="57" t="s">
        <v>9</v>
      </c>
      <c r="K15" s="57" t="s">
        <v>9</v>
      </c>
      <c r="L15" s="34" t="str">
        <f t="shared" si="0"/>
        <v>LuminoTécnicos</v>
      </c>
      <c r="M15" s="34" t="str">
        <f t="shared" si="1"/>
        <v>Elemento.Iluminação</v>
      </c>
      <c r="N15" s="34" t="str">
        <f t="shared" si="2"/>
        <v>Luminária</v>
      </c>
      <c r="O15" s="30" t="str">
        <f t="shared" si="8"/>
        <v>Luz.Grande.Altura</v>
      </c>
      <c r="P15" s="30" t="s">
        <v>125</v>
      </c>
      <c r="Q15" s="30" t="s">
        <v>155</v>
      </c>
      <c r="R15" s="30" t="s">
        <v>9</v>
      </c>
      <c r="S15" s="30" t="s">
        <v>44</v>
      </c>
      <c r="T15" s="30" t="s">
        <v>186</v>
      </c>
      <c r="U15" s="30" t="s">
        <v>240</v>
      </c>
      <c r="V15" s="30" t="s">
        <v>239</v>
      </c>
      <c r="W15" s="58" t="str">
        <f t="shared" si="6"/>
        <v>Key-ILUM-15</v>
      </c>
      <c r="X15" s="30" t="s">
        <v>241</v>
      </c>
      <c r="Y15" s="61" t="s">
        <v>266</v>
      </c>
      <c r="Z15" s="30" t="s">
        <v>185</v>
      </c>
      <c r="AA15" s="30" t="s">
        <v>167</v>
      </c>
    </row>
    <row r="16" spans="1:27" ht="6.6" customHeight="1" x14ac:dyDescent="0.25">
      <c r="A16" s="56">
        <v>16</v>
      </c>
      <c r="B16" s="1" t="s">
        <v>264</v>
      </c>
      <c r="C16" s="33" t="s">
        <v>265</v>
      </c>
      <c r="D16" s="1" t="s">
        <v>235</v>
      </c>
      <c r="E16" s="43" t="s">
        <v>45</v>
      </c>
      <c r="F16" s="62" t="s">
        <v>103</v>
      </c>
      <c r="G16" s="63" t="s">
        <v>9</v>
      </c>
      <c r="H16" s="57" t="s">
        <v>9</v>
      </c>
      <c r="I16" s="57" t="s">
        <v>9</v>
      </c>
      <c r="J16" s="57" t="s">
        <v>9</v>
      </c>
      <c r="K16" s="57" t="s">
        <v>9</v>
      </c>
      <c r="L16" s="34" t="str">
        <f t="shared" si="0"/>
        <v>LuminoTécnicos</v>
      </c>
      <c r="M16" s="34" t="str">
        <f t="shared" si="1"/>
        <v>Elemento.Iluminação</v>
      </c>
      <c r="N16" s="34" t="str">
        <f t="shared" si="2"/>
        <v>Luminária</v>
      </c>
      <c r="O16" s="30" t="str">
        <f t="shared" si="8"/>
        <v>Luz.Hermética</v>
      </c>
      <c r="P16" s="30" t="s">
        <v>126</v>
      </c>
      <c r="Q16" s="30" t="s">
        <v>147</v>
      </c>
      <c r="R16" s="30" t="s">
        <v>9</v>
      </c>
      <c r="S16" s="30" t="s">
        <v>44</v>
      </c>
      <c r="T16" s="30" t="s">
        <v>186</v>
      </c>
      <c r="U16" s="30" t="s">
        <v>240</v>
      </c>
      <c r="V16" s="30" t="s">
        <v>239</v>
      </c>
      <c r="W16" s="58" t="str">
        <f t="shared" si="6"/>
        <v>Key-ILUM-16</v>
      </c>
      <c r="X16" s="30" t="s">
        <v>241</v>
      </c>
      <c r="Y16" s="61" t="s">
        <v>266</v>
      </c>
      <c r="Z16" s="30" t="s">
        <v>185</v>
      </c>
      <c r="AA16" s="30" t="s">
        <v>168</v>
      </c>
    </row>
    <row r="17" spans="1:27" ht="6.6" customHeight="1" x14ac:dyDescent="0.25">
      <c r="A17" s="56">
        <v>17</v>
      </c>
      <c r="B17" s="1" t="s">
        <v>264</v>
      </c>
      <c r="C17" s="33" t="s">
        <v>265</v>
      </c>
      <c r="D17" s="1" t="s">
        <v>235</v>
      </c>
      <c r="E17" s="43" t="s">
        <v>45</v>
      </c>
      <c r="F17" s="62" t="s">
        <v>115</v>
      </c>
      <c r="G17" s="63" t="s">
        <v>9</v>
      </c>
      <c r="H17" s="57" t="s">
        <v>9</v>
      </c>
      <c r="I17" s="57" t="s">
        <v>9</v>
      </c>
      <c r="J17" s="57" t="s">
        <v>9</v>
      </c>
      <c r="K17" s="57" t="s">
        <v>9</v>
      </c>
      <c r="L17" s="34" t="str">
        <f t="shared" si="0"/>
        <v>LuminoTécnicos</v>
      </c>
      <c r="M17" s="34" t="str">
        <f t="shared" si="1"/>
        <v>Elemento.Iluminação</v>
      </c>
      <c r="N17" s="34" t="str">
        <f t="shared" si="2"/>
        <v>Luminária</v>
      </c>
      <c r="O17" s="30" t="str">
        <f t="shared" si="8"/>
        <v>Luz.LEDFita</v>
      </c>
      <c r="P17" s="30" t="s">
        <v>127</v>
      </c>
      <c r="Q17" s="30" t="s">
        <v>139</v>
      </c>
      <c r="R17" s="30" t="s">
        <v>9</v>
      </c>
      <c r="S17" s="30" t="s">
        <v>44</v>
      </c>
      <c r="T17" s="30" t="s">
        <v>186</v>
      </c>
      <c r="U17" s="30" t="s">
        <v>240</v>
      </c>
      <c r="V17" s="30" t="s">
        <v>239</v>
      </c>
      <c r="W17" s="58" t="str">
        <f t="shared" si="6"/>
        <v>Key-ILUM-17</v>
      </c>
      <c r="X17" s="30" t="s">
        <v>241</v>
      </c>
      <c r="Y17" s="61" t="s">
        <v>267</v>
      </c>
      <c r="Z17" s="30" t="s">
        <v>185</v>
      </c>
      <c r="AA17" s="30" t="s">
        <v>169</v>
      </c>
    </row>
    <row r="18" spans="1:27" ht="6.6" customHeight="1" x14ac:dyDescent="0.25">
      <c r="A18" s="56">
        <v>18</v>
      </c>
      <c r="B18" s="1" t="s">
        <v>264</v>
      </c>
      <c r="C18" s="33" t="s">
        <v>265</v>
      </c>
      <c r="D18" s="1" t="s">
        <v>235</v>
      </c>
      <c r="E18" s="43" t="s">
        <v>45</v>
      </c>
      <c r="F18" s="62" t="s">
        <v>114</v>
      </c>
      <c r="G18" s="63" t="s">
        <v>9</v>
      </c>
      <c r="H18" s="57" t="s">
        <v>9</v>
      </c>
      <c r="I18" s="57" t="s">
        <v>9</v>
      </c>
      <c r="J18" s="57" t="s">
        <v>9</v>
      </c>
      <c r="K18" s="57" t="s">
        <v>9</v>
      </c>
      <c r="L18" s="34" t="str">
        <f t="shared" si="0"/>
        <v>LuminoTécnicos</v>
      </c>
      <c r="M18" s="34" t="str">
        <f t="shared" si="1"/>
        <v>Elemento.Iluminação</v>
      </c>
      <c r="N18" s="34" t="str">
        <f t="shared" si="2"/>
        <v>Luminária</v>
      </c>
      <c r="O18" s="30" t="str">
        <f t="shared" si="8"/>
        <v>Luz.LEDTubular</v>
      </c>
      <c r="P18" s="30" t="s">
        <v>128</v>
      </c>
      <c r="Q18" s="30" t="s">
        <v>138</v>
      </c>
      <c r="R18" s="30" t="s">
        <v>9</v>
      </c>
      <c r="S18" s="30" t="s">
        <v>44</v>
      </c>
      <c r="T18" s="30" t="s">
        <v>186</v>
      </c>
      <c r="U18" s="30" t="s">
        <v>240</v>
      </c>
      <c r="V18" s="30" t="s">
        <v>239</v>
      </c>
      <c r="W18" s="58" t="str">
        <f t="shared" si="6"/>
        <v>Key-ILUM-18</v>
      </c>
      <c r="X18" s="30" t="s">
        <v>241</v>
      </c>
      <c r="Y18" s="61" t="s">
        <v>267</v>
      </c>
      <c r="Z18" s="30" t="s">
        <v>185</v>
      </c>
      <c r="AA18" s="30" t="s">
        <v>170</v>
      </c>
    </row>
    <row r="19" spans="1:27" ht="6.6" customHeight="1" x14ac:dyDescent="0.25">
      <c r="A19" s="56">
        <v>19</v>
      </c>
      <c r="B19" s="1" t="s">
        <v>264</v>
      </c>
      <c r="C19" s="33" t="s">
        <v>265</v>
      </c>
      <c r="D19" s="1" t="s">
        <v>235</v>
      </c>
      <c r="E19" s="43" t="s">
        <v>45</v>
      </c>
      <c r="F19" s="62" t="s">
        <v>243</v>
      </c>
      <c r="G19" s="63" t="s">
        <v>9</v>
      </c>
      <c r="H19" s="57" t="s">
        <v>9</v>
      </c>
      <c r="I19" s="57" t="s">
        <v>9</v>
      </c>
      <c r="J19" s="57" t="s">
        <v>9</v>
      </c>
      <c r="K19" s="57" t="s">
        <v>9</v>
      </c>
      <c r="L19" s="34" t="str">
        <f t="shared" ref="L19" si="13">CONCATENATE("", C19)</f>
        <v>LuminoTécnicos</v>
      </c>
      <c r="M19" s="34" t="str">
        <f t="shared" ref="M19" si="14">CONCATENATE("", D19)</f>
        <v>Elemento.Iluminação</v>
      </c>
      <c r="N19" s="34" t="str">
        <f t="shared" ref="N19" si="15">(SUBSTITUTE(SUBSTITUTE(CONCATENATE("",E19),"."," ")," De "," de "))</f>
        <v>Luminária</v>
      </c>
      <c r="O19" s="30" t="str">
        <f t="shared" ref="O19" si="16">IF(ISNUMBER(FIND("Ifc",F19)),CONCATENATE("Classe IFC:   ",F19),CONCATENATE("",F19))</f>
        <v>Luz.TuboFluorescente</v>
      </c>
      <c r="P19" s="30" t="s">
        <v>244</v>
      </c>
      <c r="Q19" s="30" t="s">
        <v>245</v>
      </c>
      <c r="R19" s="30" t="s">
        <v>9</v>
      </c>
      <c r="S19" s="30" t="s">
        <v>44</v>
      </c>
      <c r="T19" s="30" t="s">
        <v>186</v>
      </c>
      <c r="U19" s="30" t="s">
        <v>240</v>
      </c>
      <c r="V19" s="30" t="s">
        <v>239</v>
      </c>
      <c r="W19" s="58" t="str">
        <f t="shared" si="6"/>
        <v>Key-ILUM-19</v>
      </c>
      <c r="X19" s="30" t="s">
        <v>241</v>
      </c>
      <c r="Y19" s="61" t="s">
        <v>266</v>
      </c>
      <c r="Z19" s="30" t="s">
        <v>185</v>
      </c>
      <c r="AA19" s="30" t="s">
        <v>246</v>
      </c>
    </row>
    <row r="20" spans="1:27" ht="6.6" customHeight="1" x14ac:dyDescent="0.25">
      <c r="A20" s="56">
        <v>20</v>
      </c>
      <c r="B20" s="1" t="s">
        <v>264</v>
      </c>
      <c r="C20" s="33" t="s">
        <v>265</v>
      </c>
      <c r="D20" s="1" t="s">
        <v>235</v>
      </c>
      <c r="E20" s="43" t="s">
        <v>45</v>
      </c>
      <c r="F20" s="62" t="s">
        <v>105</v>
      </c>
      <c r="G20" s="63" t="s">
        <v>9</v>
      </c>
      <c r="H20" s="57" t="s">
        <v>9</v>
      </c>
      <c r="I20" s="57" t="s">
        <v>9</v>
      </c>
      <c r="J20" s="57" t="s">
        <v>9</v>
      </c>
      <c r="K20" s="57" t="s">
        <v>9</v>
      </c>
      <c r="L20" s="34" t="str">
        <f t="shared" si="0"/>
        <v>LuminoTécnicos</v>
      </c>
      <c r="M20" s="34" t="str">
        <f t="shared" si="1"/>
        <v>Elemento.Iluminação</v>
      </c>
      <c r="N20" s="34" t="str">
        <f t="shared" si="2"/>
        <v>Luminária</v>
      </c>
      <c r="O20" s="30" t="str">
        <f t="shared" si="8"/>
        <v>Luz.Linear</v>
      </c>
      <c r="P20" s="30" t="s">
        <v>129</v>
      </c>
      <c r="Q20" s="30" t="s">
        <v>140</v>
      </c>
      <c r="R20" s="30" t="s">
        <v>9</v>
      </c>
      <c r="S20" s="30" t="s">
        <v>44</v>
      </c>
      <c r="T20" s="30" t="s">
        <v>186</v>
      </c>
      <c r="U20" s="30" t="s">
        <v>240</v>
      </c>
      <c r="V20" s="30" t="s">
        <v>239</v>
      </c>
      <c r="W20" s="58" t="str">
        <f t="shared" si="6"/>
        <v>Key-ILUM-20</v>
      </c>
      <c r="X20" s="30" t="s">
        <v>241</v>
      </c>
      <c r="Y20" s="61" t="s">
        <v>266</v>
      </c>
      <c r="Z20" s="30" t="s">
        <v>185</v>
      </c>
      <c r="AA20" s="30" t="s">
        <v>171</v>
      </c>
    </row>
    <row r="21" spans="1:27" ht="6.6" customHeight="1" x14ac:dyDescent="0.25">
      <c r="A21" s="56">
        <v>21</v>
      </c>
      <c r="B21" s="1" t="s">
        <v>264</v>
      </c>
      <c r="C21" s="33" t="s">
        <v>265</v>
      </c>
      <c r="D21" s="1" t="s">
        <v>235</v>
      </c>
      <c r="E21" s="43" t="s">
        <v>45</v>
      </c>
      <c r="F21" s="62" t="s">
        <v>106</v>
      </c>
      <c r="G21" s="63" t="s">
        <v>9</v>
      </c>
      <c r="H21" s="57" t="s">
        <v>9</v>
      </c>
      <c r="I21" s="57" t="s">
        <v>9</v>
      </c>
      <c r="J21" s="57" t="s">
        <v>9</v>
      </c>
      <c r="K21" s="57" t="s">
        <v>9</v>
      </c>
      <c r="L21" s="34" t="str">
        <f t="shared" si="0"/>
        <v>LuminoTécnicos</v>
      </c>
      <c r="M21" s="34" t="str">
        <f t="shared" si="1"/>
        <v>Elemento.Iluminação</v>
      </c>
      <c r="N21" s="34" t="str">
        <f t="shared" si="2"/>
        <v>Luminária</v>
      </c>
      <c r="O21" s="30" t="str">
        <f t="shared" si="8"/>
        <v>Luz.Painel</v>
      </c>
      <c r="P21" s="30" t="s">
        <v>130</v>
      </c>
      <c r="Q21" s="30" t="s">
        <v>141</v>
      </c>
      <c r="R21" s="30" t="s">
        <v>9</v>
      </c>
      <c r="S21" s="30" t="s">
        <v>44</v>
      </c>
      <c r="T21" s="30" t="s">
        <v>186</v>
      </c>
      <c r="U21" s="30" t="s">
        <v>240</v>
      </c>
      <c r="V21" s="30" t="s">
        <v>239</v>
      </c>
      <c r="W21" s="58" t="str">
        <f t="shared" si="6"/>
        <v>Key-ILUM-21</v>
      </c>
      <c r="X21" s="30" t="s">
        <v>241</v>
      </c>
      <c r="Y21" s="61" t="s">
        <v>266</v>
      </c>
      <c r="Z21" s="30" t="s">
        <v>185</v>
      </c>
      <c r="AA21" s="30" t="s">
        <v>172</v>
      </c>
    </row>
    <row r="22" spans="1:27" ht="6.6" customHeight="1" x14ac:dyDescent="0.25">
      <c r="A22" s="56">
        <v>22</v>
      </c>
      <c r="B22" s="1" t="s">
        <v>264</v>
      </c>
      <c r="C22" s="33" t="s">
        <v>265</v>
      </c>
      <c r="D22" s="1" t="s">
        <v>235</v>
      </c>
      <c r="E22" s="43" t="s">
        <v>45</v>
      </c>
      <c r="F22" s="62" t="s">
        <v>108</v>
      </c>
      <c r="G22" s="63" t="s">
        <v>9</v>
      </c>
      <c r="H22" s="57" t="s">
        <v>9</v>
      </c>
      <c r="I22" s="57" t="s">
        <v>9</v>
      </c>
      <c r="J22" s="57" t="s">
        <v>9</v>
      </c>
      <c r="K22" s="57" t="s">
        <v>9</v>
      </c>
      <c r="L22" s="34" t="str">
        <f t="shared" si="0"/>
        <v>LuminoTécnicos</v>
      </c>
      <c r="M22" s="34" t="str">
        <f t="shared" si="1"/>
        <v>Elemento.Iluminação</v>
      </c>
      <c r="N22" s="34" t="str">
        <f t="shared" si="2"/>
        <v>Luminária</v>
      </c>
      <c r="O22" s="30" t="str">
        <f t="shared" si="8"/>
        <v>Luz.Pendente</v>
      </c>
      <c r="P22" s="30" t="s">
        <v>131</v>
      </c>
      <c r="Q22" s="30" t="s">
        <v>142</v>
      </c>
      <c r="R22" s="30" t="s">
        <v>9</v>
      </c>
      <c r="S22" s="30" t="s">
        <v>44</v>
      </c>
      <c r="T22" s="30" t="s">
        <v>186</v>
      </c>
      <c r="U22" s="30" t="s">
        <v>240</v>
      </c>
      <c r="V22" s="30" t="s">
        <v>239</v>
      </c>
      <c r="W22" s="58" t="str">
        <f t="shared" si="6"/>
        <v>Key-ILUM-22</v>
      </c>
      <c r="X22" s="30" t="s">
        <v>241</v>
      </c>
      <c r="Y22" s="61" t="s">
        <v>266</v>
      </c>
      <c r="Z22" s="30" t="s">
        <v>185</v>
      </c>
      <c r="AA22" s="30" t="s">
        <v>178</v>
      </c>
    </row>
    <row r="23" spans="1:27" ht="6.6" customHeight="1" x14ac:dyDescent="0.25">
      <c r="A23" s="56">
        <v>23</v>
      </c>
      <c r="B23" s="1" t="s">
        <v>264</v>
      </c>
      <c r="C23" s="33" t="s">
        <v>265</v>
      </c>
      <c r="D23" s="1" t="s">
        <v>235</v>
      </c>
      <c r="E23" s="43" t="s">
        <v>45</v>
      </c>
      <c r="F23" s="62" t="s">
        <v>109</v>
      </c>
      <c r="G23" s="63" t="s">
        <v>9</v>
      </c>
      <c r="H23" s="57" t="s">
        <v>9</v>
      </c>
      <c r="I23" s="57" t="s">
        <v>9</v>
      </c>
      <c r="J23" s="57" t="s">
        <v>9</v>
      </c>
      <c r="K23" s="57" t="s">
        <v>9</v>
      </c>
      <c r="L23" s="34" t="str">
        <f t="shared" si="0"/>
        <v>LuminoTécnicos</v>
      </c>
      <c r="M23" s="34" t="str">
        <f t="shared" si="1"/>
        <v>Elemento.Iluminação</v>
      </c>
      <c r="N23" s="34" t="str">
        <f t="shared" si="2"/>
        <v>Luminária</v>
      </c>
      <c r="O23" s="30" t="str">
        <f t="shared" si="8"/>
        <v>Luz.Plafon</v>
      </c>
      <c r="P23" s="30" t="s">
        <v>132</v>
      </c>
      <c r="Q23" s="30" t="s">
        <v>143</v>
      </c>
      <c r="R23" s="30" t="s">
        <v>9</v>
      </c>
      <c r="S23" s="30" t="s">
        <v>44</v>
      </c>
      <c r="T23" s="30" t="s">
        <v>186</v>
      </c>
      <c r="U23" s="30" t="s">
        <v>240</v>
      </c>
      <c r="V23" s="30" t="s">
        <v>239</v>
      </c>
      <c r="W23" s="58" t="str">
        <f t="shared" si="6"/>
        <v>Key-ILUM-23</v>
      </c>
      <c r="X23" s="30" t="s">
        <v>241</v>
      </c>
      <c r="Y23" s="61" t="s">
        <v>266</v>
      </c>
      <c r="Z23" s="30" t="s">
        <v>185</v>
      </c>
      <c r="AA23" s="30" t="s">
        <v>173</v>
      </c>
    </row>
    <row r="24" spans="1:27" ht="6.6" customHeight="1" x14ac:dyDescent="0.25">
      <c r="A24" s="56">
        <v>24</v>
      </c>
      <c r="B24" s="1" t="s">
        <v>264</v>
      </c>
      <c r="C24" s="33" t="s">
        <v>265</v>
      </c>
      <c r="D24" s="1" t="s">
        <v>235</v>
      </c>
      <c r="E24" s="43" t="s">
        <v>45</v>
      </c>
      <c r="F24" s="62" t="s">
        <v>248</v>
      </c>
      <c r="G24" s="63" t="s">
        <v>9</v>
      </c>
      <c r="H24" s="57" t="s">
        <v>9</v>
      </c>
      <c r="I24" s="57" t="s">
        <v>9</v>
      </c>
      <c r="J24" s="57" t="s">
        <v>9</v>
      </c>
      <c r="K24" s="57" t="s">
        <v>9</v>
      </c>
      <c r="L24" s="34" t="str">
        <f t="shared" si="0"/>
        <v>LuminoTécnicos</v>
      </c>
      <c r="M24" s="34" t="str">
        <f t="shared" si="1"/>
        <v>Elemento.Iluminação</v>
      </c>
      <c r="N24" s="34" t="str">
        <f t="shared" si="2"/>
        <v>Luminária</v>
      </c>
      <c r="O24" s="30" t="str">
        <f t="shared" si="8"/>
        <v>Luz.Sensorizada</v>
      </c>
      <c r="P24" s="30" t="s">
        <v>133</v>
      </c>
      <c r="Q24" s="30" t="s">
        <v>144</v>
      </c>
      <c r="R24" s="30" t="s">
        <v>9</v>
      </c>
      <c r="S24" s="30" t="s">
        <v>44</v>
      </c>
      <c r="T24" s="30" t="s">
        <v>186</v>
      </c>
      <c r="U24" s="30" t="s">
        <v>240</v>
      </c>
      <c r="V24" s="30" t="s">
        <v>239</v>
      </c>
      <c r="W24" s="58" t="str">
        <f t="shared" si="6"/>
        <v>Key-ILUM-24</v>
      </c>
      <c r="X24" s="30" t="s">
        <v>241</v>
      </c>
      <c r="Y24" s="61" t="s">
        <v>266</v>
      </c>
      <c r="Z24" s="30" t="s">
        <v>185</v>
      </c>
      <c r="AA24" s="30" t="s">
        <v>174</v>
      </c>
    </row>
    <row r="25" spans="1:27" ht="6.6" customHeight="1" x14ac:dyDescent="0.25">
      <c r="A25" s="56">
        <v>25</v>
      </c>
      <c r="B25" s="1" t="s">
        <v>264</v>
      </c>
      <c r="C25" s="33" t="s">
        <v>265</v>
      </c>
      <c r="D25" s="1" t="s">
        <v>235</v>
      </c>
      <c r="E25" s="43" t="s">
        <v>45</v>
      </c>
      <c r="F25" s="62" t="s">
        <v>110</v>
      </c>
      <c r="G25" s="63" t="s">
        <v>9</v>
      </c>
      <c r="H25" s="57" t="s">
        <v>9</v>
      </c>
      <c r="I25" s="57" t="s">
        <v>9</v>
      </c>
      <c r="J25" s="57" t="s">
        <v>9</v>
      </c>
      <c r="K25" s="57" t="s">
        <v>9</v>
      </c>
      <c r="L25" s="34" t="str">
        <f t="shared" si="0"/>
        <v>LuminoTécnicos</v>
      </c>
      <c r="M25" s="34" t="str">
        <f t="shared" si="1"/>
        <v>Elemento.Iluminação</v>
      </c>
      <c r="N25" s="34" t="str">
        <f t="shared" si="2"/>
        <v>Luminária</v>
      </c>
      <c r="O25" s="30" t="str">
        <f t="shared" si="8"/>
        <v>Luz.Spot</v>
      </c>
      <c r="P25" s="30" t="s">
        <v>134</v>
      </c>
      <c r="Q25" s="30" t="s">
        <v>145</v>
      </c>
      <c r="R25" s="30" t="s">
        <v>9</v>
      </c>
      <c r="S25" s="30" t="s">
        <v>44</v>
      </c>
      <c r="T25" s="30" t="s">
        <v>186</v>
      </c>
      <c r="U25" s="30" t="s">
        <v>240</v>
      </c>
      <c r="V25" s="30" t="s">
        <v>239</v>
      </c>
      <c r="W25" s="58" t="str">
        <f t="shared" si="6"/>
        <v>Key-ILUM-25</v>
      </c>
      <c r="X25" s="30" t="s">
        <v>241</v>
      </c>
      <c r="Y25" s="61" t="s">
        <v>268</v>
      </c>
      <c r="Z25" s="30" t="s">
        <v>185</v>
      </c>
      <c r="AA25" s="30" t="s">
        <v>175</v>
      </c>
    </row>
    <row r="26" spans="1:27" ht="6.6" customHeight="1" x14ac:dyDescent="0.25">
      <c r="A26" s="56">
        <v>26</v>
      </c>
      <c r="B26" s="1" t="s">
        <v>264</v>
      </c>
      <c r="C26" s="33" t="s">
        <v>265</v>
      </c>
      <c r="D26" s="1" t="s">
        <v>235</v>
      </c>
      <c r="E26" s="43" t="s">
        <v>45</v>
      </c>
      <c r="F26" s="62" t="s">
        <v>113</v>
      </c>
      <c r="G26" s="63" t="s">
        <v>9</v>
      </c>
      <c r="H26" s="57" t="s">
        <v>9</v>
      </c>
      <c r="I26" s="57" t="s">
        <v>9</v>
      </c>
      <c r="J26" s="57" t="s">
        <v>9</v>
      </c>
      <c r="K26" s="57" t="s">
        <v>9</v>
      </c>
      <c r="L26" s="34" t="str">
        <f t="shared" si="0"/>
        <v>LuminoTécnicos</v>
      </c>
      <c r="M26" s="34" t="str">
        <f t="shared" si="1"/>
        <v>Elemento.Iluminação</v>
      </c>
      <c r="N26" s="34" t="str">
        <f t="shared" si="2"/>
        <v>Luminária</v>
      </c>
      <c r="O26" s="30" t="str">
        <f t="shared" si="8"/>
        <v>Luz.Trilho</v>
      </c>
      <c r="P26" s="30" t="s">
        <v>135</v>
      </c>
      <c r="Q26" s="30" t="s">
        <v>146</v>
      </c>
      <c r="R26" s="30" t="s">
        <v>9</v>
      </c>
      <c r="S26" s="30" t="s">
        <v>44</v>
      </c>
      <c r="T26" s="30" t="s">
        <v>186</v>
      </c>
      <c r="U26" s="30" t="s">
        <v>240</v>
      </c>
      <c r="V26" s="30" t="s">
        <v>239</v>
      </c>
      <c r="W26" s="58" t="str">
        <f t="shared" si="6"/>
        <v>Key-ILUM-26</v>
      </c>
      <c r="X26" s="30" t="s">
        <v>241</v>
      </c>
      <c r="Y26" s="61" t="s">
        <v>266</v>
      </c>
      <c r="Z26" s="30" t="s">
        <v>185</v>
      </c>
      <c r="AA26" s="30" t="s">
        <v>176</v>
      </c>
    </row>
    <row r="27" spans="1:27" ht="6.6" customHeight="1" x14ac:dyDescent="0.25">
      <c r="A27" s="56">
        <v>27</v>
      </c>
      <c r="B27" s="1" t="s">
        <v>264</v>
      </c>
      <c r="C27" s="33" t="s">
        <v>265</v>
      </c>
      <c r="D27" s="1" t="s">
        <v>235</v>
      </c>
      <c r="E27" s="43" t="s">
        <v>212</v>
      </c>
      <c r="F27" s="62" t="s">
        <v>242</v>
      </c>
      <c r="G27" s="63" t="s">
        <v>9</v>
      </c>
      <c r="H27" s="57" t="s">
        <v>9</v>
      </c>
      <c r="I27" s="57" t="s">
        <v>9</v>
      </c>
      <c r="J27" s="57" t="s">
        <v>9</v>
      </c>
      <c r="K27" s="57" t="s">
        <v>9</v>
      </c>
      <c r="L27" s="34" t="str">
        <f t="shared" ref="L27" si="17">CONCATENATE("", C27)</f>
        <v>LuminoTécnicos</v>
      </c>
      <c r="M27" s="34" t="str">
        <f t="shared" ref="M27" si="18">CONCATENATE("", D27)</f>
        <v>Elemento.Iluminação</v>
      </c>
      <c r="N27" s="34" t="str">
        <f t="shared" ref="N27" si="19">(SUBSTITUTE(SUBSTITUTE(CONCATENATE("",E27),"."," ")," De "," de "))</f>
        <v>Acessórios de Iluminação</v>
      </c>
      <c r="O27" s="30" t="str">
        <f t="shared" ref="O27" si="20">IF(ISNUMBER(FIND("Ifc",F27)),CONCATENATE("Classe IFC:   ",F27),CONCATENATE("",F27))</f>
        <v>Acessório.Luz</v>
      </c>
      <c r="P27" s="30" t="s">
        <v>237</v>
      </c>
      <c r="Q27" s="30" t="s">
        <v>238</v>
      </c>
      <c r="R27" s="30" t="s">
        <v>9</v>
      </c>
      <c r="S27" s="30" t="s">
        <v>44</v>
      </c>
      <c r="T27" s="30" t="s">
        <v>186</v>
      </c>
      <c r="U27" s="30" t="s">
        <v>240</v>
      </c>
      <c r="V27" s="30" t="s">
        <v>239</v>
      </c>
      <c r="W27" s="58" t="str">
        <f t="shared" si="6"/>
        <v>Key-ILUM-27</v>
      </c>
      <c r="X27" s="30" t="s">
        <v>241</v>
      </c>
      <c r="Y27" s="61" t="s">
        <v>234</v>
      </c>
      <c r="Z27" s="30" t="s">
        <v>185</v>
      </c>
      <c r="AA27" s="30" t="s">
        <v>247</v>
      </c>
    </row>
    <row r="28" spans="1:27" ht="6.6" customHeight="1" x14ac:dyDescent="0.25">
      <c r="A28" s="56">
        <v>28</v>
      </c>
      <c r="B28" s="1" t="s">
        <v>264</v>
      </c>
      <c r="C28" s="33" t="s">
        <v>265</v>
      </c>
      <c r="D28" s="1" t="s">
        <v>235</v>
      </c>
      <c r="E28" s="43" t="s">
        <v>236</v>
      </c>
      <c r="F28" s="62" t="s">
        <v>188</v>
      </c>
      <c r="G28" s="63" t="s">
        <v>9</v>
      </c>
      <c r="H28" s="57" t="s">
        <v>9</v>
      </c>
      <c r="I28" s="57" t="s">
        <v>9</v>
      </c>
      <c r="J28" s="57" t="s">
        <v>9</v>
      </c>
      <c r="K28" s="57" t="s">
        <v>9</v>
      </c>
      <c r="L28" s="34" t="str">
        <f t="shared" si="0"/>
        <v>LuminoTécnicos</v>
      </c>
      <c r="M28" s="34" t="str">
        <f t="shared" si="1"/>
        <v>Elemento.Iluminação</v>
      </c>
      <c r="N28" s="34" t="str">
        <f t="shared" si="2"/>
        <v>Analítico de Luz</v>
      </c>
      <c r="O28" s="30" t="str">
        <f t="shared" si="8"/>
        <v>Ponto.Iluminado</v>
      </c>
      <c r="P28" s="30" t="s">
        <v>191</v>
      </c>
      <c r="Q28" s="30" t="s">
        <v>193</v>
      </c>
      <c r="R28" s="30" t="s">
        <v>9</v>
      </c>
      <c r="S28" s="30" t="s">
        <v>44</v>
      </c>
      <c r="T28" s="30" t="s">
        <v>187</v>
      </c>
      <c r="U28" s="30" t="s">
        <v>236</v>
      </c>
      <c r="V28" s="30" t="s">
        <v>239</v>
      </c>
      <c r="W28" s="58" t="str">
        <f t="shared" si="6"/>
        <v>Key-ILUM-28</v>
      </c>
      <c r="X28" s="30" t="s">
        <v>9</v>
      </c>
      <c r="Y28" s="30" t="s">
        <v>9</v>
      </c>
      <c r="Z28" s="30" t="s">
        <v>9</v>
      </c>
      <c r="AA28" s="30" t="s">
        <v>197</v>
      </c>
    </row>
    <row r="29" spans="1:27" ht="6.6" customHeight="1" x14ac:dyDescent="0.25">
      <c r="A29" s="56">
        <v>29</v>
      </c>
      <c r="B29" s="1" t="s">
        <v>264</v>
      </c>
      <c r="C29" s="33" t="s">
        <v>265</v>
      </c>
      <c r="D29" s="1" t="s">
        <v>235</v>
      </c>
      <c r="E29" s="43" t="s">
        <v>236</v>
      </c>
      <c r="F29" s="62" t="s">
        <v>189</v>
      </c>
      <c r="G29" s="63" t="s">
        <v>9</v>
      </c>
      <c r="H29" s="57" t="s">
        <v>9</v>
      </c>
      <c r="I29" s="57" t="s">
        <v>9</v>
      </c>
      <c r="J29" s="57" t="s">
        <v>9</v>
      </c>
      <c r="K29" s="57" t="s">
        <v>9</v>
      </c>
      <c r="L29" s="34" t="str">
        <f t="shared" si="0"/>
        <v>LuminoTécnicos</v>
      </c>
      <c r="M29" s="34" t="str">
        <f t="shared" si="1"/>
        <v>Elemento.Iluminação</v>
      </c>
      <c r="N29" s="34" t="str">
        <f t="shared" si="2"/>
        <v>Analítico de Luz</v>
      </c>
      <c r="O29" s="30" t="str">
        <f t="shared" si="8"/>
        <v>Linha.Iluminada</v>
      </c>
      <c r="P29" s="30" t="s">
        <v>195</v>
      </c>
      <c r="Q29" s="30" t="s">
        <v>194</v>
      </c>
      <c r="R29" s="30" t="s">
        <v>9</v>
      </c>
      <c r="S29" s="30" t="s">
        <v>44</v>
      </c>
      <c r="T29" s="30" t="s">
        <v>187</v>
      </c>
      <c r="U29" s="30" t="s">
        <v>236</v>
      </c>
      <c r="V29" s="30" t="s">
        <v>239</v>
      </c>
      <c r="W29" s="58" t="str">
        <f t="shared" si="6"/>
        <v>Key-ILUM-29</v>
      </c>
      <c r="X29" s="30" t="s">
        <v>9</v>
      </c>
      <c r="Y29" s="30" t="s">
        <v>9</v>
      </c>
      <c r="Z29" s="30" t="s">
        <v>9</v>
      </c>
      <c r="AA29" s="30" t="s">
        <v>198</v>
      </c>
    </row>
    <row r="30" spans="1:27" ht="6.6" customHeight="1" x14ac:dyDescent="0.25">
      <c r="A30" s="56">
        <v>30</v>
      </c>
      <c r="B30" s="1" t="s">
        <v>264</v>
      </c>
      <c r="C30" s="33" t="s">
        <v>265</v>
      </c>
      <c r="D30" s="1" t="s">
        <v>235</v>
      </c>
      <c r="E30" s="43" t="s">
        <v>236</v>
      </c>
      <c r="F30" s="62" t="s">
        <v>190</v>
      </c>
      <c r="G30" s="63" t="s">
        <v>9</v>
      </c>
      <c r="H30" s="57" t="s">
        <v>9</v>
      </c>
      <c r="I30" s="57" t="s">
        <v>9</v>
      </c>
      <c r="J30" s="57" t="s">
        <v>9</v>
      </c>
      <c r="K30" s="57" t="s">
        <v>9</v>
      </c>
      <c r="L30" s="34" t="str">
        <f t="shared" si="0"/>
        <v>LuminoTécnicos</v>
      </c>
      <c r="M30" s="34" t="str">
        <f t="shared" si="1"/>
        <v>Elemento.Iluminação</v>
      </c>
      <c r="N30" s="34" t="str">
        <f t="shared" si="2"/>
        <v>Analítico de Luz</v>
      </c>
      <c r="O30" s="30" t="str">
        <f t="shared" si="8"/>
        <v>Area.Iluminada</v>
      </c>
      <c r="P30" s="30" t="s">
        <v>192</v>
      </c>
      <c r="Q30" s="30" t="s">
        <v>196</v>
      </c>
      <c r="R30" s="30" t="s">
        <v>9</v>
      </c>
      <c r="S30" s="30" t="s">
        <v>44</v>
      </c>
      <c r="T30" s="30" t="s">
        <v>187</v>
      </c>
      <c r="U30" s="30" t="s">
        <v>236</v>
      </c>
      <c r="V30" s="30" t="s">
        <v>239</v>
      </c>
      <c r="W30" s="58" t="str">
        <f t="shared" si="6"/>
        <v>Key-ILUM-30</v>
      </c>
      <c r="X30" s="30" t="s">
        <v>9</v>
      </c>
      <c r="Y30" s="30" t="s">
        <v>9</v>
      </c>
      <c r="Z30" s="30" t="s">
        <v>9</v>
      </c>
      <c r="AA30" s="30" t="s">
        <v>199</v>
      </c>
    </row>
  </sheetData>
  <sortState xmlns:xlrd2="http://schemas.microsoft.com/office/spreadsheetml/2017/richdata2" ref="A2:AA924">
    <sortCondition ref="F2:F924"/>
  </sortState>
  <phoneticPr fontId="1" type="noConversion"/>
  <conditionalFormatting sqref="A2:B30">
    <cfRule type="cellIs" dxfId="20" priority="6" operator="equal">
      <formula>"null"</formula>
    </cfRule>
  </conditionalFormatting>
  <conditionalFormatting sqref="A1:O1 R1:X1 Z1:AA1 AA4:AA30">
    <cfRule type="cellIs" dxfId="19" priority="49" operator="equal">
      <formula>"null"</formula>
    </cfRule>
  </conditionalFormatting>
  <conditionalFormatting sqref="F1">
    <cfRule type="duplicateValues" dxfId="18" priority="1485"/>
  </conditionalFormatting>
  <conditionalFormatting sqref="F2:F3">
    <cfRule type="duplicateValues" dxfId="17" priority="1507"/>
  </conditionalFormatting>
  <conditionalFormatting sqref="F4:F1048576">
    <cfRule type="duplicateValues" dxfId="16" priority="1478"/>
  </conditionalFormatting>
  <conditionalFormatting sqref="F26 F28:F30">
    <cfRule type="duplicateValues" dxfId="15" priority="60"/>
  </conditionalFormatting>
  <conditionalFormatting sqref="F27">
    <cfRule type="duplicateValues" dxfId="14" priority="30"/>
  </conditionalFormatting>
  <conditionalFormatting sqref="F31:F1048576 F4:F25">
    <cfRule type="duplicateValues" dxfId="13" priority="242"/>
    <cfRule type="duplicateValues" dxfId="12" priority="244"/>
    <cfRule type="duplicateValues" dxfId="11" priority="1457"/>
  </conditionalFormatting>
  <conditionalFormatting sqref="X4:X27">
    <cfRule type="containsText" dxfId="10" priority="43" operator="containsText" text="null">
      <formula>NOT(ISERROR(SEARCH("null",X4)))</formula>
    </cfRule>
  </conditionalFormatting>
  <conditionalFormatting sqref="Y25">
    <cfRule type="duplicateValues" dxfId="9" priority="40"/>
    <cfRule type="containsText" dxfId="8" priority="41" operator="containsText" text="null">
      <formula>NOT(ISERROR(SEARCH("null",Y25)))</formula>
    </cfRule>
    <cfRule type="duplicateValues" dxfId="7" priority="4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40625" defaultRowHeight="8.25" x14ac:dyDescent="0.15"/>
  <cols>
    <col min="1" max="1" width="2.85546875" style="10" customWidth="1"/>
    <col min="2" max="10" width="6.5703125" style="11" customWidth="1"/>
    <col min="11" max="21" width="6.5703125" style="9" customWidth="1"/>
    <col min="22" max="16384" width="11.140625" style="9"/>
  </cols>
  <sheetData>
    <row r="1" spans="1:21" s="4" customFormat="1" ht="16.5" x14ac:dyDescent="0.1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15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15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4"/>
  <sheetViews>
    <sheetView tabSelected="1" zoomScale="235" zoomScaleNormal="235" workbookViewId="0">
      <selection activeCell="B2" sqref="B2"/>
    </sheetView>
  </sheetViews>
  <sheetFormatPr defaultColWidth="11.5703125" defaultRowHeight="7.5" customHeight="1" x14ac:dyDescent="0.25"/>
  <cols>
    <col min="1" max="1" width="2.5703125" bestFit="1" customWidth="1"/>
    <col min="2" max="2" width="9.28515625" bestFit="1" customWidth="1"/>
    <col min="3" max="3" width="10.140625" bestFit="1" customWidth="1"/>
    <col min="4" max="4" width="8.7109375" bestFit="1" customWidth="1"/>
    <col min="5" max="5" width="9.28515625" bestFit="1" customWidth="1"/>
    <col min="6" max="6" width="6" bestFit="1" customWidth="1"/>
    <col min="7" max="7" width="64.85546875" customWidth="1"/>
    <col min="8" max="8" width="8.28515625" bestFit="1" customWidth="1"/>
    <col min="9" max="9" width="14.5703125" bestFit="1" customWidth="1"/>
    <col min="10" max="10" width="4.85546875" bestFit="1" customWidth="1"/>
    <col min="11" max="11" width="6.42578125" bestFit="1" customWidth="1"/>
    <col min="12" max="12" width="8.42578125" bestFit="1" customWidth="1"/>
    <col min="13" max="13" width="19.28515625" customWidth="1"/>
    <col min="14" max="14" width="8.42578125" bestFit="1" customWidth="1"/>
    <col min="15" max="15" width="12.28515625" customWidth="1"/>
    <col min="16" max="16" width="5.7109375" bestFit="1" customWidth="1"/>
    <col min="17" max="17" width="15.7109375" customWidth="1"/>
    <col min="18" max="18" width="7.28515625" bestFit="1" customWidth="1"/>
    <col min="19" max="19" width="8.42578125" bestFit="1" customWidth="1"/>
  </cols>
  <sheetData>
    <row r="1" spans="1:19" ht="17.25" customHeight="1" x14ac:dyDescent="0.25">
      <c r="A1" s="18" t="s">
        <v>10</v>
      </c>
      <c r="B1" s="19" t="s">
        <v>75</v>
      </c>
      <c r="C1" s="19" t="s">
        <v>76</v>
      </c>
      <c r="D1" s="20" t="s">
        <v>77</v>
      </c>
      <c r="E1" s="20" t="s">
        <v>80</v>
      </c>
      <c r="F1" s="20" t="s">
        <v>77</v>
      </c>
      <c r="G1" s="20" t="s">
        <v>80</v>
      </c>
      <c r="H1" s="49" t="s">
        <v>78</v>
      </c>
      <c r="I1" s="20" t="s">
        <v>80</v>
      </c>
      <c r="J1" s="20" t="s">
        <v>77</v>
      </c>
      <c r="K1" s="20" t="s">
        <v>80</v>
      </c>
      <c r="L1" s="20" t="s">
        <v>77</v>
      </c>
      <c r="M1" s="20" t="s">
        <v>80</v>
      </c>
      <c r="N1" s="20" t="s">
        <v>77</v>
      </c>
      <c r="O1" s="20" t="s">
        <v>80</v>
      </c>
      <c r="P1" s="20" t="s">
        <v>77</v>
      </c>
      <c r="Q1" s="20" t="s">
        <v>80</v>
      </c>
      <c r="R1" s="20" t="s">
        <v>77</v>
      </c>
      <c r="S1" s="20" t="s">
        <v>80</v>
      </c>
    </row>
    <row r="2" spans="1:19" ht="7.5" customHeight="1" x14ac:dyDescent="0.25">
      <c r="A2" s="21">
        <v>2</v>
      </c>
      <c r="B2" s="22" t="s">
        <v>179</v>
      </c>
      <c r="C2" s="33" t="s">
        <v>265</v>
      </c>
      <c r="D2" s="51" t="s">
        <v>9</v>
      </c>
      <c r="E2" s="52" t="s">
        <v>9</v>
      </c>
      <c r="F2" s="23" t="s">
        <v>79</v>
      </c>
      <c r="G2" s="24" t="s">
        <v>269</v>
      </c>
      <c r="H2" s="50" t="s">
        <v>9</v>
      </c>
      <c r="I2" s="25" t="s">
        <v>9</v>
      </c>
      <c r="J2" s="50" t="s">
        <v>9</v>
      </c>
      <c r="K2" s="25" t="s">
        <v>9</v>
      </c>
      <c r="L2" s="50" t="s">
        <v>9</v>
      </c>
      <c r="M2" s="25" t="s">
        <v>9</v>
      </c>
      <c r="N2" s="50" t="s">
        <v>9</v>
      </c>
      <c r="O2" s="25" t="s">
        <v>9</v>
      </c>
      <c r="P2" s="50" t="s">
        <v>9</v>
      </c>
      <c r="Q2" s="25" t="s">
        <v>9</v>
      </c>
      <c r="R2" s="50" t="s">
        <v>9</v>
      </c>
      <c r="S2" s="25" t="s">
        <v>9</v>
      </c>
    </row>
    <row r="3" spans="1:19" ht="7.5" customHeight="1" x14ac:dyDescent="0.25">
      <c r="A3" s="21">
        <v>3</v>
      </c>
      <c r="B3" s="22" t="s">
        <v>213</v>
      </c>
      <c r="C3" s="43" t="s">
        <v>256</v>
      </c>
      <c r="D3" s="51" t="s">
        <v>84</v>
      </c>
      <c r="E3" s="55" t="s">
        <v>179</v>
      </c>
      <c r="F3" s="23" t="s">
        <v>79</v>
      </c>
      <c r="G3" s="24" t="s">
        <v>218</v>
      </c>
      <c r="H3" s="50" t="s">
        <v>79</v>
      </c>
      <c r="I3" s="25" t="s">
        <v>232</v>
      </c>
      <c r="J3" s="50" t="s">
        <v>9</v>
      </c>
      <c r="K3" s="25" t="s">
        <v>9</v>
      </c>
      <c r="L3" s="50" t="s">
        <v>9</v>
      </c>
      <c r="M3" s="25" t="s">
        <v>9</v>
      </c>
      <c r="N3" s="50" t="s">
        <v>207</v>
      </c>
      <c r="O3" s="25" t="s">
        <v>272</v>
      </c>
      <c r="P3" s="50" t="s">
        <v>206</v>
      </c>
      <c r="Q3" s="25" t="s">
        <v>270</v>
      </c>
      <c r="R3" s="50" t="s">
        <v>9</v>
      </c>
      <c r="S3" s="25" t="s">
        <v>9</v>
      </c>
    </row>
    <row r="4" spans="1:19" ht="7.5" customHeight="1" x14ac:dyDescent="0.25">
      <c r="A4" s="21">
        <v>4</v>
      </c>
      <c r="B4" s="22" t="s">
        <v>214</v>
      </c>
      <c r="C4" s="43" t="s">
        <v>256</v>
      </c>
      <c r="D4" s="51" t="s">
        <v>84</v>
      </c>
      <c r="E4" s="55" t="s">
        <v>179</v>
      </c>
      <c r="F4" s="23" t="s">
        <v>79</v>
      </c>
      <c r="G4" s="24" t="s">
        <v>218</v>
      </c>
      <c r="H4" s="50" t="s">
        <v>79</v>
      </c>
      <c r="I4" s="25" t="s">
        <v>233</v>
      </c>
      <c r="J4" s="50" t="s">
        <v>9</v>
      </c>
      <c r="K4" s="25" t="s">
        <v>9</v>
      </c>
      <c r="L4" s="50" t="s">
        <v>9</v>
      </c>
      <c r="M4" s="25" t="s">
        <v>9</v>
      </c>
      <c r="N4" s="50" t="s">
        <v>207</v>
      </c>
      <c r="O4" s="25" t="s">
        <v>272</v>
      </c>
      <c r="P4" s="50" t="s">
        <v>206</v>
      </c>
      <c r="Q4" s="25" t="s">
        <v>270</v>
      </c>
      <c r="R4" s="50" t="s">
        <v>9</v>
      </c>
      <c r="S4" s="25" t="s">
        <v>9</v>
      </c>
    </row>
    <row r="5" spans="1:19" ht="7.5" customHeight="1" x14ac:dyDescent="0.25">
      <c r="A5" s="21">
        <v>5</v>
      </c>
      <c r="B5" s="22" t="s">
        <v>222</v>
      </c>
      <c r="C5" s="43" t="s">
        <v>256</v>
      </c>
      <c r="D5" s="51" t="s">
        <v>215</v>
      </c>
      <c r="E5" s="35" t="s">
        <v>213</v>
      </c>
      <c r="F5" s="23" t="s">
        <v>79</v>
      </c>
      <c r="G5" s="24" t="s">
        <v>216</v>
      </c>
      <c r="H5" s="50" t="s">
        <v>79</v>
      </c>
      <c r="I5" s="25" t="s">
        <v>183</v>
      </c>
      <c r="J5" s="50" t="s">
        <v>9</v>
      </c>
      <c r="K5" s="25" t="s">
        <v>9</v>
      </c>
      <c r="L5" s="50" t="s">
        <v>9</v>
      </c>
      <c r="M5" s="25" t="s">
        <v>9</v>
      </c>
      <c r="N5" s="50" t="s">
        <v>207</v>
      </c>
      <c r="O5" s="25" t="s">
        <v>272</v>
      </c>
      <c r="P5" s="50" t="s">
        <v>206</v>
      </c>
      <c r="Q5" s="25" t="s">
        <v>270</v>
      </c>
      <c r="R5" s="50" t="s">
        <v>9</v>
      </c>
      <c r="S5" s="25" t="s">
        <v>9</v>
      </c>
    </row>
    <row r="6" spans="1:19" ht="7.5" customHeight="1" x14ac:dyDescent="0.25">
      <c r="A6" s="21">
        <v>6</v>
      </c>
      <c r="B6" s="22" t="s">
        <v>223</v>
      </c>
      <c r="C6" s="43" t="s">
        <v>256</v>
      </c>
      <c r="D6" s="51" t="s">
        <v>215</v>
      </c>
      <c r="E6" s="35" t="s">
        <v>214</v>
      </c>
      <c r="F6" s="23" t="s">
        <v>79</v>
      </c>
      <c r="G6" s="24" t="s">
        <v>217</v>
      </c>
      <c r="H6" s="50" t="s">
        <v>79</v>
      </c>
      <c r="I6" s="25" t="s">
        <v>184</v>
      </c>
      <c r="J6" s="50" t="s">
        <v>9</v>
      </c>
      <c r="K6" s="25" t="s">
        <v>9</v>
      </c>
      <c r="L6" s="50" t="s">
        <v>9</v>
      </c>
      <c r="M6" s="25" t="s">
        <v>9</v>
      </c>
      <c r="N6" s="50" t="s">
        <v>207</v>
      </c>
      <c r="O6" s="25" t="s">
        <v>272</v>
      </c>
      <c r="P6" s="50" t="s">
        <v>206</v>
      </c>
      <c r="Q6" s="25" t="s">
        <v>270</v>
      </c>
      <c r="R6" s="50" t="s">
        <v>9</v>
      </c>
      <c r="S6" s="25" t="s">
        <v>9</v>
      </c>
    </row>
    <row r="7" spans="1:19" ht="7.5" customHeight="1" x14ac:dyDescent="0.25">
      <c r="A7" s="21">
        <v>7</v>
      </c>
      <c r="B7" s="48" t="s">
        <v>228</v>
      </c>
      <c r="C7" s="54" t="s">
        <v>96</v>
      </c>
      <c r="D7" s="51" t="s">
        <v>84</v>
      </c>
      <c r="E7" s="55" t="s">
        <v>223</v>
      </c>
      <c r="F7" s="23" t="s">
        <v>79</v>
      </c>
      <c r="G7" s="24" t="s">
        <v>181</v>
      </c>
      <c r="H7" s="50" t="s">
        <v>262</v>
      </c>
      <c r="I7" s="25" t="s">
        <v>180</v>
      </c>
      <c r="J7" s="50" t="s">
        <v>219</v>
      </c>
      <c r="K7" s="25" t="s">
        <v>220</v>
      </c>
      <c r="L7" s="50" t="s">
        <v>263</v>
      </c>
      <c r="M7" s="25" t="s">
        <v>202</v>
      </c>
      <c r="N7" s="50" t="s">
        <v>207</v>
      </c>
      <c r="O7" s="25" t="s">
        <v>273</v>
      </c>
      <c r="P7" s="50" t="s">
        <v>206</v>
      </c>
      <c r="Q7" s="25" t="s">
        <v>271</v>
      </c>
      <c r="R7" s="50" t="s">
        <v>200</v>
      </c>
      <c r="S7" s="25" t="s">
        <v>201</v>
      </c>
    </row>
    <row r="8" spans="1:19" ht="7.5" customHeight="1" x14ac:dyDescent="0.25">
      <c r="A8" s="21">
        <v>8</v>
      </c>
      <c r="B8" s="48" t="s">
        <v>229</v>
      </c>
      <c r="C8" s="54" t="s">
        <v>96</v>
      </c>
      <c r="D8" s="51" t="s">
        <v>84</v>
      </c>
      <c r="E8" s="55" t="s">
        <v>223</v>
      </c>
      <c r="F8" s="23" t="s">
        <v>79</v>
      </c>
      <c r="G8" s="24" t="s">
        <v>181</v>
      </c>
      <c r="H8" s="50" t="s">
        <v>262</v>
      </c>
      <c r="I8" s="25" t="s">
        <v>180</v>
      </c>
      <c r="J8" s="50" t="s">
        <v>219</v>
      </c>
      <c r="K8" s="25" t="s">
        <v>220</v>
      </c>
      <c r="L8" s="50" t="s">
        <v>263</v>
      </c>
      <c r="M8" s="25" t="s">
        <v>202</v>
      </c>
      <c r="N8" s="50" t="s">
        <v>207</v>
      </c>
      <c r="O8" s="25" t="s">
        <v>273</v>
      </c>
      <c r="P8" s="50" t="s">
        <v>206</v>
      </c>
      <c r="Q8" s="25" t="s">
        <v>271</v>
      </c>
      <c r="R8" s="50" t="s">
        <v>200</v>
      </c>
      <c r="S8" s="25" t="s">
        <v>201</v>
      </c>
    </row>
    <row r="9" spans="1:19" ht="7.5" customHeight="1" x14ac:dyDescent="0.25">
      <c r="A9" s="21">
        <v>9</v>
      </c>
      <c r="B9" s="48" t="s">
        <v>230</v>
      </c>
      <c r="C9" s="54" t="s">
        <v>96</v>
      </c>
      <c r="D9" s="51" t="s">
        <v>84</v>
      </c>
      <c r="E9" s="55" t="s">
        <v>223</v>
      </c>
      <c r="F9" s="23" t="s">
        <v>79</v>
      </c>
      <c r="G9" s="24" t="s">
        <v>181</v>
      </c>
      <c r="H9" s="50" t="s">
        <v>262</v>
      </c>
      <c r="I9" s="25" t="s">
        <v>180</v>
      </c>
      <c r="J9" s="50" t="s">
        <v>219</v>
      </c>
      <c r="K9" s="25" t="s">
        <v>220</v>
      </c>
      <c r="L9" s="50" t="s">
        <v>263</v>
      </c>
      <c r="M9" s="25" t="s">
        <v>202</v>
      </c>
      <c r="N9" s="50" t="s">
        <v>207</v>
      </c>
      <c r="O9" s="25" t="s">
        <v>273</v>
      </c>
      <c r="P9" s="50" t="s">
        <v>206</v>
      </c>
      <c r="Q9" s="25" t="s">
        <v>271</v>
      </c>
      <c r="R9" s="50" t="s">
        <v>200</v>
      </c>
      <c r="S9" s="25" t="s">
        <v>201</v>
      </c>
    </row>
    <row r="10" spans="1:19" ht="7.5" customHeight="1" x14ac:dyDescent="0.25">
      <c r="A10" s="21">
        <v>10</v>
      </c>
      <c r="B10" s="48" t="s">
        <v>231</v>
      </c>
      <c r="C10" s="54" t="s">
        <v>96</v>
      </c>
      <c r="D10" s="51" t="s">
        <v>84</v>
      </c>
      <c r="E10" s="55" t="s">
        <v>223</v>
      </c>
      <c r="F10" s="23" t="s">
        <v>79</v>
      </c>
      <c r="G10" s="24" t="s">
        <v>181</v>
      </c>
      <c r="H10" s="50" t="s">
        <v>262</v>
      </c>
      <c r="I10" s="25" t="s">
        <v>180</v>
      </c>
      <c r="J10" s="50" t="s">
        <v>219</v>
      </c>
      <c r="K10" s="25" t="s">
        <v>220</v>
      </c>
      <c r="L10" s="50" t="s">
        <v>263</v>
      </c>
      <c r="M10" s="25" t="s">
        <v>202</v>
      </c>
      <c r="N10" s="50" t="s">
        <v>207</v>
      </c>
      <c r="O10" s="25" t="s">
        <v>273</v>
      </c>
      <c r="P10" s="50" t="s">
        <v>206</v>
      </c>
      <c r="Q10" s="25" t="s">
        <v>271</v>
      </c>
      <c r="R10" s="50" t="s">
        <v>200</v>
      </c>
      <c r="S10" s="25" t="s">
        <v>201</v>
      </c>
    </row>
    <row r="11" spans="1:19" ht="7.5" customHeight="1" x14ac:dyDescent="0.25">
      <c r="A11" s="21">
        <v>11</v>
      </c>
      <c r="B11" s="48" t="s">
        <v>224</v>
      </c>
      <c r="C11" s="54" t="s">
        <v>97</v>
      </c>
      <c r="D11" s="51" t="s">
        <v>84</v>
      </c>
      <c r="E11" s="55" t="s">
        <v>222</v>
      </c>
      <c r="F11" s="23" t="s">
        <v>79</v>
      </c>
      <c r="G11" s="24" t="s">
        <v>182</v>
      </c>
      <c r="H11" s="50" t="s">
        <v>262</v>
      </c>
      <c r="I11" s="25" t="s">
        <v>180</v>
      </c>
      <c r="J11" s="50" t="s">
        <v>219</v>
      </c>
      <c r="K11" s="25" t="s">
        <v>221</v>
      </c>
      <c r="L11" s="50" t="s">
        <v>263</v>
      </c>
      <c r="M11" s="25" t="s">
        <v>202</v>
      </c>
      <c r="N11" s="50" t="s">
        <v>207</v>
      </c>
      <c r="O11" s="25" t="s">
        <v>273</v>
      </c>
      <c r="P11" s="50" t="s">
        <v>206</v>
      </c>
      <c r="Q11" s="25" t="s">
        <v>271</v>
      </c>
      <c r="R11" s="50" t="s">
        <v>200</v>
      </c>
      <c r="S11" s="25" t="s">
        <v>201</v>
      </c>
    </row>
    <row r="12" spans="1:19" ht="7.5" customHeight="1" x14ac:dyDescent="0.25">
      <c r="A12" s="21">
        <v>12</v>
      </c>
      <c r="B12" s="48" t="s">
        <v>225</v>
      </c>
      <c r="C12" s="54" t="s">
        <v>97</v>
      </c>
      <c r="D12" s="51" t="s">
        <v>84</v>
      </c>
      <c r="E12" s="55" t="s">
        <v>222</v>
      </c>
      <c r="F12" s="23" t="s">
        <v>79</v>
      </c>
      <c r="G12" s="24" t="s">
        <v>182</v>
      </c>
      <c r="H12" s="50" t="s">
        <v>262</v>
      </c>
      <c r="I12" s="25" t="s">
        <v>180</v>
      </c>
      <c r="J12" s="50" t="s">
        <v>219</v>
      </c>
      <c r="K12" s="25" t="s">
        <v>221</v>
      </c>
      <c r="L12" s="50" t="s">
        <v>263</v>
      </c>
      <c r="M12" s="25" t="s">
        <v>202</v>
      </c>
      <c r="N12" s="50" t="s">
        <v>207</v>
      </c>
      <c r="O12" s="25" t="s">
        <v>273</v>
      </c>
      <c r="P12" s="50" t="s">
        <v>206</v>
      </c>
      <c r="Q12" s="25" t="s">
        <v>271</v>
      </c>
      <c r="R12" s="50" t="s">
        <v>200</v>
      </c>
      <c r="S12" s="25" t="s">
        <v>201</v>
      </c>
    </row>
    <row r="13" spans="1:19" ht="7.5" customHeight="1" x14ac:dyDescent="0.25">
      <c r="A13" s="21">
        <v>13</v>
      </c>
      <c r="B13" s="48" t="s">
        <v>226</v>
      </c>
      <c r="C13" s="54" t="s">
        <v>97</v>
      </c>
      <c r="D13" s="51" t="s">
        <v>84</v>
      </c>
      <c r="E13" s="55" t="s">
        <v>222</v>
      </c>
      <c r="F13" s="23" t="s">
        <v>79</v>
      </c>
      <c r="G13" s="24" t="s">
        <v>182</v>
      </c>
      <c r="H13" s="50" t="s">
        <v>262</v>
      </c>
      <c r="I13" s="25" t="s">
        <v>180</v>
      </c>
      <c r="J13" s="50" t="s">
        <v>219</v>
      </c>
      <c r="K13" s="25" t="s">
        <v>221</v>
      </c>
      <c r="L13" s="50" t="s">
        <v>263</v>
      </c>
      <c r="M13" s="25" t="s">
        <v>202</v>
      </c>
      <c r="N13" s="50" t="s">
        <v>207</v>
      </c>
      <c r="O13" s="25" t="s">
        <v>273</v>
      </c>
      <c r="P13" s="50" t="s">
        <v>206</v>
      </c>
      <c r="Q13" s="25" t="s">
        <v>271</v>
      </c>
      <c r="R13" s="50" t="s">
        <v>200</v>
      </c>
      <c r="S13" s="25" t="s">
        <v>201</v>
      </c>
    </row>
    <row r="14" spans="1:19" ht="7.5" customHeight="1" x14ac:dyDescent="0.25">
      <c r="A14" s="21">
        <v>14</v>
      </c>
      <c r="B14" s="48" t="s">
        <v>227</v>
      </c>
      <c r="C14" s="54" t="s">
        <v>97</v>
      </c>
      <c r="D14" s="51" t="s">
        <v>84</v>
      </c>
      <c r="E14" s="55" t="s">
        <v>222</v>
      </c>
      <c r="F14" s="23" t="s">
        <v>79</v>
      </c>
      <c r="G14" s="24" t="s">
        <v>182</v>
      </c>
      <c r="H14" s="50" t="s">
        <v>262</v>
      </c>
      <c r="I14" s="25" t="s">
        <v>180</v>
      </c>
      <c r="J14" s="50" t="s">
        <v>219</v>
      </c>
      <c r="K14" s="25" t="s">
        <v>221</v>
      </c>
      <c r="L14" s="50" t="s">
        <v>263</v>
      </c>
      <c r="M14" s="25" t="s">
        <v>202</v>
      </c>
      <c r="N14" s="50" t="s">
        <v>207</v>
      </c>
      <c r="O14" s="25" t="s">
        <v>273</v>
      </c>
      <c r="P14" s="50" t="s">
        <v>206</v>
      </c>
      <c r="Q14" s="25" t="s">
        <v>271</v>
      </c>
      <c r="R14" s="50" t="s">
        <v>200</v>
      </c>
      <c r="S14" s="25" t="s">
        <v>201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40625" defaultRowHeight="8.25" customHeight="1" x14ac:dyDescent="0.25"/>
  <cols>
    <col min="1" max="1" width="2.140625" style="27" customWidth="1"/>
    <col min="2" max="2" width="5.85546875" style="26" bestFit="1" customWidth="1"/>
    <col min="3" max="3" width="11.28515625" style="26" bestFit="1" customWidth="1"/>
    <col min="4" max="7" width="10.85546875" style="26" bestFit="1" customWidth="1"/>
  </cols>
  <sheetData>
    <row r="1" spans="1:7" ht="33" customHeight="1" x14ac:dyDescent="0.25">
      <c r="A1" s="31">
        <v>0</v>
      </c>
      <c r="B1" s="28" t="s">
        <v>81</v>
      </c>
      <c r="C1" s="29" t="s">
        <v>82</v>
      </c>
      <c r="D1" s="29" t="s">
        <v>83</v>
      </c>
      <c r="E1" s="29" t="s">
        <v>83</v>
      </c>
      <c r="F1" s="29" t="s">
        <v>83</v>
      </c>
      <c r="G1" s="29" t="s">
        <v>83</v>
      </c>
    </row>
    <row r="2" spans="1:7" ht="8.25" customHeight="1" x14ac:dyDescent="0.25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2026-08-10T19:03:48Z</dcterms:modified>
  <dc:language>pt-BR</dc:language>
</cp:coreProperties>
</file>