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41107FD7-E353-4818-8275-975C914134DD}" xr6:coauthVersionLast="47" xr6:coauthVersionMax="47" xr10:uidLastSave="{00000000-0000-0000-0000-000000000000}"/>
  <bookViews>
    <workbookView xWindow="-120" yWindow="-120" windowWidth="24240" windowHeight="13290" tabRatio="520" activeTab="1" xr2:uid="{00000000-000D-0000-FFFF-FFFF00000000}"/>
  </bookViews>
  <sheets>
    <sheet name="Projeto" sheetId="13" r:id="rId1"/>
    <sheet name="Classes" sheetId="9" r:id="rId2"/>
    <sheet name="Disjunt" sheetId="3" r:id="rId3"/>
    <sheet name="Interop" sheetId="15" r:id="rId4"/>
    <sheet name="FatosIn" sheetId="17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9" l="1"/>
  <c r="V15" i="9"/>
  <c r="U15" i="9"/>
  <c r="T15" i="9"/>
  <c r="O15" i="9"/>
  <c r="N15" i="9"/>
  <c r="M15" i="9"/>
  <c r="L15" i="9"/>
  <c r="X10" i="9"/>
  <c r="V10" i="9"/>
  <c r="U10" i="9"/>
  <c r="T10" i="9"/>
  <c r="O10" i="9"/>
  <c r="N10" i="9"/>
  <c r="M10" i="9"/>
  <c r="L10" i="9"/>
  <c r="X9" i="9"/>
  <c r="V9" i="9"/>
  <c r="U9" i="9"/>
  <c r="T9" i="9"/>
  <c r="O9" i="9"/>
  <c r="N9" i="9"/>
  <c r="M9" i="9"/>
  <c r="L9" i="9"/>
  <c r="X6" i="9"/>
  <c r="V6" i="9"/>
  <c r="U6" i="9"/>
  <c r="T6" i="9"/>
  <c r="O6" i="9"/>
  <c r="N6" i="9"/>
  <c r="M6" i="9"/>
  <c r="L6" i="9"/>
  <c r="V3" i="9"/>
  <c r="V4" i="9"/>
  <c r="V5" i="9"/>
  <c r="V7" i="9"/>
  <c r="V8" i="9"/>
  <c r="V11" i="9"/>
  <c r="V12" i="9"/>
  <c r="V13" i="9"/>
  <c r="V14" i="9"/>
  <c r="V16" i="9"/>
  <c r="V17" i="9"/>
  <c r="V18" i="9"/>
  <c r="V19" i="9"/>
  <c r="V20" i="9"/>
  <c r="V21" i="9"/>
  <c r="U3" i="9"/>
  <c r="U4" i="9"/>
  <c r="U5" i="9"/>
  <c r="U7" i="9"/>
  <c r="U8" i="9"/>
  <c r="U11" i="9"/>
  <c r="U12" i="9"/>
  <c r="U13" i="9"/>
  <c r="U14" i="9"/>
  <c r="U16" i="9"/>
  <c r="U17" i="9"/>
  <c r="U18" i="9"/>
  <c r="U19" i="9"/>
  <c r="U20" i="9"/>
  <c r="U21" i="9"/>
  <c r="T3" i="9"/>
  <c r="T4" i="9"/>
  <c r="T5" i="9"/>
  <c r="T7" i="9"/>
  <c r="T8" i="9"/>
  <c r="T11" i="9"/>
  <c r="T12" i="9"/>
  <c r="T13" i="9"/>
  <c r="T14" i="9"/>
  <c r="T16" i="9"/>
  <c r="T17" i="9"/>
  <c r="T18" i="9"/>
  <c r="T19" i="9"/>
  <c r="T20" i="9"/>
  <c r="T21" i="9"/>
  <c r="X3" i="9"/>
  <c r="X4" i="9"/>
  <c r="X5" i="9"/>
  <c r="X7" i="9"/>
  <c r="X8" i="9"/>
  <c r="X11" i="9"/>
  <c r="X12" i="9"/>
  <c r="X13" i="9"/>
  <c r="X14" i="9"/>
  <c r="X16" i="9"/>
  <c r="X17" i="9"/>
  <c r="X18" i="9"/>
  <c r="X19" i="9"/>
  <c r="X20" i="9"/>
  <c r="X21" i="9"/>
  <c r="O16" i="9"/>
  <c r="N16" i="9"/>
  <c r="M16" i="9"/>
  <c r="L16" i="9"/>
  <c r="O14" i="9"/>
  <c r="N14" i="9"/>
  <c r="M14" i="9"/>
  <c r="L14" i="9"/>
  <c r="O11" i="9"/>
  <c r="N11" i="9"/>
  <c r="M11" i="9"/>
  <c r="L11" i="9"/>
  <c r="O21" i="9"/>
  <c r="N21" i="9"/>
  <c r="M21" i="9"/>
  <c r="L21" i="9"/>
  <c r="O20" i="9"/>
  <c r="N20" i="9"/>
  <c r="M20" i="9"/>
  <c r="L20" i="9"/>
  <c r="O19" i="9"/>
  <c r="N19" i="9"/>
  <c r="M19" i="9"/>
  <c r="L19" i="9"/>
  <c r="O18" i="9"/>
  <c r="N18" i="9"/>
  <c r="M18" i="9"/>
  <c r="L18" i="9"/>
  <c r="O17" i="9"/>
  <c r="N17" i="9"/>
  <c r="M17" i="9"/>
  <c r="L17" i="9"/>
  <c r="V15" i="17" l="1"/>
  <c r="V14" i="17"/>
  <c r="V13" i="17"/>
  <c r="V12" i="17"/>
  <c r="V11" i="17"/>
  <c r="O8" i="9" l="1"/>
  <c r="N8" i="9"/>
  <c r="M8" i="9"/>
  <c r="L8" i="9"/>
  <c r="O5" i="9"/>
  <c r="N5" i="9"/>
  <c r="M5" i="9"/>
  <c r="L5" i="9"/>
  <c r="O4" i="9"/>
  <c r="N4" i="9"/>
  <c r="M4" i="9"/>
  <c r="L4" i="9"/>
  <c r="O13" i="9" l="1"/>
  <c r="N13" i="9"/>
  <c r="M13" i="9"/>
  <c r="L13" i="9"/>
  <c r="O12" i="9"/>
  <c r="N12" i="9"/>
  <c r="M12" i="9"/>
  <c r="L12" i="9"/>
  <c r="X2" i="9" l="1"/>
  <c r="O7" i="9"/>
  <c r="N7" i="9"/>
  <c r="M7" i="9"/>
  <c r="L7" i="9"/>
  <c r="B25" i="13"/>
  <c r="L2" i="9" l="1"/>
  <c r="M2" i="9"/>
  <c r="N2" i="9"/>
  <c r="O2" i="9"/>
  <c r="T2" i="9"/>
  <c r="U2" i="9"/>
  <c r="V2" i="9"/>
  <c r="B21" i="13" l="1"/>
  <c r="B20" i="13"/>
  <c r="B26" i="13"/>
  <c r="O3" i="9" l="1"/>
  <c r="N3" i="9"/>
  <c r="M3" i="9"/>
  <c r="L3" i="9"/>
  <c r="B18" i="13" l="1"/>
  <c r="B6" i="13"/>
  <c r="B5" i="13"/>
</calcChain>
</file>

<file path=xl/sharedStrings.xml><?xml version="1.0" encoding="utf-8"?>
<sst xmlns="http://schemas.openxmlformats.org/spreadsheetml/2006/main" count="1015" uniqueCount="284">
  <si>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</si>
  <si>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</si>
  <si>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</si>
  <si>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</si>
  <si>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</si>
  <si>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</si>
  <si>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</si>
  <si>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</si>
  <si>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</si>
  <si>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</si>
  <si>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</si>
  <si>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</si>
  <si>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</si>
  <si>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</si>
  <si>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</si>
  <si>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</si>
  <si>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</si>
  <si>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</si>
  <si>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</si>
  <si>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</si>
  <si>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</si>
  <si>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</si>
  <si>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</si>
  <si>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</si>
  <si>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</si>
  <si>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</si>
  <si>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</si>
  <si>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</si>
  <si>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</si>
  <si>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</si>
  <si>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</si>
  <si>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</si>
  <si>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</si>
  <si>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</si>
  <si>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</si>
  <si>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</si>
  <si>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</si>
  <si>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</si>
  <si>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</si>
  <si>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</si>
  <si>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</si>
  <si>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</si>
  <si>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</si>
  <si>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</si>
  <si>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</si>
  <si>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</si>
  <si>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</si>
  <si>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</si>
  <si>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</si>
  <si>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</si>
  <si>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</si>
  <si>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</si>
  <si>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</si>
  <si>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</si>
  <si>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</si>
  <si>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</si>
  <si>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</si>
  <si>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</si>
  <si>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</si>
  <si>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</si>
  <si>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</si>
  <si>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</si>
  <si>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</si>
  <si>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</si>
  <si>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</si>
  <si>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</si>
  <si>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</si>
  <si>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</si>
  <si>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</si>
  <si>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</si>
  <si>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</si>
  <si>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</si>
  <si>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</si>
  <si>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</si>
  <si>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</si>
  <si>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descrição</t>
  </si>
  <si>
    <t>nome</t>
  </si>
  <si>
    <t>Val</t>
  </si>
  <si>
    <t>Equivalente a</t>
  </si>
  <si>
    <t>ABNT</t>
  </si>
  <si>
    <t>000 Translate Classe 5</t>
  </si>
  <si>
    <t>Prof. José Luis Menegotto - DEG/POLI/UFRJ</t>
  </si>
  <si>
    <t>Explanation</t>
  </si>
  <si>
    <t>Idioma</t>
  </si>
  <si>
    <t>pt</t>
  </si>
  <si>
    <t>es</t>
  </si>
  <si>
    <t>en</t>
  </si>
  <si>
    <t>Advertência</t>
  </si>
  <si>
    <t>Aviso</t>
  </si>
  <si>
    <t>Alert</t>
  </si>
  <si>
    <t>Traduções al español e inglês incorporadas. As traduções devem ser constantemente revisadas</t>
  </si>
  <si>
    <t>Agentes</t>
  </si>
  <si>
    <t>Definições de agentes</t>
  </si>
  <si>
    <t>Formalizar as classes de agentes.</t>
  </si>
  <si>
    <t>Agente.Humano</t>
  </si>
  <si>
    <t>AG-01</t>
  </si>
  <si>
    <t>AG-02</t>
  </si>
  <si>
    <t>AG-03</t>
  </si>
  <si>
    <t>Agente.Artificial</t>
  </si>
  <si>
    <t>Gherkin</t>
  </si>
  <si>
    <t>Declara a um Agente Humano</t>
  </si>
  <si>
    <t>Declara a um Agente Artificial</t>
  </si>
  <si>
    <t>é.agente.de</t>
  </si>
  <si>
    <t>"Claude"</t>
  </si>
  <si>
    <t>"Gemini"</t>
  </si>
  <si>
    <t>"ChatGPT"</t>
  </si>
  <si>
    <t>"Google DeepMind"</t>
  </si>
  <si>
    <t>"Open AI"</t>
  </si>
  <si>
    <t>"Anthropic"</t>
  </si>
  <si>
    <t>tipo</t>
  </si>
  <si>
    <t>"Multimodal"</t>
  </si>
  <si>
    <t>AG-04</t>
  </si>
  <si>
    <t>"Gherkin"</t>
  </si>
  <si>
    <t>"NLP"</t>
  </si>
  <si>
    <t>"Aslak Hellesøy"</t>
  </si>
  <si>
    <t>"Multimodal nativo"</t>
  </si>
  <si>
    <t>"Textual"</t>
  </si>
  <si>
    <t>"Opus 4.7"</t>
  </si>
  <si>
    <t>"Haiku"</t>
  </si>
  <si>
    <t>"Sonnet"</t>
  </si>
  <si>
    <t>"Agente de IA de baixo custo e capacidade limitada"</t>
  </si>
  <si>
    <t>"Agente de IA de custo médio e capacidade de produção"</t>
  </si>
  <si>
    <t>"Agente de IA de alto custo e capacidade máxima"</t>
  </si>
  <si>
    <t>"GPT 5.5 Instant"</t>
  </si>
  <si>
    <t>"Gemini 3.5"</t>
  </si>
  <si>
    <t>"Agente de IA da Google"</t>
  </si>
  <si>
    <t>"Agente de IA da Open"</t>
  </si>
  <si>
    <t>"Distribuir luminárias"</t>
  </si>
  <si>
    <t>"Verificar áreas"</t>
  </si>
  <si>
    <t>"Colocar mobiliário"</t>
  </si>
  <si>
    <t>"-"</t>
  </si>
  <si>
    <t>Declara a linguagem Gherkin, para processos BDD (Behaviour-Driven Development).</t>
  </si>
  <si>
    <t>"Linguagem de BDD Desenvolvimento Dirigido por Comportamento. Auxilia equipes a identificar erros de requisitos."</t>
  </si>
  <si>
    <t>AG-05</t>
  </si>
  <si>
    <t>AG-06</t>
  </si>
  <si>
    <t>agente.modelo.usado</t>
  </si>
  <si>
    <t>agente.finalidade</t>
  </si>
  <si>
    <t>quem.criou</t>
  </si>
  <si>
    <t>Interdisciplinar</t>
  </si>
  <si>
    <t>Conceitos</t>
  </si>
  <si>
    <t>Projeto</t>
  </si>
  <si>
    <t>Projeto_A</t>
  </si>
  <si>
    <t>"Nome do projeto"</t>
  </si>
  <si>
    <t>"Autor do projeto"</t>
  </si>
  <si>
    <t>"Projeto de arquitetura"</t>
  </si>
  <si>
    <t>etapa</t>
  </si>
  <si>
    <t>"Estudo preliminar"</t>
  </si>
  <si>
    <t>"Verificar requisitos atendidos"</t>
  </si>
  <si>
    <t>0 Val</t>
  </si>
  <si>
    <t>categoria.revit</t>
  </si>
  <si>
    <t>"[ OST_ProjectInformation : OST_ProjectBasePoint : OST_SitePoint : OST_SharedBasePoint ]"</t>
  </si>
  <si>
    <t>classe.ifc</t>
  </si>
  <si>
    <t>"[ IfcProject : IfcText : IfcLabel ]"</t>
  </si>
  <si>
    <t>código.abnt</t>
  </si>
  <si>
    <t>"[ 4U.70.10.02 ]"</t>
  </si>
  <si>
    <t>"Faculdade"</t>
  </si>
  <si>
    <t>De.Inteligência.Projetual</t>
  </si>
  <si>
    <t>Orquestações</t>
  </si>
  <si>
    <t>Projetista</t>
  </si>
  <si>
    <t>Declara um projetista humano que trabalha no projeto.</t>
  </si>
  <si>
    <t>Declara um agente artificial utilizado para o projeto.</t>
  </si>
  <si>
    <t>HU-01</t>
  </si>
  <si>
    <t>"José"</t>
  </si>
  <si>
    <t>"Arquiteto do projeto"</t>
  </si>
  <si>
    <t>HU-02</t>
  </si>
  <si>
    <t>"João"</t>
  </si>
  <si>
    <t>"Engenheiro calculista do projeto"</t>
  </si>
  <si>
    <t>"[ 1D.21.11 ]"</t>
  </si>
  <si>
    <t>"[ 1D.21.31.14 ]"</t>
  </si>
  <si>
    <t>Calculista</t>
  </si>
  <si>
    <t>Declara um idioma natural utilizado em tarefas do projeto.</t>
  </si>
  <si>
    <t>Declara uma linguagem computacional utilizada para automatizar tarefas do projeto.</t>
  </si>
  <si>
    <t>Declara um calculista humano que trabalha no projeto.</t>
  </si>
  <si>
    <t>Declara uma semântica computacional utilizada (ex. KML, OKF, etc).</t>
  </si>
  <si>
    <t>Declara uma sintaxe computacional utilizada (ex. Manchester, TTL).</t>
  </si>
  <si>
    <t>Declares to a Human Agent</t>
  </si>
  <si>
    <t>Declares to an Artificial Agent</t>
  </si>
  <si>
    <t>Declares the Gherkin language, for BDD (Behaviour-Driven Development) processes.</t>
  </si>
  <si>
    <t>Declares a computational syntax used (e.g. Manchester, TTL).</t>
  </si>
  <si>
    <t>Declares a computational semantics used (e.g. KML, OKF, etc).</t>
  </si>
  <si>
    <t>Declares a human designer working on the project.</t>
  </si>
  <si>
    <t>Declares a human calculator working on the project.</t>
  </si>
  <si>
    <t>Declares an artificial agent used for the project.</t>
  </si>
  <si>
    <t>Declares a natural language used in project tasks.</t>
  </si>
  <si>
    <t>Declares a computer language used to automate project tasks.</t>
  </si>
  <si>
    <t>Declara a un agente humano</t>
  </si>
  <si>
    <t>Declara a un agente artificial</t>
  </si>
  <si>
    <t>Declara el lenguaje Gherkin, para procesos BDD (Desarrollo Impulsado por el Comportamiento).</t>
  </si>
  <si>
    <t>Declara una sintaxis computacional utilizada (por ejemplo, Manchester, TTL).</t>
  </si>
  <si>
    <t>Declara una semántica computacional utilizada (por ejemplo, KML, OKF, etc.).</t>
  </si>
  <si>
    <t>Declara un diseñador humano que trabaja en el proyecto.</t>
  </si>
  <si>
    <t>Declara una calculadora humana trabajando en el proyecto.</t>
  </si>
  <si>
    <t>Declara un agente artificial utilizado para el proyecto.</t>
  </si>
  <si>
    <t>Declara un lenguaje natural utilizado en tareas de proyecto.</t>
  </si>
  <si>
    <t>Declara un lenguaje de ordenador utilizado para automatizar tareas de proyecto.</t>
  </si>
  <si>
    <t>Categoria Rvt</t>
  </si>
  <si>
    <t>API_Ambiente</t>
  </si>
  <si>
    <t>tema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</si>
  <si>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</si>
  <si>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</si>
  <si>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</si>
  <si>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</si>
  <si>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</si>
  <si>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</si>
  <si>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</si>
  <si>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</si>
  <si>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</si>
  <si>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</si>
  <si>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</si>
  <si>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</si>
  <si>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</si>
  <si>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</si>
  <si>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</si>
  <si>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</si>
  <si>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</si>
  <si>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</si>
  <si>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</si>
  <si>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</si>
  <si>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</si>
  <si>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</si>
  <si>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</si>
  <si>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</si>
  <si>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</si>
  <si>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</si>
  <si>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</si>
  <si>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</si>
  <si>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</si>
  <si>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</si>
  <si>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</si>
  <si>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</si>
  <si>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</si>
  <si>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</si>
  <si>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</si>
  <si>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</si>
  <si>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</si>
  <si>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</si>
  <si>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</si>
  <si>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</si>
  <si>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</si>
  <si>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</si>
  <si>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</si>
  <si>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</si>
  <si>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</si>
  <si>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</si>
  <si>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</si>
  <si>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</si>
  <si>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Interop</t>
  </si>
  <si>
    <t>é.usado.por</t>
  </si>
  <si>
    <t>Orquestra.Humana</t>
  </si>
  <si>
    <t>Orquestra.Artificial</t>
  </si>
  <si>
    <t>Agente.de.IA</t>
  </si>
  <si>
    <t>Linguagem.Computacional</t>
  </si>
  <si>
    <t>Instrumento.Computacional</t>
  </si>
  <si>
    <t>Instrumentos</t>
  </si>
  <si>
    <t>Inteligência</t>
  </si>
  <si>
    <t>Inteligências.Projetuais</t>
  </si>
  <si>
    <t>Inteligência.Humana</t>
  </si>
  <si>
    <t>Sintático</t>
  </si>
  <si>
    <t>Semântico</t>
  </si>
  <si>
    <t>Declara uma sintaxe operacional de um projeto, atividade, artefato ou negócio enquanto fatores artificiais. Sistema de códigos, p.ex.</t>
  </si>
  <si>
    <t>Declara uma semántica operacional de um projeto, atividade, artefato ou negócio enquanto fatores artificiais. Significados dos códigos, p.ex.</t>
  </si>
  <si>
    <t>Declara una sintaxis operativa de un proyecto, actividad, artefacto o negocio como factores artificiales.  Sistema de códigos, p.ej.</t>
  </si>
  <si>
    <t>Declara una semántica operativa de un proyecto, actividad, artefacto o negocio como factores artificiales. Significados de los códigos, p.ej.</t>
  </si>
  <si>
    <t>Declares an operational syntax of a project, activity, artifact, or business as artificial factors. Codes definitions.</t>
  </si>
  <si>
    <t>Declares an operational semantics of a project, activity, artifact or business as artificial factors. Codes meanings.</t>
  </si>
  <si>
    <t>Agêntica.Artificial</t>
  </si>
  <si>
    <t>Agênticas</t>
  </si>
  <si>
    <t>Gramático</t>
  </si>
  <si>
    <t>Declara una gramática computacional utilizada en sistemas e interfaces orientados por voz VUI.</t>
  </si>
  <si>
    <t>Declara uma gramática computacional utilizada em sistemas e interfaces orientados por voz VUI.</t>
  </si>
  <si>
    <t>Declares a computational grammar for VUI system or interfaces.</t>
  </si>
  <si>
    <t>Consultoria</t>
  </si>
  <si>
    <t>Declara um consultor humano que trabalha no projeto.</t>
  </si>
  <si>
    <t>Declara una consultor humano trabajando en el proyecto.</t>
  </si>
  <si>
    <t>Declares a human consulting working on the project.</t>
  </si>
  <si>
    <t>Declara uma gramática operacional de um projeto, atividade, artefato ou negócio enquanto fatores artificiais em sistemas e interfaces VUI. Estruturação de processo.</t>
  </si>
  <si>
    <t>Declara una gramática operativa de un proyecto, actividad, artefacto o negocio como factores artificiales en sistemas e interfaces VUI. Estructura el proceso.</t>
  </si>
  <si>
    <t>Declares an operational grammar of a project, activity, artifact, or business as artificial factors in VUI systems and interfaces. Process structuring.</t>
  </si>
  <si>
    <t>Parâmetro
Rvt</t>
  </si>
  <si>
    <t>Classe 
IFC</t>
  </si>
  <si>
    <t>Atributo 
IFC</t>
  </si>
  <si>
    <t>Operativa.Sintática</t>
  </si>
  <si>
    <t>Operativa.Semântica</t>
  </si>
  <si>
    <t>Operativa.Gramatical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</si>
</sst>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39997558519241921"/>
        <bgColor rgb="FFFFFFCC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5" borderId="4" xfId="0" applyFont="1" applyFill="1" applyBorder="1" applyAlignment="1">
      <alignment vertical="center" wrapText="1"/>
    </xf>
    <xf numFmtId="0" fontId="2" fillId="0" borderId="0" xfId="0" applyFont="1"/>
    <xf numFmtId="0" fontId="7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1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vertical="center"/>
    </xf>
    <xf numFmtId="0" fontId="6" fillId="16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7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9" fillId="1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2" fillId="19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left" vertical="center"/>
    </xf>
    <xf numFmtId="0" fontId="4" fillId="21" borderId="4" xfId="0" applyFont="1" applyFill="1" applyBorder="1" applyAlignment="1">
      <alignment horizontal="left" vertical="center"/>
    </xf>
    <xf numFmtId="0" fontId="4" fillId="22" borderId="4" xfId="0" applyFont="1" applyFill="1" applyBorder="1" applyAlignment="1">
      <alignment horizontal="left" vertical="center"/>
    </xf>
    <xf numFmtId="0" fontId="4" fillId="23" borderId="4" xfId="0" applyFont="1" applyFill="1" applyBorder="1" applyAlignment="1">
      <alignment horizontal="left" vertical="center"/>
    </xf>
    <xf numFmtId="0" fontId="12" fillId="0" borderId="0" xfId="0" applyFont="1"/>
    <xf numFmtId="0" fontId="2" fillId="24" borderId="4" xfId="0" applyFont="1" applyFill="1" applyBorder="1" applyAlignment="1">
      <alignment vertical="center"/>
    </xf>
    <xf numFmtId="2" fontId="9" fillId="8" borderId="4" xfId="0" applyNumberFormat="1" applyFont="1" applyFill="1" applyBorder="1" applyAlignment="1">
      <alignment vertical="center"/>
    </xf>
    <xf numFmtId="1" fontId="4" fillId="10" borderId="4" xfId="0" applyNumberFormat="1" applyFont="1" applyFill="1" applyBorder="1" applyAlignment="1">
      <alignment vertical="center"/>
    </xf>
    <xf numFmtId="2" fontId="4" fillId="10" borderId="4" xfId="0" applyNumberFormat="1" applyFont="1" applyFill="1" applyBorder="1" applyAlignment="1">
      <alignment vertical="center"/>
    </xf>
    <xf numFmtId="0" fontId="4" fillId="10" borderId="4" xfId="0" applyFont="1" applyFill="1" applyBorder="1" applyAlignment="1">
      <alignment vertical="center"/>
    </xf>
    <xf numFmtId="0" fontId="6" fillId="11" borderId="4" xfId="0" applyFont="1" applyFill="1" applyBorder="1" applyAlignment="1">
      <alignment vertical="center"/>
    </xf>
    <xf numFmtId="2" fontId="9" fillId="8" borderId="4" xfId="0" applyNumberFormat="1" applyFont="1" applyFill="1" applyBorder="1" applyAlignment="1">
      <alignment horizontal="left" vertical="center"/>
    </xf>
    <xf numFmtId="0" fontId="2" fillId="25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6"/>
  <sheetViews>
    <sheetView zoomScale="265" zoomScaleNormal="265" workbookViewId="0">
      <pane ySplit="1" topLeftCell="A2" activePane="bottomLeft" state="frozen"/>
      <selection pane="bottomLeft" activeCell="B26" sqref="B26"/>
    </sheetView>
  </sheetViews>
  <sheetFormatPr defaultColWidth="9.28515625" defaultRowHeight="9" customHeight="1" x14ac:dyDescent="0.25"/>
  <cols>
    <col min="1" max="1" width="9.28515625" style="52" customWidth="1"/>
    <col min="2" max="2" width="51.7109375" style="52" bestFit="1" customWidth="1"/>
    <col min="3" max="3" width="3.42578125" style="45" bestFit="1" customWidth="1"/>
    <col min="4" max="16384" width="9.28515625" style="52"/>
  </cols>
  <sheetData>
    <row r="1" spans="1:3" ht="14.25" customHeight="1" x14ac:dyDescent="0.25">
      <c r="A1" s="17" t="s">
        <v>45</v>
      </c>
      <c r="B1" s="17" t="s">
        <v>46</v>
      </c>
      <c r="C1" s="43" t="s">
        <v>83</v>
      </c>
    </row>
    <row r="2" spans="1:3" ht="9" customHeight="1" x14ac:dyDescent="0.25">
      <c r="A2" s="18" t="s">
        <v>47</v>
      </c>
      <c r="B2" s="18" t="s">
        <v>48</v>
      </c>
      <c r="C2" s="44" t="s">
        <v>84</v>
      </c>
    </row>
    <row r="3" spans="1:3" ht="9" customHeight="1" x14ac:dyDescent="0.25">
      <c r="A3" s="18" t="s">
        <v>49</v>
      </c>
      <c r="B3" s="18" t="s">
        <v>91</v>
      </c>
      <c r="C3" s="44" t="s">
        <v>84</v>
      </c>
    </row>
    <row r="4" spans="1:3" ht="9" customHeight="1" x14ac:dyDescent="0.25">
      <c r="A4" s="19" t="s">
        <v>50</v>
      </c>
      <c r="B4" s="19" t="s">
        <v>33</v>
      </c>
      <c r="C4" s="44" t="s">
        <v>84</v>
      </c>
    </row>
    <row r="5" spans="1:3" ht="9" customHeight="1" x14ac:dyDescent="0.25">
      <c r="A5" s="19" t="s">
        <v>51</v>
      </c>
      <c r="B5" s="19" t="str">
        <f>_xlfn.CONCAT(B4,"Prop")</f>
        <v>BIMProp</v>
      </c>
      <c r="C5" s="44" t="s">
        <v>84</v>
      </c>
    </row>
    <row r="6" spans="1:3" ht="9" customHeight="1" x14ac:dyDescent="0.25">
      <c r="A6" s="19" t="s">
        <v>52</v>
      </c>
      <c r="B6" s="19" t="str">
        <f>_xlfn.CONCAT(B4,"Data")</f>
        <v>BIMData</v>
      </c>
      <c r="C6" s="44" t="s">
        <v>84</v>
      </c>
    </row>
    <row r="7" spans="1:3" ht="9" customHeight="1" x14ac:dyDescent="0.25">
      <c r="A7" s="19" t="s">
        <v>53</v>
      </c>
      <c r="B7" s="19" t="s">
        <v>54</v>
      </c>
      <c r="C7" s="44" t="s">
        <v>84</v>
      </c>
    </row>
    <row r="8" spans="1:3" ht="9" customHeight="1" x14ac:dyDescent="0.25">
      <c r="A8" s="19" t="s">
        <v>55</v>
      </c>
      <c r="B8" s="19" t="s">
        <v>81</v>
      </c>
      <c r="C8" s="44" t="s">
        <v>84</v>
      </c>
    </row>
    <row r="9" spans="1:3" ht="9" customHeight="1" x14ac:dyDescent="0.25">
      <c r="A9" s="19" t="s">
        <v>56</v>
      </c>
      <c r="B9" s="19" t="s">
        <v>57</v>
      </c>
      <c r="C9" s="44" t="s">
        <v>84</v>
      </c>
    </row>
    <row r="10" spans="1:3" ht="9" customHeight="1" x14ac:dyDescent="0.25">
      <c r="A10" s="19" t="s">
        <v>58</v>
      </c>
      <c r="B10" s="19" t="s">
        <v>59</v>
      </c>
      <c r="C10" s="44" t="s">
        <v>84</v>
      </c>
    </row>
    <row r="11" spans="1:3" ht="9" customHeight="1" x14ac:dyDescent="0.25">
      <c r="A11" s="19" t="s">
        <v>60</v>
      </c>
      <c r="B11" s="19" t="s">
        <v>59</v>
      </c>
      <c r="C11" s="44" t="s">
        <v>84</v>
      </c>
    </row>
    <row r="12" spans="1:3" ht="9" customHeight="1" x14ac:dyDescent="0.25">
      <c r="A12" s="19" t="s">
        <v>61</v>
      </c>
      <c r="B12" s="19" t="s">
        <v>59</v>
      </c>
      <c r="C12" s="44" t="s">
        <v>84</v>
      </c>
    </row>
    <row r="13" spans="1:3" ht="9" customHeight="1" x14ac:dyDescent="0.25">
      <c r="A13" s="19" t="s">
        <v>62</v>
      </c>
      <c r="B13" s="19" t="s">
        <v>59</v>
      </c>
      <c r="C13" s="44" t="s">
        <v>84</v>
      </c>
    </row>
    <row r="14" spans="1:3" ht="9" customHeight="1" x14ac:dyDescent="0.25">
      <c r="A14" s="19" t="s">
        <v>63</v>
      </c>
      <c r="B14" s="19" t="s">
        <v>59</v>
      </c>
      <c r="C14" s="44" t="s">
        <v>84</v>
      </c>
    </row>
    <row r="15" spans="1:3" ht="9" customHeight="1" x14ac:dyDescent="0.25">
      <c r="A15" s="19" t="s">
        <v>64</v>
      </c>
      <c r="B15" s="19" t="s">
        <v>59</v>
      </c>
      <c r="C15" s="44" t="s">
        <v>84</v>
      </c>
    </row>
    <row r="16" spans="1:3" ht="9" customHeight="1" x14ac:dyDescent="0.25">
      <c r="A16" s="19" t="s">
        <v>65</v>
      </c>
      <c r="B16" s="19" t="s">
        <v>59</v>
      </c>
      <c r="C16" s="44" t="s">
        <v>84</v>
      </c>
    </row>
    <row r="17" spans="1:3" ht="9" customHeight="1" x14ac:dyDescent="0.25">
      <c r="A17" s="19" t="s">
        <v>66</v>
      </c>
      <c r="B17" s="19" t="s">
        <v>92</v>
      </c>
      <c r="C17" s="44" t="s">
        <v>84</v>
      </c>
    </row>
    <row r="18" spans="1:3" ht="9" customHeight="1" x14ac:dyDescent="0.25">
      <c r="A18" s="19" t="s">
        <v>67</v>
      </c>
      <c r="B18" s="20">
        <f ca="1">NOW()</f>
        <v>46274.512839236108</v>
      </c>
      <c r="C18" s="44" t="s">
        <v>84</v>
      </c>
    </row>
    <row r="19" spans="1:3" ht="9" customHeight="1" x14ac:dyDescent="0.25">
      <c r="A19" s="19" t="s">
        <v>87</v>
      </c>
      <c r="B19" s="20" t="s">
        <v>90</v>
      </c>
      <c r="C19" s="44" t="s">
        <v>84</v>
      </c>
    </row>
    <row r="20" spans="1:3" ht="9" customHeight="1" x14ac:dyDescent="0.25">
      <c r="A20" s="19" t="s">
        <v>88</v>
      </c>
      <c r="B20" s="20" t="str">
        <f>_xlfn.TRANSLATE(B19,"pt","es")</f>
        <v>Traducciones al español e inglés incorporadas. Las traducciones deben revisarse constantemente</v>
      </c>
      <c r="C20" s="44" t="s">
        <v>85</v>
      </c>
    </row>
    <row r="21" spans="1:3" ht="9" customHeight="1" x14ac:dyDescent="0.25">
      <c r="A21" s="19" t="s">
        <v>89</v>
      </c>
      <c r="B21" s="20" t="str">
        <f>_xlfn.TRANSLATE(B19,"pt","es")</f>
        <v>Traducciones al español e inglés incorporadas. Las traducciones deben revisarse constantemente</v>
      </c>
      <c r="C21" s="44" t="s">
        <v>86</v>
      </c>
    </row>
    <row r="22" spans="1:3" ht="9" customHeight="1" x14ac:dyDescent="0.25">
      <c r="A22" s="19" t="s">
        <v>68</v>
      </c>
      <c r="B22" s="19" t="s">
        <v>59</v>
      </c>
      <c r="C22" s="44" t="s">
        <v>84</v>
      </c>
    </row>
    <row r="23" spans="1:3" ht="9" customHeight="1" x14ac:dyDescent="0.25">
      <c r="A23" s="19" t="s">
        <v>69</v>
      </c>
      <c r="B23" s="19" t="s">
        <v>59</v>
      </c>
      <c r="C23" s="44" t="s">
        <v>84</v>
      </c>
    </row>
    <row r="24" spans="1:3" ht="9" customHeight="1" x14ac:dyDescent="0.25">
      <c r="A24" s="19" t="s">
        <v>70</v>
      </c>
      <c r="B24" s="21" t="s">
        <v>93</v>
      </c>
      <c r="C24" s="44" t="s">
        <v>84</v>
      </c>
    </row>
    <row r="25" spans="1:3" ht="9" customHeight="1" x14ac:dyDescent="0.25">
      <c r="A25" s="19" t="s">
        <v>71</v>
      </c>
      <c r="B25" s="21" t="str">
        <f>_xlfn.TRANSLATE(B24,"pt","es")</f>
        <v>Formaliza las clases para agentes.</v>
      </c>
      <c r="C25" s="44" t="s">
        <v>85</v>
      </c>
    </row>
    <row r="26" spans="1:3" ht="9" customHeight="1" x14ac:dyDescent="0.25">
      <c r="A26" s="19" t="s">
        <v>82</v>
      </c>
      <c r="B26" s="21" t="str">
        <f>_xlfn.TRANSLATE(B24,"pt","en")</f>
        <v>Formalize agent classes.</v>
      </c>
      <c r="C26" s="44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D21"/>
  <sheetViews>
    <sheetView tabSelected="1" zoomScale="205" zoomScaleNormal="205" workbookViewId="0">
      <pane ySplit="1" topLeftCell="A8" activePane="bottomLeft" state="frozen"/>
      <selection pane="bottomLeft" activeCell="F16" sqref="F16"/>
    </sheetView>
  </sheetViews>
  <sheetFormatPr defaultColWidth="9.140625" defaultRowHeight="8.25" customHeight="1" x14ac:dyDescent="0.2"/>
  <cols>
    <col min="1" max="1" width="3" style="2" customWidth="1"/>
    <col min="2" max="2" width="5.5703125" style="13" customWidth="1"/>
    <col min="3" max="3" width="11" style="2" customWidth="1"/>
    <col min="4" max="4" width="10.85546875" style="13" customWidth="1"/>
    <col min="5" max="5" width="12.28515625" style="2" customWidth="1"/>
    <col min="6" max="6" width="11.7109375" style="13" customWidth="1"/>
    <col min="7" max="11" width="7.85546875" style="13" customWidth="1"/>
    <col min="12" max="12" width="11.42578125" style="13" customWidth="1"/>
    <col min="13" max="13" width="10.5703125" style="12" customWidth="1"/>
    <col min="14" max="14" width="12.42578125" style="2" customWidth="1"/>
    <col min="15" max="15" width="11.140625" style="2" customWidth="1"/>
    <col min="16" max="16" width="65.28515625" style="13" customWidth="1"/>
    <col min="17" max="17" width="64.140625" style="13" customWidth="1"/>
    <col min="18" max="18" width="57.85546875" style="2" customWidth="1"/>
    <col min="19" max="19" width="4.85546875" style="12" customWidth="1"/>
    <col min="20" max="20" width="11.85546875" style="2" customWidth="1"/>
    <col min="21" max="21" width="10" style="13" customWidth="1"/>
    <col min="22" max="22" width="12.42578125" style="2" customWidth="1"/>
    <col min="23" max="23" width="8" style="13" customWidth="1"/>
    <col min="24" max="24" width="7.28515625" style="51" customWidth="1"/>
    <col min="25" max="27" width="5" style="32" customWidth="1"/>
    <col min="28" max="28" width="5" style="31" customWidth="1"/>
    <col min="29" max="30" width="5" style="51" customWidth="1"/>
    <col min="31" max="16384" width="9.140625" style="2"/>
  </cols>
  <sheetData>
    <row r="1" spans="1:30" s="28" customFormat="1" ht="39.950000000000003" customHeight="1" x14ac:dyDescent="0.25">
      <c r="A1" s="26">
        <v>0</v>
      </c>
      <c r="B1" s="27" t="s">
        <v>43</v>
      </c>
      <c r="C1" s="27" t="s">
        <v>41</v>
      </c>
      <c r="D1" s="27" t="s">
        <v>42</v>
      </c>
      <c r="E1" s="27" t="s">
        <v>40</v>
      </c>
      <c r="F1" s="27" t="s">
        <v>37</v>
      </c>
      <c r="G1" s="54" t="s">
        <v>0</v>
      </c>
      <c r="H1" s="54" t="s">
        <v>1</v>
      </c>
      <c r="I1" s="54" t="s">
        <v>2</v>
      </c>
      <c r="J1" s="54" t="s">
        <v>3</v>
      </c>
      <c r="K1" s="54" t="s">
        <v>4</v>
      </c>
      <c r="L1" s="16" t="s">
        <v>5</v>
      </c>
      <c r="M1" s="16" t="s">
        <v>6</v>
      </c>
      <c r="N1" s="16" t="s">
        <v>7</v>
      </c>
      <c r="O1" s="16" t="s">
        <v>8</v>
      </c>
      <c r="P1" s="16" t="s">
        <v>38</v>
      </c>
      <c r="Q1" s="16" t="s">
        <v>44</v>
      </c>
      <c r="R1" s="42" t="s">
        <v>80</v>
      </c>
      <c r="S1" s="76" t="s">
        <v>246</v>
      </c>
      <c r="T1" s="16" t="s">
        <v>34</v>
      </c>
      <c r="U1" s="16" t="s">
        <v>39</v>
      </c>
      <c r="V1" s="16" t="s">
        <v>36</v>
      </c>
      <c r="W1" s="16" t="s">
        <v>35</v>
      </c>
      <c r="X1" s="49" t="s">
        <v>9</v>
      </c>
      <c r="Y1" s="30" t="s">
        <v>195</v>
      </c>
      <c r="Z1" s="30" t="s">
        <v>278</v>
      </c>
      <c r="AA1" s="30" t="s">
        <v>279</v>
      </c>
      <c r="AB1" s="30" t="s">
        <v>280</v>
      </c>
      <c r="AC1" s="30" t="s">
        <v>79</v>
      </c>
      <c r="AD1" s="30" t="s">
        <v>239</v>
      </c>
    </row>
    <row r="2" spans="1:30" customFormat="1" ht="7.5" customHeight="1" x14ac:dyDescent="0.25">
      <c r="A2" s="33">
        <v>2</v>
      </c>
      <c r="B2" s="74" t="s">
        <v>139</v>
      </c>
      <c r="C2" s="74" t="s">
        <v>156</v>
      </c>
      <c r="D2" s="74" t="s">
        <v>157</v>
      </c>
      <c r="E2" s="74" t="s">
        <v>248</v>
      </c>
      <c r="F2" s="34" t="s">
        <v>94</v>
      </c>
      <c r="G2" s="53" t="s">
        <v>10</v>
      </c>
      <c r="H2" s="53" t="s">
        <v>10</v>
      </c>
      <c r="I2" s="53" t="s">
        <v>10</v>
      </c>
      <c r="J2" s="53" t="s">
        <v>10</v>
      </c>
      <c r="K2" s="53" t="s">
        <v>10</v>
      </c>
      <c r="L2" s="35" t="str">
        <f t="shared" ref="L2" si="0">CONCATENATE("", C2)</f>
        <v>De.Inteligência.Projetual</v>
      </c>
      <c r="M2" s="35" t="str">
        <f t="shared" ref="M2" si="1">CONCATENATE("", D2)</f>
        <v>Orquestações</v>
      </c>
      <c r="N2" s="35" t="str">
        <f t="shared" ref="N2:O2" si="2">(SUBSTITUTE(SUBSTITUTE(CONCATENATE("",E2),"."," ")," De "," de "))</f>
        <v>Orquestra Humana</v>
      </c>
      <c r="O2" s="35" t="str">
        <f t="shared" si="2"/>
        <v>Agente Humano</v>
      </c>
      <c r="P2" s="36" t="s">
        <v>100</v>
      </c>
      <c r="Q2" s="36" t="s">
        <v>185</v>
      </c>
      <c r="R2" s="36" t="s">
        <v>175</v>
      </c>
      <c r="S2" s="72" t="s">
        <v>10</v>
      </c>
      <c r="T2" s="37" t="str">
        <f t="shared" ref="T2:V20" si="3">SUBSTITUTE(C2, ".", " ")</f>
        <v>De Inteligência Projetual</v>
      </c>
      <c r="U2" s="37" t="str">
        <f t="shared" si="3"/>
        <v>Orquestações</v>
      </c>
      <c r="V2" s="37" t="str">
        <f t="shared" si="3"/>
        <v>Orquestra Humana</v>
      </c>
      <c r="W2" s="36" t="s">
        <v>138</v>
      </c>
      <c r="X2" s="50" t="str">
        <f t="shared" ref="X2:X21" si="4">CONCATENATE("Key-AGEN-",A2)</f>
        <v>Key-AGEN-2</v>
      </c>
      <c r="Y2" s="58" t="s">
        <v>10</v>
      </c>
      <c r="Z2" s="58" t="s">
        <v>10</v>
      </c>
      <c r="AA2" s="58" t="s">
        <v>10</v>
      </c>
      <c r="AB2" s="58" t="s">
        <v>10</v>
      </c>
      <c r="AC2" s="58" t="s">
        <v>10</v>
      </c>
      <c r="AD2" s="58" t="s">
        <v>10</v>
      </c>
    </row>
    <row r="3" spans="1:30" customFormat="1" ht="7.5" customHeight="1" x14ac:dyDescent="0.25">
      <c r="A3" s="33">
        <v>3</v>
      </c>
      <c r="B3" s="74" t="s">
        <v>139</v>
      </c>
      <c r="C3" s="74" t="s">
        <v>156</v>
      </c>
      <c r="D3" s="74" t="s">
        <v>157</v>
      </c>
      <c r="E3" s="74" t="s">
        <v>249</v>
      </c>
      <c r="F3" s="34" t="s">
        <v>98</v>
      </c>
      <c r="G3" s="53" t="s">
        <v>10</v>
      </c>
      <c r="H3" s="53" t="s">
        <v>10</v>
      </c>
      <c r="I3" s="53" t="s">
        <v>10</v>
      </c>
      <c r="J3" s="53" t="s">
        <v>10</v>
      </c>
      <c r="K3" s="53" t="s">
        <v>10</v>
      </c>
      <c r="L3" s="35" t="str">
        <f t="shared" ref="L3:M6" si="5">CONCATENATE("", C3)</f>
        <v>De.Inteligência.Projetual</v>
      </c>
      <c r="M3" s="35" t="str">
        <f t="shared" si="5"/>
        <v>Orquestações</v>
      </c>
      <c r="N3" s="35" t="str">
        <f t="shared" ref="N3:O6" si="6">(SUBSTITUTE(SUBSTITUTE(CONCATENATE("",E3),"."," ")," De "," de "))</f>
        <v>Orquestra Artificial</v>
      </c>
      <c r="O3" s="35" t="str">
        <f t="shared" si="6"/>
        <v>Agente Artificial</v>
      </c>
      <c r="P3" s="36" t="s">
        <v>101</v>
      </c>
      <c r="Q3" s="36" t="s">
        <v>186</v>
      </c>
      <c r="R3" s="36" t="s">
        <v>176</v>
      </c>
      <c r="S3" s="72" t="s">
        <v>10</v>
      </c>
      <c r="T3" s="37" t="str">
        <f t="shared" si="3"/>
        <v>De Inteligência Projetual</v>
      </c>
      <c r="U3" s="37" t="str">
        <f t="shared" si="3"/>
        <v>Orquestações</v>
      </c>
      <c r="V3" s="37" t="str">
        <f t="shared" si="3"/>
        <v>Orquestra Artificial</v>
      </c>
      <c r="W3" s="36" t="s">
        <v>138</v>
      </c>
      <c r="X3" s="50" t="str">
        <f t="shared" si="4"/>
        <v>Key-AGEN-3</v>
      </c>
      <c r="Y3" s="58" t="s">
        <v>10</v>
      </c>
      <c r="Z3" s="58" t="s">
        <v>10</v>
      </c>
      <c r="AA3" s="58" t="s">
        <v>10</v>
      </c>
      <c r="AB3" s="58" t="s">
        <v>10</v>
      </c>
      <c r="AC3" s="58" t="s">
        <v>10</v>
      </c>
      <c r="AD3" s="58" t="s">
        <v>10</v>
      </c>
    </row>
    <row r="4" spans="1:30" customFormat="1" ht="7.5" customHeight="1" x14ac:dyDescent="0.25">
      <c r="A4" s="33">
        <v>4</v>
      </c>
      <c r="B4" s="74" t="s">
        <v>139</v>
      </c>
      <c r="C4" s="74" t="s">
        <v>156</v>
      </c>
      <c r="D4" s="74" t="s">
        <v>253</v>
      </c>
      <c r="E4" s="74" t="s">
        <v>252</v>
      </c>
      <c r="F4" s="34" t="s">
        <v>99</v>
      </c>
      <c r="G4" s="53" t="s">
        <v>10</v>
      </c>
      <c r="H4" s="53" t="s">
        <v>10</v>
      </c>
      <c r="I4" s="53" t="s">
        <v>10</v>
      </c>
      <c r="J4" s="53" t="s">
        <v>10</v>
      </c>
      <c r="K4" s="53" t="s">
        <v>10</v>
      </c>
      <c r="L4" s="35" t="str">
        <f t="shared" si="5"/>
        <v>De.Inteligência.Projetual</v>
      </c>
      <c r="M4" s="35" t="str">
        <f t="shared" si="5"/>
        <v>Instrumentos</v>
      </c>
      <c r="N4" s="35" t="str">
        <f t="shared" si="6"/>
        <v>Instrumento Computacional</v>
      </c>
      <c r="O4" s="35" t="str">
        <f t="shared" si="6"/>
        <v>Gherkin</v>
      </c>
      <c r="P4" s="36" t="s">
        <v>131</v>
      </c>
      <c r="Q4" s="36" t="s">
        <v>187</v>
      </c>
      <c r="R4" s="36" t="s">
        <v>177</v>
      </c>
      <c r="S4" s="72" t="s">
        <v>10</v>
      </c>
      <c r="T4" s="37" t="str">
        <f t="shared" si="3"/>
        <v>De Inteligência Projetual</v>
      </c>
      <c r="U4" s="37" t="str">
        <f t="shared" si="3"/>
        <v>Instrumentos</v>
      </c>
      <c r="V4" s="37" t="str">
        <f t="shared" si="3"/>
        <v>Instrumento Computacional</v>
      </c>
      <c r="W4" s="36" t="s">
        <v>138</v>
      </c>
      <c r="X4" s="50" t="str">
        <f t="shared" si="4"/>
        <v>Key-AGEN-4</v>
      </c>
      <c r="Y4" s="58" t="s">
        <v>10</v>
      </c>
      <c r="Z4" s="58" t="s">
        <v>10</v>
      </c>
      <c r="AA4" s="58" t="s">
        <v>10</v>
      </c>
      <c r="AB4" s="58" t="s">
        <v>10</v>
      </c>
      <c r="AC4" s="58" t="s">
        <v>10</v>
      </c>
      <c r="AD4" s="58" t="s">
        <v>10</v>
      </c>
    </row>
    <row r="5" spans="1:30" customFormat="1" ht="7.5" customHeight="1" x14ac:dyDescent="0.25">
      <c r="A5" s="33">
        <v>5</v>
      </c>
      <c r="B5" s="74" t="s">
        <v>139</v>
      </c>
      <c r="C5" s="74" t="s">
        <v>156</v>
      </c>
      <c r="D5" s="74" t="s">
        <v>253</v>
      </c>
      <c r="E5" s="74" t="s">
        <v>252</v>
      </c>
      <c r="F5" s="34" t="s">
        <v>257</v>
      </c>
      <c r="G5" s="53" t="s">
        <v>10</v>
      </c>
      <c r="H5" s="53" t="s">
        <v>10</v>
      </c>
      <c r="I5" s="53" t="s">
        <v>10</v>
      </c>
      <c r="J5" s="53" t="s">
        <v>10</v>
      </c>
      <c r="K5" s="53" t="s">
        <v>10</v>
      </c>
      <c r="L5" s="35" t="str">
        <f t="shared" si="5"/>
        <v>De.Inteligência.Projetual</v>
      </c>
      <c r="M5" s="35" t="str">
        <f t="shared" si="5"/>
        <v>Instrumentos</v>
      </c>
      <c r="N5" s="35" t="str">
        <f t="shared" si="6"/>
        <v>Instrumento Computacional</v>
      </c>
      <c r="O5" s="35" t="str">
        <f t="shared" si="6"/>
        <v>Sintático</v>
      </c>
      <c r="P5" s="36" t="s">
        <v>174</v>
      </c>
      <c r="Q5" s="36" t="s">
        <v>188</v>
      </c>
      <c r="R5" s="36" t="s">
        <v>178</v>
      </c>
      <c r="S5" s="72" t="s">
        <v>10</v>
      </c>
      <c r="T5" s="37" t="str">
        <f t="shared" si="3"/>
        <v>De Inteligência Projetual</v>
      </c>
      <c r="U5" s="37" t="str">
        <f t="shared" si="3"/>
        <v>Instrumentos</v>
      </c>
      <c r="V5" s="37" t="str">
        <f t="shared" si="3"/>
        <v>Instrumento Computacional</v>
      </c>
      <c r="W5" s="36" t="s">
        <v>138</v>
      </c>
      <c r="X5" s="50" t="str">
        <f t="shared" si="4"/>
        <v>Key-AGEN-5</v>
      </c>
      <c r="Y5" s="58" t="s">
        <v>10</v>
      </c>
      <c r="Z5" s="58" t="s">
        <v>10</v>
      </c>
      <c r="AA5" s="58" t="s">
        <v>10</v>
      </c>
      <c r="AB5" s="58" t="s">
        <v>10</v>
      </c>
      <c r="AC5" s="58" t="s">
        <v>10</v>
      </c>
      <c r="AD5" s="58" t="s">
        <v>10</v>
      </c>
    </row>
    <row r="6" spans="1:30" customFormat="1" ht="7.5" customHeight="1" x14ac:dyDescent="0.25">
      <c r="A6" s="33">
        <v>6</v>
      </c>
      <c r="B6" s="74" t="s">
        <v>139</v>
      </c>
      <c r="C6" s="74" t="s">
        <v>156</v>
      </c>
      <c r="D6" s="74" t="s">
        <v>253</v>
      </c>
      <c r="E6" s="74" t="s">
        <v>252</v>
      </c>
      <c r="F6" s="34" t="s">
        <v>258</v>
      </c>
      <c r="G6" s="53" t="s">
        <v>10</v>
      </c>
      <c r="H6" s="53" t="s">
        <v>10</v>
      </c>
      <c r="I6" s="53" t="s">
        <v>10</v>
      </c>
      <c r="J6" s="53" t="s">
        <v>10</v>
      </c>
      <c r="K6" s="53" t="s">
        <v>10</v>
      </c>
      <c r="L6" s="35" t="str">
        <f t="shared" si="5"/>
        <v>De.Inteligência.Projetual</v>
      </c>
      <c r="M6" s="35" t="str">
        <f t="shared" si="5"/>
        <v>Instrumentos</v>
      </c>
      <c r="N6" s="35" t="str">
        <f t="shared" si="6"/>
        <v>Instrumento Computacional</v>
      </c>
      <c r="O6" s="35" t="str">
        <f t="shared" si="6"/>
        <v>Semântico</v>
      </c>
      <c r="P6" s="36" t="s">
        <v>173</v>
      </c>
      <c r="Q6" s="36" t="s">
        <v>189</v>
      </c>
      <c r="R6" s="36" t="s">
        <v>179</v>
      </c>
      <c r="S6" s="72" t="s">
        <v>10</v>
      </c>
      <c r="T6" s="37" t="str">
        <f t="shared" ref="T6" si="7">SUBSTITUTE(C6, ".", " ")</f>
        <v>De Inteligência Projetual</v>
      </c>
      <c r="U6" s="37" t="str">
        <f t="shared" ref="U6" si="8">SUBSTITUTE(D6, ".", " ")</f>
        <v>Instrumentos</v>
      </c>
      <c r="V6" s="37" t="str">
        <f t="shared" ref="V6" si="9">SUBSTITUTE(E6, ".", " ")</f>
        <v>Instrumento Computacional</v>
      </c>
      <c r="W6" s="36" t="s">
        <v>138</v>
      </c>
      <c r="X6" s="50" t="str">
        <f t="shared" ref="X6" si="10">CONCATENATE("Key-AGEN-",A6)</f>
        <v>Key-AGEN-6</v>
      </c>
      <c r="Y6" s="58" t="s">
        <v>10</v>
      </c>
      <c r="Z6" s="58" t="s">
        <v>10</v>
      </c>
      <c r="AA6" s="58" t="s">
        <v>10</v>
      </c>
      <c r="AB6" s="58" t="s">
        <v>10</v>
      </c>
      <c r="AC6" s="58" t="s">
        <v>10</v>
      </c>
      <c r="AD6" s="58" t="s">
        <v>10</v>
      </c>
    </row>
    <row r="7" spans="1:30" customFormat="1" ht="7.5" customHeight="1" x14ac:dyDescent="0.25">
      <c r="A7" s="33">
        <v>7</v>
      </c>
      <c r="B7" s="74" t="s">
        <v>139</v>
      </c>
      <c r="C7" s="74" t="s">
        <v>156</v>
      </c>
      <c r="D7" s="74" t="s">
        <v>253</v>
      </c>
      <c r="E7" s="74" t="s">
        <v>252</v>
      </c>
      <c r="F7" s="34" t="s">
        <v>267</v>
      </c>
      <c r="G7" s="53" t="s">
        <v>10</v>
      </c>
      <c r="H7" s="53" t="s">
        <v>10</v>
      </c>
      <c r="I7" s="53" t="s">
        <v>10</v>
      </c>
      <c r="J7" s="53" t="s">
        <v>10</v>
      </c>
      <c r="K7" s="53" t="s">
        <v>10</v>
      </c>
      <c r="L7" s="35" t="str">
        <f t="shared" ref="L7:M12" si="11">CONCATENATE("", C7)</f>
        <v>De.Inteligência.Projetual</v>
      </c>
      <c r="M7" s="35" t="str">
        <f t="shared" ref="M7:M11" si="12">CONCATENATE("", D7)</f>
        <v>Instrumentos</v>
      </c>
      <c r="N7" s="35" t="str">
        <f t="shared" ref="N7:O12" si="13">(SUBSTITUTE(SUBSTITUTE(CONCATENATE("",E7),"."," ")," De "," de "))</f>
        <v>Instrumento Computacional</v>
      </c>
      <c r="O7" s="35" t="str">
        <f t="shared" ref="O7:O11" si="14">(SUBSTITUTE(SUBSTITUTE(CONCATENATE("",F7),"."," ")," De "," de "))</f>
        <v>Gramático</v>
      </c>
      <c r="P7" s="36" t="s">
        <v>269</v>
      </c>
      <c r="Q7" s="36" t="s">
        <v>268</v>
      </c>
      <c r="R7" s="36" t="s">
        <v>270</v>
      </c>
      <c r="S7" s="72" t="s">
        <v>10</v>
      </c>
      <c r="T7" s="37" t="str">
        <f t="shared" si="3"/>
        <v>De Inteligência Projetual</v>
      </c>
      <c r="U7" s="37" t="str">
        <f t="shared" si="3"/>
        <v>Instrumentos</v>
      </c>
      <c r="V7" s="37" t="str">
        <f t="shared" si="3"/>
        <v>Instrumento Computacional</v>
      </c>
      <c r="W7" s="36" t="s">
        <v>138</v>
      </c>
      <c r="X7" s="50" t="str">
        <f t="shared" si="4"/>
        <v>Key-AGEN-7</v>
      </c>
      <c r="Y7" s="58" t="s">
        <v>10</v>
      </c>
      <c r="Z7" s="58" t="s">
        <v>10</v>
      </c>
      <c r="AA7" s="58" t="s">
        <v>10</v>
      </c>
      <c r="AB7" s="58" t="s">
        <v>10</v>
      </c>
      <c r="AC7" s="58" t="s">
        <v>10</v>
      </c>
      <c r="AD7" s="58" t="s">
        <v>10</v>
      </c>
    </row>
    <row r="8" spans="1:30" s="39" customFormat="1" ht="7.5" customHeight="1" x14ac:dyDescent="0.25">
      <c r="A8" s="33">
        <v>8</v>
      </c>
      <c r="B8" s="74" t="s">
        <v>140</v>
      </c>
      <c r="C8" s="74" t="s">
        <v>254</v>
      </c>
      <c r="D8" s="74" t="s">
        <v>255</v>
      </c>
      <c r="E8" s="74" t="s">
        <v>256</v>
      </c>
      <c r="F8" s="34" t="s">
        <v>158</v>
      </c>
      <c r="G8" s="53" t="s">
        <v>10</v>
      </c>
      <c r="H8" s="53" t="s">
        <v>10</v>
      </c>
      <c r="I8" s="53" t="s">
        <v>10</v>
      </c>
      <c r="J8" s="53" t="s">
        <v>10</v>
      </c>
      <c r="K8" s="53" t="s">
        <v>10</v>
      </c>
      <c r="L8" s="35" t="str">
        <f t="shared" si="11"/>
        <v>Inteligência</v>
      </c>
      <c r="M8" s="35" t="str">
        <f t="shared" ref="M8:M10" si="15">CONCATENATE("", D8)</f>
        <v>Inteligências.Projetuais</v>
      </c>
      <c r="N8" s="35" t="str">
        <f t="shared" si="13"/>
        <v>Inteligência Humana</v>
      </c>
      <c r="O8" s="35" t="str">
        <f t="shared" ref="O8:O10" si="16">(SUBSTITUTE(SUBSTITUTE(CONCATENATE("",F8),"."," ")," De "," de "))</f>
        <v>Projetista</v>
      </c>
      <c r="P8" s="36" t="s">
        <v>159</v>
      </c>
      <c r="Q8" s="36" t="s">
        <v>190</v>
      </c>
      <c r="R8" s="36" t="s">
        <v>180</v>
      </c>
      <c r="S8" s="72" t="s">
        <v>10</v>
      </c>
      <c r="T8" s="37" t="str">
        <f t="shared" si="3"/>
        <v>Inteligência</v>
      </c>
      <c r="U8" s="37" t="str">
        <f t="shared" si="3"/>
        <v>Inteligências Projetuais</v>
      </c>
      <c r="V8" s="37" t="str">
        <f t="shared" si="3"/>
        <v>Inteligência Humana</v>
      </c>
      <c r="W8" s="36" t="s">
        <v>138</v>
      </c>
      <c r="X8" s="50" t="str">
        <f t="shared" si="4"/>
        <v>Key-AGEN-8</v>
      </c>
      <c r="Y8" s="58" t="s">
        <v>10</v>
      </c>
      <c r="Z8" s="58" t="s">
        <v>10</v>
      </c>
      <c r="AA8" s="58" t="s">
        <v>10</v>
      </c>
      <c r="AB8" s="58" t="s">
        <v>10</v>
      </c>
      <c r="AC8" s="58" t="s">
        <v>10</v>
      </c>
      <c r="AD8" s="58" t="s">
        <v>10</v>
      </c>
    </row>
    <row r="9" spans="1:30" s="39" customFormat="1" ht="7.5" customHeight="1" x14ac:dyDescent="0.25">
      <c r="A9" s="33">
        <v>9</v>
      </c>
      <c r="B9" s="74" t="s">
        <v>140</v>
      </c>
      <c r="C9" s="74" t="s">
        <v>254</v>
      </c>
      <c r="D9" s="74" t="s">
        <v>255</v>
      </c>
      <c r="E9" s="74" t="s">
        <v>256</v>
      </c>
      <c r="F9" s="34" t="s">
        <v>169</v>
      </c>
      <c r="G9" s="53" t="s">
        <v>10</v>
      </c>
      <c r="H9" s="53" t="s">
        <v>10</v>
      </c>
      <c r="I9" s="53" t="s">
        <v>10</v>
      </c>
      <c r="J9" s="53" t="s">
        <v>10</v>
      </c>
      <c r="K9" s="53" t="s">
        <v>10</v>
      </c>
      <c r="L9" s="35" t="str">
        <f t="shared" si="11"/>
        <v>Inteligência</v>
      </c>
      <c r="M9" s="35" t="str">
        <f t="shared" si="15"/>
        <v>Inteligências.Projetuais</v>
      </c>
      <c r="N9" s="35" t="str">
        <f t="shared" si="13"/>
        <v>Inteligência Humana</v>
      </c>
      <c r="O9" s="35" t="str">
        <f t="shared" si="16"/>
        <v>Calculista</v>
      </c>
      <c r="P9" s="36" t="s">
        <v>172</v>
      </c>
      <c r="Q9" s="36" t="s">
        <v>191</v>
      </c>
      <c r="R9" s="36" t="s">
        <v>181</v>
      </c>
      <c r="S9" s="72" t="s">
        <v>10</v>
      </c>
      <c r="T9" s="37" t="str">
        <f t="shared" ref="T9:T10" si="17">SUBSTITUTE(C9, ".", " ")</f>
        <v>Inteligência</v>
      </c>
      <c r="U9" s="37" t="str">
        <f t="shared" ref="U9:U10" si="18">SUBSTITUTE(D9, ".", " ")</f>
        <v>Inteligências Projetuais</v>
      </c>
      <c r="V9" s="37" t="str">
        <f t="shared" ref="V9:V10" si="19">SUBSTITUTE(E9, ".", " ")</f>
        <v>Inteligência Humana</v>
      </c>
      <c r="W9" s="36" t="s">
        <v>138</v>
      </c>
      <c r="X9" s="50" t="str">
        <f t="shared" ref="X9:X10" si="20">CONCATENATE("Key-AGEN-",A9)</f>
        <v>Key-AGEN-9</v>
      </c>
      <c r="Y9" s="58" t="s">
        <v>10</v>
      </c>
      <c r="Z9" s="58" t="s">
        <v>10</v>
      </c>
      <c r="AA9" s="58" t="s">
        <v>10</v>
      </c>
      <c r="AB9" s="58" t="s">
        <v>10</v>
      </c>
      <c r="AC9" s="58" t="s">
        <v>10</v>
      </c>
      <c r="AD9" s="58" t="s">
        <v>10</v>
      </c>
    </row>
    <row r="10" spans="1:30" s="39" customFormat="1" ht="7.5" customHeight="1" x14ac:dyDescent="0.25">
      <c r="A10" s="33">
        <v>10</v>
      </c>
      <c r="B10" s="74" t="s">
        <v>140</v>
      </c>
      <c r="C10" s="74" t="s">
        <v>254</v>
      </c>
      <c r="D10" s="74" t="s">
        <v>255</v>
      </c>
      <c r="E10" s="74" t="s">
        <v>256</v>
      </c>
      <c r="F10" s="34" t="s">
        <v>271</v>
      </c>
      <c r="G10" s="53" t="s">
        <v>10</v>
      </c>
      <c r="H10" s="53" t="s">
        <v>10</v>
      </c>
      <c r="I10" s="53" t="s">
        <v>10</v>
      </c>
      <c r="J10" s="53" t="s">
        <v>10</v>
      </c>
      <c r="K10" s="53" t="s">
        <v>10</v>
      </c>
      <c r="L10" s="35" t="str">
        <f t="shared" si="11"/>
        <v>Inteligência</v>
      </c>
      <c r="M10" s="35" t="str">
        <f t="shared" si="15"/>
        <v>Inteligências.Projetuais</v>
      </c>
      <c r="N10" s="35" t="str">
        <f t="shared" si="13"/>
        <v>Inteligência Humana</v>
      </c>
      <c r="O10" s="35" t="str">
        <f t="shared" si="16"/>
        <v>Consultoria</v>
      </c>
      <c r="P10" s="36" t="s">
        <v>272</v>
      </c>
      <c r="Q10" s="36" t="s">
        <v>273</v>
      </c>
      <c r="R10" s="36" t="s">
        <v>274</v>
      </c>
      <c r="S10" s="72" t="s">
        <v>10</v>
      </c>
      <c r="T10" s="37" t="str">
        <f t="shared" si="17"/>
        <v>Inteligência</v>
      </c>
      <c r="U10" s="37" t="str">
        <f t="shared" si="18"/>
        <v>Inteligências Projetuais</v>
      </c>
      <c r="V10" s="37" t="str">
        <f t="shared" si="19"/>
        <v>Inteligência Humana</v>
      </c>
      <c r="W10" s="36" t="s">
        <v>138</v>
      </c>
      <c r="X10" s="50" t="str">
        <f t="shared" si="20"/>
        <v>Key-AGEN-10</v>
      </c>
      <c r="Y10" s="58" t="s">
        <v>10</v>
      </c>
      <c r="Z10" s="58" t="s">
        <v>10</v>
      </c>
      <c r="AA10" s="58" t="s">
        <v>10</v>
      </c>
      <c r="AB10" s="58" t="s">
        <v>10</v>
      </c>
      <c r="AC10" s="58" t="s">
        <v>10</v>
      </c>
      <c r="AD10" s="58" t="s">
        <v>10</v>
      </c>
    </row>
    <row r="11" spans="1:30" s="39" customFormat="1" ht="7.5" customHeight="1" x14ac:dyDescent="0.25">
      <c r="A11" s="33">
        <v>11</v>
      </c>
      <c r="B11" s="74" t="s">
        <v>140</v>
      </c>
      <c r="C11" s="74" t="s">
        <v>254</v>
      </c>
      <c r="D11" s="74" t="s">
        <v>255</v>
      </c>
      <c r="E11" s="74" t="s">
        <v>256</v>
      </c>
      <c r="F11" s="34" t="s">
        <v>83</v>
      </c>
      <c r="G11" s="53" t="s">
        <v>10</v>
      </c>
      <c r="H11" s="53" t="s">
        <v>10</v>
      </c>
      <c r="I11" s="53" t="s">
        <v>10</v>
      </c>
      <c r="J11" s="53" t="s">
        <v>10</v>
      </c>
      <c r="K11" s="53" t="s">
        <v>10</v>
      </c>
      <c r="L11" s="35" t="str">
        <f t="shared" ref="L11" si="21">CONCATENATE("", C11)</f>
        <v>Inteligência</v>
      </c>
      <c r="M11" s="35" t="str">
        <f t="shared" si="12"/>
        <v>Inteligências.Projetuais</v>
      </c>
      <c r="N11" s="35" t="str">
        <f t="shared" ref="N11" si="22">(SUBSTITUTE(SUBSTITUTE(CONCATENATE("",E11),"."," ")," De "," de "))</f>
        <v>Inteligência Humana</v>
      </c>
      <c r="O11" s="35" t="str">
        <f t="shared" si="14"/>
        <v>Idioma</v>
      </c>
      <c r="P11" s="36" t="s">
        <v>170</v>
      </c>
      <c r="Q11" s="36" t="s">
        <v>193</v>
      </c>
      <c r="R11" s="36" t="s">
        <v>183</v>
      </c>
      <c r="S11" s="72" t="s">
        <v>10</v>
      </c>
      <c r="T11" s="37" t="str">
        <f t="shared" si="3"/>
        <v>Inteligência</v>
      </c>
      <c r="U11" s="37" t="str">
        <f t="shared" si="3"/>
        <v>Inteligências Projetuais</v>
      </c>
      <c r="V11" s="37" t="str">
        <f t="shared" si="3"/>
        <v>Inteligência Humana</v>
      </c>
      <c r="W11" s="36" t="s">
        <v>138</v>
      </c>
      <c r="X11" s="50" t="str">
        <f t="shared" si="4"/>
        <v>Key-AGEN-11</v>
      </c>
      <c r="Y11" s="58" t="s">
        <v>10</v>
      </c>
      <c r="Z11" s="58" t="s">
        <v>10</v>
      </c>
      <c r="AA11" s="58" t="s">
        <v>10</v>
      </c>
      <c r="AB11" s="58" t="s">
        <v>10</v>
      </c>
      <c r="AC11" s="58" t="s">
        <v>10</v>
      </c>
      <c r="AD11" s="58" t="s">
        <v>10</v>
      </c>
    </row>
    <row r="12" spans="1:30" s="39" customFormat="1" ht="7.5" customHeight="1" x14ac:dyDescent="0.25">
      <c r="A12" s="33">
        <v>12</v>
      </c>
      <c r="B12" s="74" t="s">
        <v>140</v>
      </c>
      <c r="C12" s="74" t="s">
        <v>254</v>
      </c>
      <c r="D12" s="74" t="s">
        <v>266</v>
      </c>
      <c r="E12" s="74" t="s">
        <v>265</v>
      </c>
      <c r="F12" s="34" t="s">
        <v>250</v>
      </c>
      <c r="G12" s="53" t="s">
        <v>10</v>
      </c>
      <c r="H12" s="53" t="s">
        <v>10</v>
      </c>
      <c r="I12" s="53" t="s">
        <v>10</v>
      </c>
      <c r="J12" s="53" t="s">
        <v>10</v>
      </c>
      <c r="K12" s="53" t="s">
        <v>10</v>
      </c>
      <c r="L12" s="35" t="str">
        <f t="shared" si="11"/>
        <v>Inteligência</v>
      </c>
      <c r="M12" s="35" t="str">
        <f t="shared" si="11"/>
        <v>Agênticas</v>
      </c>
      <c r="N12" s="35" t="str">
        <f t="shared" si="13"/>
        <v>Agêntica Artificial</v>
      </c>
      <c r="O12" s="35" t="str">
        <f t="shared" si="13"/>
        <v>Agente de IA</v>
      </c>
      <c r="P12" s="36" t="s">
        <v>160</v>
      </c>
      <c r="Q12" s="36" t="s">
        <v>192</v>
      </c>
      <c r="R12" s="36" t="s">
        <v>182</v>
      </c>
      <c r="S12" s="72" t="s">
        <v>10</v>
      </c>
      <c r="T12" s="37" t="str">
        <f t="shared" si="3"/>
        <v>Inteligência</v>
      </c>
      <c r="U12" s="37" t="str">
        <f t="shared" si="3"/>
        <v>Agênticas</v>
      </c>
      <c r="V12" s="37" t="str">
        <f t="shared" si="3"/>
        <v>Agêntica Artificial</v>
      </c>
      <c r="W12" s="36" t="s">
        <v>138</v>
      </c>
      <c r="X12" s="50" t="str">
        <f t="shared" si="4"/>
        <v>Key-AGEN-12</v>
      </c>
      <c r="Y12" s="58" t="s">
        <v>10</v>
      </c>
      <c r="Z12" s="58" t="s">
        <v>10</v>
      </c>
      <c r="AA12" s="58" t="s">
        <v>10</v>
      </c>
      <c r="AB12" s="58" t="s">
        <v>10</v>
      </c>
      <c r="AC12" s="58" t="s">
        <v>10</v>
      </c>
      <c r="AD12" s="58" t="s">
        <v>10</v>
      </c>
    </row>
    <row r="13" spans="1:30" s="39" customFormat="1" ht="7.5" customHeight="1" x14ac:dyDescent="0.25">
      <c r="A13" s="33">
        <v>13</v>
      </c>
      <c r="B13" s="74" t="s">
        <v>140</v>
      </c>
      <c r="C13" s="74" t="s">
        <v>254</v>
      </c>
      <c r="D13" s="74" t="s">
        <v>266</v>
      </c>
      <c r="E13" s="74" t="s">
        <v>265</v>
      </c>
      <c r="F13" s="34" t="s">
        <v>251</v>
      </c>
      <c r="G13" s="53" t="s">
        <v>10</v>
      </c>
      <c r="H13" s="53" t="s">
        <v>10</v>
      </c>
      <c r="I13" s="53" t="s">
        <v>10</v>
      </c>
      <c r="J13" s="53" t="s">
        <v>10</v>
      </c>
      <c r="K13" s="53" t="s">
        <v>10</v>
      </c>
      <c r="L13" s="35" t="str">
        <f t="shared" ref="L13:L16" si="23">CONCATENATE("", C13)</f>
        <v>Inteligência</v>
      </c>
      <c r="M13" s="35" t="str">
        <f t="shared" ref="M13:M16" si="24">CONCATENATE("", D13)</f>
        <v>Agênticas</v>
      </c>
      <c r="N13" s="35" t="str">
        <f t="shared" ref="N13:N16" si="25">(SUBSTITUTE(SUBSTITUTE(CONCATENATE("",E13),"."," ")," De "," de "))</f>
        <v>Agêntica Artificial</v>
      </c>
      <c r="O13" s="35" t="str">
        <f t="shared" ref="O13:O16" si="26">(SUBSTITUTE(SUBSTITUTE(CONCATENATE("",F13),"."," ")," De "," de "))</f>
        <v>Linguagem Computacional</v>
      </c>
      <c r="P13" s="36" t="s">
        <v>171</v>
      </c>
      <c r="Q13" s="36" t="s">
        <v>194</v>
      </c>
      <c r="R13" s="36" t="s">
        <v>184</v>
      </c>
      <c r="S13" s="72" t="s">
        <v>10</v>
      </c>
      <c r="T13" s="37" t="str">
        <f t="shared" si="3"/>
        <v>Inteligência</v>
      </c>
      <c r="U13" s="37" t="str">
        <f t="shared" si="3"/>
        <v>Agênticas</v>
      </c>
      <c r="V13" s="37" t="str">
        <f t="shared" si="3"/>
        <v>Agêntica Artificial</v>
      </c>
      <c r="W13" s="36" t="s">
        <v>138</v>
      </c>
      <c r="X13" s="50" t="str">
        <f t="shared" si="4"/>
        <v>Key-AGEN-13</v>
      </c>
      <c r="Y13" s="58" t="s">
        <v>10</v>
      </c>
      <c r="Z13" s="58" t="s">
        <v>10</v>
      </c>
      <c r="AA13" s="58" t="s">
        <v>10</v>
      </c>
      <c r="AB13" s="58" t="s">
        <v>10</v>
      </c>
      <c r="AC13" s="58" t="s">
        <v>10</v>
      </c>
      <c r="AD13" s="58" t="s">
        <v>10</v>
      </c>
    </row>
    <row r="14" spans="1:30" customFormat="1" ht="7.5" customHeight="1" x14ac:dyDescent="0.25">
      <c r="A14" s="33">
        <v>14</v>
      </c>
      <c r="B14" s="74" t="s">
        <v>140</v>
      </c>
      <c r="C14" s="74" t="s">
        <v>254</v>
      </c>
      <c r="D14" s="74" t="s">
        <v>266</v>
      </c>
      <c r="E14" s="74" t="s">
        <v>265</v>
      </c>
      <c r="F14" s="34" t="s">
        <v>281</v>
      </c>
      <c r="G14" s="53" t="s">
        <v>10</v>
      </c>
      <c r="H14" s="53" t="s">
        <v>10</v>
      </c>
      <c r="I14" s="53" t="s">
        <v>10</v>
      </c>
      <c r="J14" s="53" t="s">
        <v>10</v>
      </c>
      <c r="K14" s="53" t="s">
        <v>10</v>
      </c>
      <c r="L14" s="35" t="str">
        <f t="shared" si="23"/>
        <v>Inteligência</v>
      </c>
      <c r="M14" s="35" t="str">
        <f t="shared" si="24"/>
        <v>Agênticas</v>
      </c>
      <c r="N14" s="35" t="str">
        <f t="shared" si="25"/>
        <v>Agêntica Artificial</v>
      </c>
      <c r="O14" s="35" t="str">
        <f t="shared" si="26"/>
        <v>Operativa Sintática</v>
      </c>
      <c r="P14" s="36" t="s">
        <v>259</v>
      </c>
      <c r="Q14" s="36" t="s">
        <v>261</v>
      </c>
      <c r="R14" s="36" t="s">
        <v>263</v>
      </c>
      <c r="S14" s="72" t="s">
        <v>10</v>
      </c>
      <c r="T14" s="37" t="str">
        <f t="shared" si="3"/>
        <v>Inteligência</v>
      </c>
      <c r="U14" s="37" t="str">
        <f t="shared" si="3"/>
        <v>Agênticas</v>
      </c>
      <c r="V14" s="37" t="str">
        <f t="shared" si="3"/>
        <v>Agêntica Artificial</v>
      </c>
      <c r="W14" s="36" t="s">
        <v>138</v>
      </c>
      <c r="X14" s="50" t="str">
        <f t="shared" si="4"/>
        <v>Key-AGEN-14</v>
      </c>
      <c r="Y14" s="58" t="s">
        <v>10</v>
      </c>
      <c r="Z14" s="58" t="s">
        <v>10</v>
      </c>
      <c r="AA14" s="58" t="s">
        <v>10</v>
      </c>
      <c r="AB14" s="58" t="s">
        <v>10</v>
      </c>
      <c r="AC14" s="58" t="s">
        <v>10</v>
      </c>
      <c r="AD14" s="58" t="s">
        <v>10</v>
      </c>
    </row>
    <row r="15" spans="1:30" customFormat="1" ht="7.5" customHeight="1" x14ac:dyDescent="0.25">
      <c r="A15" s="33">
        <v>15</v>
      </c>
      <c r="B15" s="74" t="s">
        <v>140</v>
      </c>
      <c r="C15" s="74" t="s">
        <v>254</v>
      </c>
      <c r="D15" s="74" t="s">
        <v>266</v>
      </c>
      <c r="E15" s="74" t="s">
        <v>265</v>
      </c>
      <c r="F15" s="34" t="s">
        <v>282</v>
      </c>
      <c r="G15" s="53" t="s">
        <v>10</v>
      </c>
      <c r="H15" s="53" t="s">
        <v>10</v>
      </c>
      <c r="I15" s="53" t="s">
        <v>10</v>
      </c>
      <c r="J15" s="53" t="s">
        <v>10</v>
      </c>
      <c r="K15" s="53" t="s">
        <v>10</v>
      </c>
      <c r="L15" s="35" t="str">
        <f t="shared" ref="L15" si="27">CONCATENATE("", C15)</f>
        <v>Inteligência</v>
      </c>
      <c r="M15" s="35" t="str">
        <f t="shared" ref="M15" si="28">CONCATENATE("", D15)</f>
        <v>Agênticas</v>
      </c>
      <c r="N15" s="35" t="str">
        <f t="shared" ref="N15" si="29">(SUBSTITUTE(SUBSTITUTE(CONCATENATE("",E15),"."," ")," De "," de "))</f>
        <v>Agêntica Artificial</v>
      </c>
      <c r="O15" s="35" t="str">
        <f t="shared" ref="O15" si="30">(SUBSTITUTE(SUBSTITUTE(CONCATENATE("",F15),"."," ")," De "," de "))</f>
        <v>Operativa Semântica</v>
      </c>
      <c r="P15" s="36" t="s">
        <v>260</v>
      </c>
      <c r="Q15" s="36" t="s">
        <v>262</v>
      </c>
      <c r="R15" s="36" t="s">
        <v>264</v>
      </c>
      <c r="S15" s="72" t="s">
        <v>10</v>
      </c>
      <c r="T15" s="37" t="str">
        <f t="shared" ref="T15" si="31">SUBSTITUTE(C15, ".", " ")</f>
        <v>Inteligência</v>
      </c>
      <c r="U15" s="37" t="str">
        <f t="shared" ref="U15" si="32">SUBSTITUTE(D15, ".", " ")</f>
        <v>Agênticas</v>
      </c>
      <c r="V15" s="37" t="str">
        <f t="shared" ref="V15" si="33">SUBSTITUTE(E15, ".", " ")</f>
        <v>Agêntica Artificial</v>
      </c>
      <c r="W15" s="36" t="s">
        <v>138</v>
      </c>
      <c r="X15" s="50" t="str">
        <f t="shared" ref="X15" si="34">CONCATENATE("Key-AGEN-",A15)</f>
        <v>Key-AGEN-15</v>
      </c>
      <c r="Y15" s="58" t="s">
        <v>10</v>
      </c>
      <c r="Z15" s="58" t="s">
        <v>10</v>
      </c>
      <c r="AA15" s="58" t="s">
        <v>10</v>
      </c>
      <c r="AB15" s="58" t="s">
        <v>10</v>
      </c>
      <c r="AC15" s="58" t="s">
        <v>10</v>
      </c>
      <c r="AD15" s="58" t="s">
        <v>10</v>
      </c>
    </row>
    <row r="16" spans="1:30" customFormat="1" ht="7.5" customHeight="1" x14ac:dyDescent="0.25">
      <c r="A16" s="33">
        <v>16</v>
      </c>
      <c r="B16" s="74" t="s">
        <v>140</v>
      </c>
      <c r="C16" s="74" t="s">
        <v>254</v>
      </c>
      <c r="D16" s="74" t="s">
        <v>266</v>
      </c>
      <c r="E16" s="74" t="s">
        <v>265</v>
      </c>
      <c r="F16" s="34" t="s">
        <v>283</v>
      </c>
      <c r="G16" s="53" t="s">
        <v>10</v>
      </c>
      <c r="H16" s="53" t="s">
        <v>10</v>
      </c>
      <c r="I16" s="53" t="s">
        <v>10</v>
      </c>
      <c r="J16" s="53" t="s">
        <v>10</v>
      </c>
      <c r="K16" s="53" t="s">
        <v>10</v>
      </c>
      <c r="L16" s="35" t="str">
        <f t="shared" si="23"/>
        <v>Inteligência</v>
      </c>
      <c r="M16" s="35" t="str">
        <f t="shared" si="24"/>
        <v>Agênticas</v>
      </c>
      <c r="N16" s="35" t="str">
        <f t="shared" si="25"/>
        <v>Agêntica Artificial</v>
      </c>
      <c r="O16" s="35" t="str">
        <f t="shared" si="26"/>
        <v>Operativa Gramatical</v>
      </c>
      <c r="P16" s="36" t="s">
        <v>275</v>
      </c>
      <c r="Q16" s="36" t="s">
        <v>276</v>
      </c>
      <c r="R16" s="36" t="s">
        <v>277</v>
      </c>
      <c r="S16" s="72" t="s">
        <v>10</v>
      </c>
      <c r="T16" s="37" t="str">
        <f t="shared" si="3"/>
        <v>Inteligência</v>
      </c>
      <c r="U16" s="37" t="str">
        <f t="shared" si="3"/>
        <v>Agênticas</v>
      </c>
      <c r="V16" s="37" t="str">
        <f t="shared" si="3"/>
        <v>Agêntica Artificial</v>
      </c>
      <c r="W16" s="36" t="s">
        <v>138</v>
      </c>
      <c r="X16" s="50" t="str">
        <f t="shared" si="4"/>
        <v>Key-AGEN-16</v>
      </c>
      <c r="Y16" s="58" t="s">
        <v>10</v>
      </c>
      <c r="Z16" s="58" t="s">
        <v>10</v>
      </c>
      <c r="AA16" s="58" t="s">
        <v>10</v>
      </c>
      <c r="AB16" s="58" t="s">
        <v>10</v>
      </c>
      <c r="AC16" s="58" t="s">
        <v>10</v>
      </c>
      <c r="AD16" s="58" t="s">
        <v>10</v>
      </c>
    </row>
    <row r="17" spans="1:30" s="73" customFormat="1" ht="7.5" customHeight="1" x14ac:dyDescent="0.25">
      <c r="A17" s="33">
        <v>17</v>
      </c>
      <c r="B17" s="74" t="s">
        <v>240</v>
      </c>
      <c r="C17" s="75" t="s">
        <v>241</v>
      </c>
      <c r="D17" s="75" t="s">
        <v>242</v>
      </c>
      <c r="E17" s="75" t="s">
        <v>243</v>
      </c>
      <c r="F17" s="75" t="s">
        <v>219</v>
      </c>
      <c r="G17" s="53" t="s">
        <v>10</v>
      </c>
      <c r="H17" s="53" t="s">
        <v>10</v>
      </c>
      <c r="I17" s="53" t="s">
        <v>10</v>
      </c>
      <c r="J17" s="53" t="s">
        <v>10</v>
      </c>
      <c r="K17" s="53" t="s">
        <v>10</v>
      </c>
      <c r="L17" s="35" t="str">
        <f t="shared" ref="L17:M21" si="35">CONCATENATE("", C17)</f>
        <v>API.Plataforma</v>
      </c>
      <c r="M17" s="35" t="str">
        <f t="shared" si="35"/>
        <v>API.Macros</v>
      </c>
      <c r="N17" s="35" t="str">
        <f t="shared" ref="N17:O21" si="36">(SUBSTITUTE(SUBSTITUTE(CONCATENATE("",E17),"."," ")," De "," de "))</f>
        <v>API Método</v>
      </c>
      <c r="O17" s="35" t="str">
        <f t="shared" si="36"/>
        <v>Função Auxiliar</v>
      </c>
      <c r="P17" s="36" t="s">
        <v>220</v>
      </c>
      <c r="Q17" s="36" t="s">
        <v>221</v>
      </c>
      <c r="R17" s="36" t="s">
        <v>222</v>
      </c>
      <c r="S17" s="72" t="s">
        <v>10</v>
      </c>
      <c r="T17" s="37" t="str">
        <f t="shared" si="3"/>
        <v>API Plataforma</v>
      </c>
      <c r="U17" s="37" t="str">
        <f t="shared" si="3"/>
        <v>API Macros</v>
      </c>
      <c r="V17" s="37" t="str">
        <f t="shared" si="3"/>
        <v>API Método</v>
      </c>
      <c r="W17" s="36" t="s">
        <v>138</v>
      </c>
      <c r="X17" s="50" t="str">
        <f t="shared" si="4"/>
        <v>Key-AGEN-17</v>
      </c>
      <c r="Y17" s="58" t="s">
        <v>10</v>
      </c>
      <c r="Z17" s="58" t="s">
        <v>10</v>
      </c>
      <c r="AA17" s="58" t="s">
        <v>10</v>
      </c>
      <c r="AB17" s="58" t="s">
        <v>10</v>
      </c>
      <c r="AC17" s="58" t="s">
        <v>10</v>
      </c>
      <c r="AD17" s="58" t="s">
        <v>10</v>
      </c>
    </row>
    <row r="18" spans="1:30" s="73" customFormat="1" ht="7.5" customHeight="1" x14ac:dyDescent="0.25">
      <c r="A18" s="33">
        <v>18</v>
      </c>
      <c r="B18" s="74" t="s">
        <v>240</v>
      </c>
      <c r="C18" s="75" t="s">
        <v>241</v>
      </c>
      <c r="D18" s="75" t="s">
        <v>242</v>
      </c>
      <c r="E18" s="75" t="s">
        <v>243</v>
      </c>
      <c r="F18" s="75" t="s">
        <v>223</v>
      </c>
      <c r="G18" s="53" t="s">
        <v>10</v>
      </c>
      <c r="H18" s="53" t="s">
        <v>10</v>
      </c>
      <c r="I18" s="53" t="s">
        <v>10</v>
      </c>
      <c r="J18" s="53" t="s">
        <v>10</v>
      </c>
      <c r="K18" s="53" t="s">
        <v>10</v>
      </c>
      <c r="L18" s="35" t="str">
        <f t="shared" si="35"/>
        <v>API.Plataforma</v>
      </c>
      <c r="M18" s="35" t="str">
        <f t="shared" si="35"/>
        <v>API.Macros</v>
      </c>
      <c r="N18" s="35" t="str">
        <f t="shared" si="36"/>
        <v>API Método</v>
      </c>
      <c r="O18" s="35" t="str">
        <f t="shared" si="36"/>
        <v>Função Global</v>
      </c>
      <c r="P18" s="36" t="s">
        <v>224</v>
      </c>
      <c r="Q18" s="36" t="s">
        <v>225</v>
      </c>
      <c r="R18" s="36" t="s">
        <v>226</v>
      </c>
      <c r="S18" s="72" t="s">
        <v>10</v>
      </c>
      <c r="T18" s="37" t="str">
        <f t="shared" si="3"/>
        <v>API Plataforma</v>
      </c>
      <c r="U18" s="37" t="str">
        <f t="shared" si="3"/>
        <v>API Macros</v>
      </c>
      <c r="V18" s="37" t="str">
        <f t="shared" si="3"/>
        <v>API Método</v>
      </c>
      <c r="W18" s="36" t="s">
        <v>138</v>
      </c>
      <c r="X18" s="50" t="str">
        <f t="shared" si="4"/>
        <v>Key-AGEN-18</v>
      </c>
      <c r="Y18" s="58" t="s">
        <v>10</v>
      </c>
      <c r="Z18" s="58" t="s">
        <v>10</v>
      </c>
      <c r="AA18" s="58" t="s">
        <v>10</v>
      </c>
      <c r="AB18" s="58" t="s">
        <v>10</v>
      </c>
      <c r="AC18" s="58" t="s">
        <v>10</v>
      </c>
      <c r="AD18" s="58" t="s">
        <v>10</v>
      </c>
    </row>
    <row r="19" spans="1:30" s="73" customFormat="1" ht="7.5" customHeight="1" x14ac:dyDescent="0.25">
      <c r="A19" s="33">
        <v>19</v>
      </c>
      <c r="B19" s="74" t="s">
        <v>240</v>
      </c>
      <c r="C19" s="75" t="s">
        <v>241</v>
      </c>
      <c r="D19" s="75" t="s">
        <v>242</v>
      </c>
      <c r="E19" s="75" t="s">
        <v>243</v>
      </c>
      <c r="F19" s="75" t="s">
        <v>227</v>
      </c>
      <c r="G19" s="53" t="s">
        <v>10</v>
      </c>
      <c r="H19" s="53" t="s">
        <v>10</v>
      </c>
      <c r="I19" s="53" t="s">
        <v>10</v>
      </c>
      <c r="J19" s="53" t="s">
        <v>10</v>
      </c>
      <c r="K19" s="53" t="s">
        <v>10</v>
      </c>
      <c r="L19" s="35" t="str">
        <f t="shared" si="35"/>
        <v>API.Plataforma</v>
      </c>
      <c r="M19" s="35" t="str">
        <f t="shared" si="35"/>
        <v>API.Macros</v>
      </c>
      <c r="N19" s="35" t="str">
        <f t="shared" si="36"/>
        <v>API Método</v>
      </c>
      <c r="O19" s="35" t="str">
        <f t="shared" si="36"/>
        <v>Função Local</v>
      </c>
      <c r="P19" s="36" t="s">
        <v>228</v>
      </c>
      <c r="Q19" s="36" t="s">
        <v>229</v>
      </c>
      <c r="R19" s="36" t="s">
        <v>230</v>
      </c>
      <c r="S19" s="72" t="s">
        <v>10</v>
      </c>
      <c r="T19" s="37" t="str">
        <f t="shared" si="3"/>
        <v>API Plataforma</v>
      </c>
      <c r="U19" s="37" t="str">
        <f t="shared" si="3"/>
        <v>API Macros</v>
      </c>
      <c r="V19" s="37" t="str">
        <f t="shared" si="3"/>
        <v>API Método</v>
      </c>
      <c r="W19" s="36" t="s">
        <v>138</v>
      </c>
      <c r="X19" s="50" t="str">
        <f t="shared" si="4"/>
        <v>Key-AGEN-19</v>
      </c>
      <c r="Y19" s="58" t="s">
        <v>10</v>
      </c>
      <c r="Z19" s="58" t="s">
        <v>10</v>
      </c>
      <c r="AA19" s="58" t="s">
        <v>10</v>
      </c>
      <c r="AB19" s="58" t="s">
        <v>10</v>
      </c>
      <c r="AC19" s="58" t="s">
        <v>10</v>
      </c>
      <c r="AD19" s="58" t="s">
        <v>10</v>
      </c>
    </row>
    <row r="20" spans="1:30" s="73" customFormat="1" ht="7.5" customHeight="1" x14ac:dyDescent="0.25">
      <c r="A20" s="33">
        <v>20</v>
      </c>
      <c r="B20" s="74" t="s">
        <v>240</v>
      </c>
      <c r="C20" s="75" t="s">
        <v>241</v>
      </c>
      <c r="D20" s="75" t="s">
        <v>242</v>
      </c>
      <c r="E20" s="75" t="s">
        <v>243</v>
      </c>
      <c r="F20" s="75" t="s">
        <v>231</v>
      </c>
      <c r="G20" s="53" t="s">
        <v>10</v>
      </c>
      <c r="H20" s="53" t="s">
        <v>10</v>
      </c>
      <c r="I20" s="53" t="s">
        <v>10</v>
      </c>
      <c r="J20" s="53" t="s">
        <v>10</v>
      </c>
      <c r="K20" s="53" t="s">
        <v>10</v>
      </c>
      <c r="L20" s="35" t="str">
        <f t="shared" si="35"/>
        <v>API.Plataforma</v>
      </c>
      <c r="M20" s="35" t="str">
        <f t="shared" si="35"/>
        <v>API.Macros</v>
      </c>
      <c r="N20" s="35" t="str">
        <f t="shared" si="36"/>
        <v>API Método</v>
      </c>
      <c r="O20" s="35" t="str">
        <f t="shared" si="36"/>
        <v>Função Filtro</v>
      </c>
      <c r="P20" s="36" t="s">
        <v>232</v>
      </c>
      <c r="Q20" s="36" t="s">
        <v>233</v>
      </c>
      <c r="R20" s="36" t="s">
        <v>234</v>
      </c>
      <c r="S20" s="72" t="s">
        <v>10</v>
      </c>
      <c r="T20" s="37" t="str">
        <f t="shared" si="3"/>
        <v>API Plataforma</v>
      </c>
      <c r="U20" s="37" t="str">
        <f t="shared" si="3"/>
        <v>API Macros</v>
      </c>
      <c r="V20" s="37" t="str">
        <f t="shared" si="3"/>
        <v>API Método</v>
      </c>
      <c r="W20" s="36" t="s">
        <v>138</v>
      </c>
      <c r="X20" s="50" t="str">
        <f t="shared" si="4"/>
        <v>Key-AGEN-20</v>
      </c>
      <c r="Y20" s="58" t="s">
        <v>10</v>
      </c>
      <c r="Z20" s="58" t="s">
        <v>10</v>
      </c>
      <c r="AA20" s="58" t="s">
        <v>10</v>
      </c>
      <c r="AB20" s="58" t="s">
        <v>10</v>
      </c>
      <c r="AC20" s="58" t="s">
        <v>10</v>
      </c>
      <c r="AD20" s="58" t="s">
        <v>10</v>
      </c>
    </row>
    <row r="21" spans="1:30" s="73" customFormat="1" ht="7.5" customHeight="1" x14ac:dyDescent="0.25">
      <c r="A21" s="33">
        <v>21</v>
      </c>
      <c r="B21" s="74" t="s">
        <v>240</v>
      </c>
      <c r="C21" s="75" t="s">
        <v>241</v>
      </c>
      <c r="D21" s="75" t="s">
        <v>244</v>
      </c>
      <c r="E21" s="75" t="s">
        <v>245</v>
      </c>
      <c r="F21" s="75" t="s">
        <v>235</v>
      </c>
      <c r="G21" s="53" t="s">
        <v>10</v>
      </c>
      <c r="H21" s="53" t="s">
        <v>10</v>
      </c>
      <c r="I21" s="53" t="s">
        <v>10</v>
      </c>
      <c r="J21" s="53" t="s">
        <v>10</v>
      </c>
      <c r="K21" s="53" t="s">
        <v>10</v>
      </c>
      <c r="L21" s="35" t="str">
        <f t="shared" si="35"/>
        <v>API.Plataforma</v>
      </c>
      <c r="M21" s="35" t="str">
        <f t="shared" si="35"/>
        <v>API.Macros.Visuais</v>
      </c>
      <c r="N21" s="35" t="str">
        <f t="shared" si="36"/>
        <v>API Método Visual</v>
      </c>
      <c r="O21" s="35" t="str">
        <f t="shared" si="36"/>
        <v>Bloco de Código</v>
      </c>
      <c r="P21" s="36" t="s">
        <v>236</v>
      </c>
      <c r="Q21" s="36" t="s">
        <v>237</v>
      </c>
      <c r="R21" s="36" t="s">
        <v>238</v>
      </c>
      <c r="S21" s="72" t="s">
        <v>10</v>
      </c>
      <c r="T21" s="37" t="str">
        <f t="shared" ref="T21:V21" si="37">SUBSTITUTE(C21, ".", " ")</f>
        <v>API Plataforma</v>
      </c>
      <c r="U21" s="37" t="str">
        <f t="shared" si="37"/>
        <v>API Macros Visuais</v>
      </c>
      <c r="V21" s="37" t="str">
        <f t="shared" si="37"/>
        <v>API Método Visual</v>
      </c>
      <c r="W21" s="36" t="s">
        <v>138</v>
      </c>
      <c r="X21" s="50" t="str">
        <f t="shared" si="4"/>
        <v>Key-AGEN-21</v>
      </c>
      <c r="Y21" s="58" t="s">
        <v>10</v>
      </c>
      <c r="Z21" s="58" t="s">
        <v>10</v>
      </c>
      <c r="AA21" s="58" t="s">
        <v>10</v>
      </c>
      <c r="AB21" s="58" t="s">
        <v>10</v>
      </c>
      <c r="AC21" s="58" t="s">
        <v>10</v>
      </c>
      <c r="AD21" s="58" t="s">
        <v>10</v>
      </c>
    </row>
  </sheetData>
  <phoneticPr fontId="1" type="noConversion"/>
  <conditionalFormatting sqref="A2:B2 A3:A21">
    <cfRule type="cellIs" dxfId="26" priority="14" operator="equal">
      <formula>"null"</formula>
    </cfRule>
  </conditionalFormatting>
  <conditionalFormatting sqref="F2:F7 R1:R13 L3:O7 AE3:XFD7 B3:B16">
    <cfRule type="cellIs" dxfId="25" priority="98" operator="equal">
      <formula>"null"</formula>
    </cfRule>
  </conditionalFormatting>
  <conditionalFormatting sqref="F2:F7">
    <cfRule type="duplicateValues" dxfId="24" priority="723"/>
    <cfRule type="duplicateValues" dxfId="23" priority="724"/>
    <cfRule type="duplicateValues" dxfId="22" priority="725"/>
    <cfRule type="duplicateValues" dxfId="21" priority="726"/>
    <cfRule type="duplicateValues" dxfId="20" priority="727"/>
    <cfRule type="duplicateValues" dxfId="19" priority="728"/>
    <cfRule type="duplicateValues" dxfId="18" priority="729"/>
  </conditionalFormatting>
  <conditionalFormatting sqref="F5:F16">
    <cfRule type="duplicateValues" dxfId="17" priority="731"/>
  </conditionalFormatting>
  <conditionalFormatting sqref="F14:F16 L14:O16 AE14:XFD16">
    <cfRule type="cellIs" dxfId="16" priority="2" operator="equal">
      <formula>"null"</formula>
    </cfRule>
  </conditionalFormatting>
  <conditionalFormatting sqref="F14:F16">
    <cfRule type="duplicateValues" dxfId="15" priority="1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F17:F21">
    <cfRule type="duplicateValues" dxfId="7" priority="10"/>
    <cfRule type="duplicateValues" dxfId="6" priority="11"/>
  </conditionalFormatting>
  <conditionalFormatting sqref="F22:F1048576 F1:F7">
    <cfRule type="duplicateValues" dxfId="5" priority="41"/>
  </conditionalFormatting>
  <conditionalFormatting sqref="F22:F1048576 F1:F16">
    <cfRule type="duplicateValues" dxfId="4" priority="24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2"/>
  <sheetViews>
    <sheetView zoomScale="180" zoomScaleNormal="180" workbookViewId="0">
      <selection activeCell="A3" sqref="A3:XFD3"/>
    </sheetView>
  </sheetViews>
  <sheetFormatPr defaultColWidth="11.140625" defaultRowHeight="8.25" x14ac:dyDescent="0.15"/>
  <cols>
    <col min="1" max="1" width="2.5703125" style="10" bestFit="1" customWidth="1"/>
    <col min="2" max="10" width="6" style="11" bestFit="1" customWidth="1"/>
    <col min="11" max="21" width="6" style="9" bestFit="1" customWidth="1"/>
    <col min="22" max="16384" width="11.140625" style="9"/>
  </cols>
  <sheetData>
    <row r="1" spans="1:21" s="5" customFormat="1" ht="16.5" x14ac:dyDescent="0.15">
      <c r="A1" s="3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6" t="s">
        <v>32</v>
      </c>
    </row>
    <row r="2" spans="1:21" s="5" customFormat="1" ht="10.5" customHeight="1" x14ac:dyDescent="0.15">
      <c r="A2" s="7">
        <v>2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8" t="s">
        <v>10</v>
      </c>
      <c r="J2" s="8" t="s">
        <v>10</v>
      </c>
      <c r="K2" s="8" t="s">
        <v>10</v>
      </c>
      <c r="L2" s="8" t="s">
        <v>10</v>
      </c>
      <c r="M2" s="8" t="s">
        <v>10</v>
      </c>
      <c r="N2" s="8" t="s">
        <v>10</v>
      </c>
      <c r="O2" s="8" t="s">
        <v>10</v>
      </c>
      <c r="P2" s="8" t="s">
        <v>10</v>
      </c>
      <c r="Q2" s="8" t="s">
        <v>10</v>
      </c>
      <c r="R2" s="8" t="s">
        <v>10</v>
      </c>
      <c r="S2" s="8" t="s">
        <v>10</v>
      </c>
      <c r="T2" s="8" t="s">
        <v>10</v>
      </c>
      <c r="U2" s="8" t="s">
        <v>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9E44-CC41-4C47-93B0-FF411236635D}">
  <sheetPr codeName="Planilha4"/>
  <dimension ref="A1:E2"/>
  <sheetViews>
    <sheetView zoomScale="250" zoomScaleNormal="250" workbookViewId="0">
      <pane ySplit="1" topLeftCell="A2" activePane="bottomLeft" state="frozen"/>
      <selection pane="bottomLeft" activeCell="B7" sqref="B7"/>
    </sheetView>
  </sheetViews>
  <sheetFormatPr defaultRowHeight="8.4499999999999993" customHeight="1" x14ac:dyDescent="0.25"/>
  <cols>
    <col min="1" max="1" width="2.7109375" bestFit="1" customWidth="1"/>
    <col min="2" max="2" width="8.140625" customWidth="1"/>
    <col min="3" max="3" width="10.7109375" customWidth="1"/>
    <col min="4" max="4" width="8.28515625" customWidth="1"/>
    <col min="5" max="5" width="9.85546875" customWidth="1"/>
  </cols>
  <sheetData>
    <row r="1" spans="1:5" ht="18" customHeight="1" x14ac:dyDescent="0.25">
      <c r="A1" s="14">
        <v>1</v>
      </c>
      <c r="B1" s="15" t="s">
        <v>73</v>
      </c>
      <c r="C1" s="15" t="s">
        <v>78</v>
      </c>
      <c r="D1" s="15" t="s">
        <v>78</v>
      </c>
      <c r="E1" s="15" t="s">
        <v>78</v>
      </c>
    </row>
    <row r="2" spans="1:5" ht="8.4499999999999993" customHeight="1" x14ac:dyDescent="0.25">
      <c r="A2" s="25">
        <v>2</v>
      </c>
      <c r="B2" s="1" t="s">
        <v>10</v>
      </c>
      <c r="C2" s="1" t="s">
        <v>10</v>
      </c>
      <c r="D2" s="1" t="s">
        <v>10</v>
      </c>
      <c r="E2" s="1" t="s">
        <v>10</v>
      </c>
    </row>
  </sheetData>
  <conditionalFormatting sqref="A1">
    <cfRule type="cellIs" dxfId="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F343-F8A9-4565-8E75-460BD2B52D7E}">
  <sheetPr codeName="Planilha5"/>
  <dimension ref="A1:AE15"/>
  <sheetViews>
    <sheetView zoomScale="205" zoomScaleNormal="205" workbookViewId="0">
      <pane ySplit="1" topLeftCell="A2" activePane="bottomLeft" state="frozen"/>
      <selection pane="bottomLeft" activeCell="J2" sqref="J2"/>
    </sheetView>
  </sheetViews>
  <sheetFormatPr defaultColWidth="4.85546875" defaultRowHeight="7.35" customHeight="1" x14ac:dyDescent="0.25"/>
  <cols>
    <col min="1" max="1" width="2.7109375" style="48" customWidth="1"/>
    <col min="2" max="2" width="7.28515625" style="41" customWidth="1"/>
    <col min="3" max="3" width="6.7109375" style="39" customWidth="1"/>
    <col min="4" max="4" width="6.28515625" style="39" customWidth="1"/>
    <col min="5" max="5" width="5.28515625" style="39" customWidth="1"/>
    <col min="6" max="6" width="5.85546875" style="39" customWidth="1"/>
    <col min="7" max="7" width="6.85546875" style="39" customWidth="1"/>
    <col min="8" max="8" width="3.42578125" style="39" customWidth="1"/>
    <col min="9" max="9" width="8.7109375" style="39" customWidth="1"/>
    <col min="10" max="10" width="6.5703125" style="39" bestFit="1" customWidth="1"/>
    <col min="11" max="11" width="10" style="39" customWidth="1"/>
    <col min="12" max="12" width="9.42578125" style="39" customWidth="1"/>
    <col min="13" max="13" width="9.140625" style="39" customWidth="1"/>
    <col min="14" max="14" width="7.85546875" style="39" customWidth="1"/>
    <col min="15" max="15" width="13.7109375" style="39" customWidth="1"/>
    <col min="16" max="16" width="4.28515625" style="39" bestFit="1" customWidth="1"/>
    <col min="17" max="17" width="9.42578125" style="39" customWidth="1"/>
    <col min="18" max="18" width="3.140625" style="39" customWidth="1"/>
    <col min="19" max="19" width="4" style="39" bestFit="1" customWidth="1"/>
    <col min="20" max="20" width="4.140625" style="39" customWidth="1"/>
    <col min="21" max="21" width="10.7109375" style="39" customWidth="1"/>
    <col min="22" max="22" width="6.140625" style="39" customWidth="1"/>
    <col min="23" max="23" width="7.5703125" style="39" customWidth="1"/>
    <col min="24" max="24" width="5.140625" style="39" customWidth="1"/>
    <col min="25" max="25" width="48.42578125" style="39" customWidth="1"/>
    <col min="26" max="26" width="6.5703125" style="52" customWidth="1"/>
    <col min="27" max="27" width="37.85546875" style="52" customWidth="1"/>
    <col min="28" max="28" width="4.85546875" style="52" customWidth="1"/>
    <col min="29" max="29" width="14.140625" style="52" customWidth="1"/>
    <col min="30" max="30" width="5.85546875" style="39" customWidth="1"/>
    <col min="31" max="31" width="7.7109375" style="39" customWidth="1"/>
    <col min="32" max="16384" width="4.85546875" style="39"/>
  </cols>
  <sheetData>
    <row r="1" spans="1:31" ht="20.65" customHeight="1" x14ac:dyDescent="0.25">
      <c r="A1" s="46" t="s">
        <v>11</v>
      </c>
      <c r="B1" s="22" t="s">
        <v>72</v>
      </c>
      <c r="C1" s="22" t="s">
        <v>73</v>
      </c>
      <c r="D1" s="22" t="s">
        <v>74</v>
      </c>
      <c r="E1" s="22" t="s">
        <v>77</v>
      </c>
      <c r="F1" s="22" t="s">
        <v>74</v>
      </c>
      <c r="G1" s="22" t="s">
        <v>77</v>
      </c>
      <c r="H1" s="24" t="s">
        <v>74</v>
      </c>
      <c r="I1" s="22" t="s">
        <v>77</v>
      </c>
      <c r="J1" s="22" t="s">
        <v>74</v>
      </c>
      <c r="K1" s="22" t="s">
        <v>77</v>
      </c>
      <c r="L1" s="22" t="s">
        <v>74</v>
      </c>
      <c r="M1" s="22" t="s">
        <v>77</v>
      </c>
      <c r="N1" s="22" t="s">
        <v>74</v>
      </c>
      <c r="O1" s="22" t="s">
        <v>77</v>
      </c>
      <c r="P1" s="22" t="s">
        <v>74</v>
      </c>
      <c r="Q1" s="22" t="s">
        <v>77</v>
      </c>
      <c r="R1" s="22" t="s">
        <v>74</v>
      </c>
      <c r="S1" s="22" t="s">
        <v>77</v>
      </c>
      <c r="T1" s="22" t="s">
        <v>74</v>
      </c>
      <c r="U1" s="22" t="s">
        <v>77</v>
      </c>
      <c r="V1" s="22" t="s">
        <v>74</v>
      </c>
      <c r="W1" s="22" t="s">
        <v>77</v>
      </c>
      <c r="X1" s="22" t="s">
        <v>74</v>
      </c>
      <c r="Y1" s="22" t="s">
        <v>77</v>
      </c>
      <c r="Z1" s="55" t="s">
        <v>74</v>
      </c>
      <c r="AA1" s="65" t="s">
        <v>148</v>
      </c>
      <c r="AB1" s="55" t="s">
        <v>74</v>
      </c>
      <c r="AC1" s="65" t="s">
        <v>148</v>
      </c>
      <c r="AD1" s="22" t="s">
        <v>74</v>
      </c>
      <c r="AE1" s="70" t="s">
        <v>148</v>
      </c>
    </row>
    <row r="2" spans="1:31" ht="7.35" customHeight="1" x14ac:dyDescent="0.25">
      <c r="A2" s="47">
        <v>2</v>
      </c>
      <c r="B2" s="40" t="s">
        <v>141</v>
      </c>
      <c r="C2" s="34" t="s">
        <v>140</v>
      </c>
      <c r="D2" s="38" t="s">
        <v>10</v>
      </c>
      <c r="E2" s="71" t="s">
        <v>10</v>
      </c>
      <c r="F2" s="38" t="s">
        <v>10</v>
      </c>
      <c r="G2" s="71" t="s">
        <v>10</v>
      </c>
      <c r="H2" s="29" t="s">
        <v>76</v>
      </c>
      <c r="I2" s="23" t="s">
        <v>142</v>
      </c>
      <c r="J2" s="29" t="s">
        <v>137</v>
      </c>
      <c r="K2" s="23" t="s">
        <v>143</v>
      </c>
      <c r="L2" s="29" t="s">
        <v>145</v>
      </c>
      <c r="M2" s="23" t="s">
        <v>146</v>
      </c>
      <c r="N2" s="29" t="s">
        <v>10</v>
      </c>
      <c r="O2" s="23" t="s">
        <v>10</v>
      </c>
      <c r="P2" s="29" t="s">
        <v>109</v>
      </c>
      <c r="Q2" s="23" t="s">
        <v>155</v>
      </c>
      <c r="R2" s="29" t="s">
        <v>10</v>
      </c>
      <c r="S2" s="23" t="s">
        <v>10</v>
      </c>
      <c r="T2" s="29" t="s">
        <v>10</v>
      </c>
      <c r="U2" s="23" t="s">
        <v>10</v>
      </c>
      <c r="V2" s="29" t="s">
        <v>10</v>
      </c>
      <c r="W2" s="23" t="s">
        <v>10</v>
      </c>
      <c r="X2" s="29" t="s">
        <v>75</v>
      </c>
      <c r="Y2" s="23" t="s">
        <v>144</v>
      </c>
      <c r="Z2" s="56" t="s">
        <v>149</v>
      </c>
      <c r="AA2" s="66" t="s">
        <v>150</v>
      </c>
      <c r="AB2" s="56" t="s">
        <v>151</v>
      </c>
      <c r="AC2" s="67" t="s">
        <v>152</v>
      </c>
      <c r="AD2" s="57" t="s">
        <v>153</v>
      </c>
      <c r="AE2" s="23" t="s">
        <v>154</v>
      </c>
    </row>
    <row r="3" spans="1:31" ht="7.35" customHeight="1" x14ac:dyDescent="0.25">
      <c r="A3" s="47">
        <v>3</v>
      </c>
      <c r="B3" s="40" t="s">
        <v>161</v>
      </c>
      <c r="C3" s="34" t="s">
        <v>158</v>
      </c>
      <c r="D3" s="38" t="s">
        <v>102</v>
      </c>
      <c r="E3" s="71" t="s">
        <v>141</v>
      </c>
      <c r="F3" s="38" t="s">
        <v>10</v>
      </c>
      <c r="G3" s="71" t="s">
        <v>10</v>
      </c>
      <c r="H3" s="29" t="s">
        <v>76</v>
      </c>
      <c r="I3" s="23" t="s">
        <v>162</v>
      </c>
      <c r="J3" s="29" t="s">
        <v>10</v>
      </c>
      <c r="K3" s="23" t="s">
        <v>10</v>
      </c>
      <c r="L3" s="29" t="s">
        <v>10</v>
      </c>
      <c r="M3" s="23" t="s">
        <v>10</v>
      </c>
      <c r="N3" s="29" t="s">
        <v>10</v>
      </c>
      <c r="O3" s="23" t="s">
        <v>10</v>
      </c>
      <c r="P3" s="29" t="s">
        <v>10</v>
      </c>
      <c r="Q3" s="23" t="s">
        <v>10</v>
      </c>
      <c r="R3" s="29" t="s">
        <v>10</v>
      </c>
      <c r="S3" s="23" t="s">
        <v>10</v>
      </c>
      <c r="T3" s="29" t="s">
        <v>10</v>
      </c>
      <c r="U3" s="23" t="s">
        <v>10</v>
      </c>
      <c r="V3" s="29" t="s">
        <v>10</v>
      </c>
      <c r="W3" s="23" t="s">
        <v>10</v>
      </c>
      <c r="X3" s="29" t="s">
        <v>75</v>
      </c>
      <c r="Y3" s="23" t="s">
        <v>163</v>
      </c>
      <c r="Z3" s="56" t="s">
        <v>10</v>
      </c>
      <c r="AA3" s="68" t="s">
        <v>10</v>
      </c>
      <c r="AB3" s="56" t="s">
        <v>10</v>
      </c>
      <c r="AC3" s="68" t="s">
        <v>10</v>
      </c>
      <c r="AD3" s="57" t="s">
        <v>153</v>
      </c>
      <c r="AE3" s="23" t="s">
        <v>167</v>
      </c>
    </row>
    <row r="4" spans="1:31" ht="7.35" customHeight="1" x14ac:dyDescent="0.25">
      <c r="A4" s="47">
        <v>4</v>
      </c>
      <c r="B4" s="40" t="s">
        <v>164</v>
      </c>
      <c r="C4" s="34" t="s">
        <v>169</v>
      </c>
      <c r="D4" s="38" t="s">
        <v>102</v>
      </c>
      <c r="E4" s="71" t="s">
        <v>141</v>
      </c>
      <c r="F4" s="38" t="s">
        <v>10</v>
      </c>
      <c r="G4" s="71" t="s">
        <v>10</v>
      </c>
      <c r="H4" s="29" t="s">
        <v>76</v>
      </c>
      <c r="I4" s="23" t="s">
        <v>165</v>
      </c>
      <c r="J4" s="29" t="s">
        <v>10</v>
      </c>
      <c r="K4" s="23" t="s">
        <v>10</v>
      </c>
      <c r="L4" s="29" t="s">
        <v>10</v>
      </c>
      <c r="M4" s="23" t="s">
        <v>10</v>
      </c>
      <c r="N4" s="29" t="s">
        <v>10</v>
      </c>
      <c r="O4" s="23" t="s">
        <v>10</v>
      </c>
      <c r="P4" s="29" t="s">
        <v>10</v>
      </c>
      <c r="Q4" s="23" t="s">
        <v>10</v>
      </c>
      <c r="R4" s="29" t="s">
        <v>10</v>
      </c>
      <c r="S4" s="23" t="s">
        <v>10</v>
      </c>
      <c r="T4" s="29" t="s">
        <v>10</v>
      </c>
      <c r="U4" s="23" t="s">
        <v>10</v>
      </c>
      <c r="V4" s="29" t="s">
        <v>10</v>
      </c>
      <c r="W4" s="23" t="s">
        <v>10</v>
      </c>
      <c r="X4" s="29" t="s">
        <v>75</v>
      </c>
      <c r="Y4" s="23" t="s">
        <v>166</v>
      </c>
      <c r="Z4" s="56" t="s">
        <v>10</v>
      </c>
      <c r="AA4" s="68" t="s">
        <v>10</v>
      </c>
      <c r="AB4" s="56" t="s">
        <v>10</v>
      </c>
      <c r="AC4" s="68" t="s">
        <v>10</v>
      </c>
      <c r="AD4" s="57" t="s">
        <v>153</v>
      </c>
      <c r="AE4" s="23" t="s">
        <v>168</v>
      </c>
    </row>
    <row r="5" spans="1:31" ht="7.35" customHeight="1" x14ac:dyDescent="0.25">
      <c r="A5" s="47">
        <v>5</v>
      </c>
      <c r="B5" s="40" t="s">
        <v>95</v>
      </c>
      <c r="C5" s="34" t="s">
        <v>250</v>
      </c>
      <c r="D5" s="38" t="s">
        <v>102</v>
      </c>
      <c r="E5" s="71" t="s">
        <v>141</v>
      </c>
      <c r="F5" s="38" t="s">
        <v>247</v>
      </c>
      <c r="G5" s="71" t="s">
        <v>196</v>
      </c>
      <c r="H5" s="29" t="s">
        <v>76</v>
      </c>
      <c r="I5" s="23" t="s">
        <v>103</v>
      </c>
      <c r="J5" s="29" t="s">
        <v>137</v>
      </c>
      <c r="K5" s="23" t="s">
        <v>108</v>
      </c>
      <c r="L5" s="29" t="s">
        <v>135</v>
      </c>
      <c r="M5" s="23" t="s">
        <v>118</v>
      </c>
      <c r="N5" s="29" t="s">
        <v>136</v>
      </c>
      <c r="O5" s="23" t="s">
        <v>127</v>
      </c>
      <c r="P5" s="29" t="s">
        <v>109</v>
      </c>
      <c r="Q5" s="23" t="s">
        <v>116</v>
      </c>
      <c r="R5" s="29" t="s">
        <v>10</v>
      </c>
      <c r="S5" s="23" t="s">
        <v>10</v>
      </c>
      <c r="T5" s="29" t="s">
        <v>10</v>
      </c>
      <c r="U5" s="23" t="s">
        <v>10</v>
      </c>
      <c r="V5" s="29" t="s">
        <v>10</v>
      </c>
      <c r="W5" s="23" t="s">
        <v>10</v>
      </c>
      <c r="X5" s="29" t="s">
        <v>75</v>
      </c>
      <c r="Y5" s="23" t="s">
        <v>120</v>
      </c>
      <c r="Z5" s="56" t="s">
        <v>10</v>
      </c>
      <c r="AA5" s="68" t="s">
        <v>10</v>
      </c>
      <c r="AB5" s="56" t="s">
        <v>10</v>
      </c>
      <c r="AC5" s="68" t="s">
        <v>10</v>
      </c>
      <c r="AD5" s="57" t="s">
        <v>10</v>
      </c>
      <c r="AE5" s="23" t="s">
        <v>10</v>
      </c>
    </row>
    <row r="6" spans="1:31" ht="7.35" customHeight="1" x14ac:dyDescent="0.25">
      <c r="A6" s="47">
        <v>6</v>
      </c>
      <c r="B6" s="40" t="s">
        <v>96</v>
      </c>
      <c r="C6" s="34" t="s">
        <v>250</v>
      </c>
      <c r="D6" s="38" t="s">
        <v>102</v>
      </c>
      <c r="E6" s="71" t="s">
        <v>141</v>
      </c>
      <c r="F6" s="38" t="s">
        <v>247</v>
      </c>
      <c r="G6" s="71" t="s">
        <v>196</v>
      </c>
      <c r="H6" s="29" t="s">
        <v>76</v>
      </c>
      <c r="I6" s="23" t="s">
        <v>103</v>
      </c>
      <c r="J6" s="29" t="s">
        <v>137</v>
      </c>
      <c r="K6" s="23" t="s">
        <v>108</v>
      </c>
      <c r="L6" s="29" t="s">
        <v>135</v>
      </c>
      <c r="M6" s="23" t="s">
        <v>119</v>
      </c>
      <c r="N6" s="29" t="s">
        <v>136</v>
      </c>
      <c r="O6" s="23" t="s">
        <v>128</v>
      </c>
      <c r="P6" s="29" t="s">
        <v>109</v>
      </c>
      <c r="Q6" s="23" t="s">
        <v>116</v>
      </c>
      <c r="R6" s="29" t="s">
        <v>10</v>
      </c>
      <c r="S6" s="23" t="s">
        <v>10</v>
      </c>
      <c r="T6" s="29" t="s">
        <v>10</v>
      </c>
      <c r="U6" s="23" t="s">
        <v>10</v>
      </c>
      <c r="V6" s="29" t="s">
        <v>10</v>
      </c>
      <c r="W6" s="23" t="s">
        <v>10</v>
      </c>
      <c r="X6" s="29" t="s">
        <v>75</v>
      </c>
      <c r="Y6" s="23" t="s">
        <v>121</v>
      </c>
      <c r="Z6" s="56" t="s">
        <v>10</v>
      </c>
      <c r="AA6" s="68" t="s">
        <v>10</v>
      </c>
      <c r="AB6" s="56" t="s">
        <v>10</v>
      </c>
      <c r="AC6" s="68" t="s">
        <v>10</v>
      </c>
      <c r="AD6" s="57" t="s">
        <v>10</v>
      </c>
      <c r="AE6" s="23" t="s">
        <v>10</v>
      </c>
    </row>
    <row r="7" spans="1:31" ht="7.35" customHeight="1" x14ac:dyDescent="0.25">
      <c r="A7" s="47">
        <v>7</v>
      </c>
      <c r="B7" s="40" t="s">
        <v>97</v>
      </c>
      <c r="C7" s="34" t="s">
        <v>250</v>
      </c>
      <c r="D7" s="38" t="s">
        <v>102</v>
      </c>
      <c r="E7" s="71" t="s">
        <v>141</v>
      </c>
      <c r="F7" s="38" t="s">
        <v>247</v>
      </c>
      <c r="G7" s="71" t="s">
        <v>196</v>
      </c>
      <c r="H7" s="29" t="s">
        <v>76</v>
      </c>
      <c r="I7" s="23" t="s">
        <v>103</v>
      </c>
      <c r="J7" s="29" t="s">
        <v>137</v>
      </c>
      <c r="K7" s="23" t="s">
        <v>108</v>
      </c>
      <c r="L7" s="29" t="s">
        <v>135</v>
      </c>
      <c r="M7" s="23" t="s">
        <v>117</v>
      </c>
      <c r="N7" s="29" t="s">
        <v>136</v>
      </c>
      <c r="O7" s="23" t="s">
        <v>129</v>
      </c>
      <c r="P7" s="29" t="s">
        <v>109</v>
      </c>
      <c r="Q7" s="23" t="s">
        <v>116</v>
      </c>
      <c r="R7" s="29" t="s">
        <v>10</v>
      </c>
      <c r="S7" s="23" t="s">
        <v>10</v>
      </c>
      <c r="T7" s="29" t="s">
        <v>10</v>
      </c>
      <c r="U7" s="23" t="s">
        <v>10</v>
      </c>
      <c r="V7" s="29" t="s">
        <v>10</v>
      </c>
      <c r="W7" s="23" t="s">
        <v>10</v>
      </c>
      <c r="X7" s="29" t="s">
        <v>75</v>
      </c>
      <c r="Y7" s="23" t="s">
        <v>122</v>
      </c>
      <c r="Z7" s="56" t="s">
        <v>10</v>
      </c>
      <c r="AA7" s="68" t="s">
        <v>10</v>
      </c>
      <c r="AB7" s="56" t="s">
        <v>10</v>
      </c>
      <c r="AC7" s="68" t="s">
        <v>10</v>
      </c>
      <c r="AD7" s="57" t="s">
        <v>10</v>
      </c>
      <c r="AE7" s="23" t="s">
        <v>10</v>
      </c>
    </row>
    <row r="8" spans="1:31" ht="7.35" customHeight="1" x14ac:dyDescent="0.25">
      <c r="A8" s="47">
        <v>8</v>
      </c>
      <c r="B8" s="40" t="s">
        <v>111</v>
      </c>
      <c r="C8" s="34" t="s">
        <v>250</v>
      </c>
      <c r="D8" s="38" t="s">
        <v>102</v>
      </c>
      <c r="E8" s="71" t="s">
        <v>141</v>
      </c>
      <c r="F8" s="38" t="s">
        <v>247</v>
      </c>
      <c r="G8" s="71" t="s">
        <v>196</v>
      </c>
      <c r="H8" s="29" t="s">
        <v>76</v>
      </c>
      <c r="I8" s="23" t="s">
        <v>104</v>
      </c>
      <c r="J8" s="29" t="s">
        <v>137</v>
      </c>
      <c r="K8" s="23" t="s">
        <v>106</v>
      </c>
      <c r="L8" s="29" t="s">
        <v>135</v>
      </c>
      <c r="M8" s="23" t="s">
        <v>124</v>
      </c>
      <c r="N8" s="29" t="s">
        <v>136</v>
      </c>
      <c r="O8" s="23" t="s">
        <v>130</v>
      </c>
      <c r="P8" s="29" t="s">
        <v>109</v>
      </c>
      <c r="Q8" s="23" t="s">
        <v>115</v>
      </c>
      <c r="R8" s="29" t="s">
        <v>10</v>
      </c>
      <c r="S8" s="23" t="s">
        <v>10</v>
      </c>
      <c r="T8" s="29" t="s">
        <v>10</v>
      </c>
      <c r="U8" s="23" t="s">
        <v>10</v>
      </c>
      <c r="V8" s="29" t="s">
        <v>10</v>
      </c>
      <c r="W8" s="23" t="s">
        <v>10</v>
      </c>
      <c r="X8" s="29" t="s">
        <v>75</v>
      </c>
      <c r="Y8" s="23" t="s">
        <v>125</v>
      </c>
      <c r="Z8" s="56" t="s">
        <v>10</v>
      </c>
      <c r="AA8" s="68" t="s">
        <v>10</v>
      </c>
      <c r="AB8" s="56" t="s">
        <v>10</v>
      </c>
      <c r="AC8" s="68" t="s">
        <v>10</v>
      </c>
      <c r="AD8" s="57" t="s">
        <v>10</v>
      </c>
      <c r="AE8" s="23" t="s">
        <v>10</v>
      </c>
    </row>
    <row r="9" spans="1:31" ht="7.35" customHeight="1" x14ac:dyDescent="0.25">
      <c r="A9" s="47">
        <v>9</v>
      </c>
      <c r="B9" s="40" t="s">
        <v>133</v>
      </c>
      <c r="C9" s="34" t="s">
        <v>250</v>
      </c>
      <c r="D9" s="38" t="s">
        <v>102</v>
      </c>
      <c r="E9" s="71" t="s">
        <v>141</v>
      </c>
      <c r="F9" s="38" t="s">
        <v>247</v>
      </c>
      <c r="G9" s="71" t="s">
        <v>196</v>
      </c>
      <c r="H9" s="29" t="s">
        <v>76</v>
      </c>
      <c r="I9" s="23" t="s">
        <v>105</v>
      </c>
      <c r="J9" s="29" t="s">
        <v>137</v>
      </c>
      <c r="K9" s="23" t="s">
        <v>107</v>
      </c>
      <c r="L9" s="29" t="s">
        <v>135</v>
      </c>
      <c r="M9" s="23" t="s">
        <v>123</v>
      </c>
      <c r="N9" s="29" t="s">
        <v>136</v>
      </c>
      <c r="O9" s="23" t="s">
        <v>130</v>
      </c>
      <c r="P9" s="29" t="s">
        <v>109</v>
      </c>
      <c r="Q9" s="23" t="s">
        <v>110</v>
      </c>
      <c r="R9" s="29" t="s">
        <v>10</v>
      </c>
      <c r="S9" s="23" t="s">
        <v>10</v>
      </c>
      <c r="T9" s="29" t="s">
        <v>10</v>
      </c>
      <c r="U9" s="23" t="s">
        <v>10</v>
      </c>
      <c r="V9" s="29" t="s">
        <v>10</v>
      </c>
      <c r="W9" s="23" t="s">
        <v>10</v>
      </c>
      <c r="X9" s="29" t="s">
        <v>75</v>
      </c>
      <c r="Y9" s="23" t="s">
        <v>126</v>
      </c>
      <c r="Z9" s="56" t="s">
        <v>10</v>
      </c>
      <c r="AA9" s="68" t="s">
        <v>10</v>
      </c>
      <c r="AB9" s="56" t="s">
        <v>10</v>
      </c>
      <c r="AC9" s="68" t="s">
        <v>10</v>
      </c>
      <c r="AD9" s="57" t="s">
        <v>10</v>
      </c>
      <c r="AE9" s="23" t="s">
        <v>10</v>
      </c>
    </row>
    <row r="10" spans="1:31" ht="7.35" customHeight="1" x14ac:dyDescent="0.25">
      <c r="A10" s="47">
        <v>10</v>
      </c>
      <c r="B10" s="40" t="s">
        <v>134</v>
      </c>
      <c r="C10" s="34" t="s">
        <v>250</v>
      </c>
      <c r="D10" s="38" t="s">
        <v>102</v>
      </c>
      <c r="E10" s="71" t="s">
        <v>141</v>
      </c>
      <c r="F10" s="38" t="s">
        <v>247</v>
      </c>
      <c r="G10" s="71" t="s">
        <v>196</v>
      </c>
      <c r="H10" s="29" t="s">
        <v>76</v>
      </c>
      <c r="I10" s="23" t="s">
        <v>112</v>
      </c>
      <c r="J10" s="29" t="s">
        <v>137</v>
      </c>
      <c r="K10" s="23" t="s">
        <v>114</v>
      </c>
      <c r="L10" s="29" t="s">
        <v>10</v>
      </c>
      <c r="M10" s="23" t="s">
        <v>10</v>
      </c>
      <c r="N10" s="29" t="s">
        <v>136</v>
      </c>
      <c r="O10" s="23" t="s">
        <v>147</v>
      </c>
      <c r="P10" s="29" t="s">
        <v>109</v>
      </c>
      <c r="Q10" s="23" t="s">
        <v>113</v>
      </c>
      <c r="R10" s="29" t="s">
        <v>10</v>
      </c>
      <c r="S10" s="23" t="s">
        <v>10</v>
      </c>
      <c r="T10" s="29" t="s">
        <v>10</v>
      </c>
      <c r="U10" s="23" t="s">
        <v>10</v>
      </c>
      <c r="V10" s="29" t="s">
        <v>10</v>
      </c>
      <c r="W10" s="23" t="s">
        <v>10</v>
      </c>
      <c r="X10" s="29" t="s">
        <v>75</v>
      </c>
      <c r="Y10" s="23" t="s">
        <v>132</v>
      </c>
      <c r="Z10" s="56" t="s">
        <v>10</v>
      </c>
      <c r="AA10" s="68" t="s">
        <v>10</v>
      </c>
      <c r="AB10" s="56" t="s">
        <v>10</v>
      </c>
      <c r="AC10" s="68" t="s">
        <v>10</v>
      </c>
      <c r="AD10" s="57" t="s">
        <v>10</v>
      </c>
      <c r="AE10" s="23" t="s">
        <v>10</v>
      </c>
    </row>
    <row r="11" spans="1:31" s="63" customFormat="1" ht="6.75" customHeight="1" x14ac:dyDescent="0.2">
      <c r="A11" s="47">
        <v>11</v>
      </c>
      <c r="B11" s="64" t="s">
        <v>196</v>
      </c>
      <c r="C11" s="75" t="s">
        <v>231</v>
      </c>
      <c r="D11" s="59" t="s">
        <v>10</v>
      </c>
      <c r="E11" s="71" t="s">
        <v>10</v>
      </c>
      <c r="F11" s="38" t="s">
        <v>10</v>
      </c>
      <c r="G11" s="71" t="s">
        <v>10</v>
      </c>
      <c r="H11" s="29" t="s">
        <v>10</v>
      </c>
      <c r="I11" s="23" t="s">
        <v>10</v>
      </c>
      <c r="J11" s="29" t="s">
        <v>10</v>
      </c>
      <c r="K11" s="23" t="s">
        <v>10</v>
      </c>
      <c r="L11" s="29" t="s">
        <v>10</v>
      </c>
      <c r="M11" s="23" t="s">
        <v>10</v>
      </c>
      <c r="N11" s="29" t="s">
        <v>10</v>
      </c>
      <c r="O11" s="23" t="s">
        <v>10</v>
      </c>
      <c r="P11" s="29" t="s">
        <v>10</v>
      </c>
      <c r="Q11" s="23" t="s">
        <v>10</v>
      </c>
      <c r="R11" s="29" t="s">
        <v>197</v>
      </c>
      <c r="S11" s="23" t="s">
        <v>198</v>
      </c>
      <c r="T11" s="29" t="s">
        <v>199</v>
      </c>
      <c r="U11" s="23" t="s">
        <v>200</v>
      </c>
      <c r="V11" s="61" t="str">
        <f t="shared" ref="V11:V15" si="0">IF(W11="null", "null", "método.revit")</f>
        <v>método.revit</v>
      </c>
      <c r="W11" s="62" t="s">
        <v>202</v>
      </c>
      <c r="X11" s="60" t="s">
        <v>75</v>
      </c>
      <c r="Y11" s="23" t="s">
        <v>201</v>
      </c>
      <c r="Z11" s="69" t="s">
        <v>10</v>
      </c>
      <c r="AA11" s="68" t="s">
        <v>10</v>
      </c>
      <c r="AB11" s="69" t="s">
        <v>10</v>
      </c>
      <c r="AC11" s="68" t="s">
        <v>10</v>
      </c>
      <c r="AD11" s="57" t="s">
        <v>10</v>
      </c>
      <c r="AE11" s="23" t="s">
        <v>10</v>
      </c>
    </row>
    <row r="12" spans="1:31" s="63" customFormat="1" ht="6.75" customHeight="1" x14ac:dyDescent="0.2">
      <c r="A12" s="47">
        <v>12</v>
      </c>
      <c r="B12" s="64" t="s">
        <v>203</v>
      </c>
      <c r="C12" s="75" t="s">
        <v>231</v>
      </c>
      <c r="D12" s="59" t="s">
        <v>10</v>
      </c>
      <c r="E12" s="71" t="s">
        <v>10</v>
      </c>
      <c r="F12" s="38" t="s">
        <v>10</v>
      </c>
      <c r="G12" s="71" t="s">
        <v>10</v>
      </c>
      <c r="H12" s="29" t="s">
        <v>10</v>
      </c>
      <c r="I12" s="23" t="s">
        <v>10</v>
      </c>
      <c r="J12" s="29" t="s">
        <v>10</v>
      </c>
      <c r="K12" s="23" t="s">
        <v>10</v>
      </c>
      <c r="L12" s="29" t="s">
        <v>10</v>
      </c>
      <c r="M12" s="23" t="s">
        <v>10</v>
      </c>
      <c r="N12" s="29" t="s">
        <v>10</v>
      </c>
      <c r="O12" s="23" t="s">
        <v>10</v>
      </c>
      <c r="P12" s="29" t="s">
        <v>10</v>
      </c>
      <c r="Q12" s="23" t="s">
        <v>10</v>
      </c>
      <c r="R12" s="29" t="s">
        <v>197</v>
      </c>
      <c r="S12" s="23" t="s">
        <v>198</v>
      </c>
      <c r="T12" s="29" t="s">
        <v>199</v>
      </c>
      <c r="U12" s="23" t="s">
        <v>204</v>
      </c>
      <c r="V12" s="61" t="str">
        <f t="shared" si="0"/>
        <v>método.revit</v>
      </c>
      <c r="W12" s="62" t="s">
        <v>206</v>
      </c>
      <c r="X12" s="60" t="s">
        <v>75</v>
      </c>
      <c r="Y12" s="23" t="s">
        <v>205</v>
      </c>
      <c r="Z12" s="69" t="s">
        <v>10</v>
      </c>
      <c r="AA12" s="68" t="s">
        <v>10</v>
      </c>
      <c r="AB12" s="69" t="s">
        <v>10</v>
      </c>
      <c r="AC12" s="68" t="s">
        <v>10</v>
      </c>
      <c r="AD12" s="57" t="s">
        <v>10</v>
      </c>
      <c r="AE12" s="23" t="s">
        <v>10</v>
      </c>
    </row>
    <row r="13" spans="1:31" s="63" customFormat="1" ht="6.75" customHeight="1" x14ac:dyDescent="0.2">
      <c r="A13" s="47">
        <v>13</v>
      </c>
      <c r="B13" s="64" t="s">
        <v>207</v>
      </c>
      <c r="C13" s="75" t="s">
        <v>231</v>
      </c>
      <c r="D13" s="59" t="s">
        <v>10</v>
      </c>
      <c r="E13" s="71" t="s">
        <v>10</v>
      </c>
      <c r="F13" s="38" t="s">
        <v>10</v>
      </c>
      <c r="G13" s="71" t="s">
        <v>10</v>
      </c>
      <c r="H13" s="29" t="s">
        <v>10</v>
      </c>
      <c r="I13" s="23" t="s">
        <v>10</v>
      </c>
      <c r="J13" s="29" t="s">
        <v>10</v>
      </c>
      <c r="K13" s="23" t="s">
        <v>10</v>
      </c>
      <c r="L13" s="29" t="s">
        <v>10</v>
      </c>
      <c r="M13" s="23" t="s">
        <v>10</v>
      </c>
      <c r="N13" s="29" t="s">
        <v>10</v>
      </c>
      <c r="O13" s="23" t="s">
        <v>10</v>
      </c>
      <c r="P13" s="29" t="s">
        <v>10</v>
      </c>
      <c r="Q13" s="23" t="s">
        <v>10</v>
      </c>
      <c r="R13" s="29" t="s">
        <v>197</v>
      </c>
      <c r="S13" s="23" t="s">
        <v>198</v>
      </c>
      <c r="T13" s="29" t="s">
        <v>199</v>
      </c>
      <c r="U13" s="23" t="s">
        <v>208</v>
      </c>
      <c r="V13" s="61" t="str">
        <f t="shared" si="0"/>
        <v>método.revit</v>
      </c>
      <c r="W13" s="62" t="s">
        <v>210</v>
      </c>
      <c r="X13" s="60" t="s">
        <v>75</v>
      </c>
      <c r="Y13" s="23" t="s">
        <v>209</v>
      </c>
      <c r="Z13" s="69" t="s">
        <v>10</v>
      </c>
      <c r="AA13" s="68" t="s">
        <v>10</v>
      </c>
      <c r="AB13" s="69" t="s">
        <v>10</v>
      </c>
      <c r="AC13" s="68" t="s">
        <v>10</v>
      </c>
      <c r="AD13" s="57" t="s">
        <v>10</v>
      </c>
      <c r="AE13" s="23" t="s">
        <v>10</v>
      </c>
    </row>
    <row r="14" spans="1:31" s="63" customFormat="1" ht="6.75" customHeight="1" x14ac:dyDescent="0.2">
      <c r="A14" s="47">
        <v>14</v>
      </c>
      <c r="B14" s="64" t="s">
        <v>211</v>
      </c>
      <c r="C14" s="75" t="s">
        <v>231</v>
      </c>
      <c r="D14" s="59" t="s">
        <v>10</v>
      </c>
      <c r="E14" s="71" t="s">
        <v>10</v>
      </c>
      <c r="F14" s="38" t="s">
        <v>10</v>
      </c>
      <c r="G14" s="71" t="s">
        <v>10</v>
      </c>
      <c r="H14" s="29" t="s">
        <v>10</v>
      </c>
      <c r="I14" s="23" t="s">
        <v>10</v>
      </c>
      <c r="J14" s="29" t="s">
        <v>10</v>
      </c>
      <c r="K14" s="23" t="s">
        <v>10</v>
      </c>
      <c r="L14" s="29" t="s">
        <v>10</v>
      </c>
      <c r="M14" s="23" t="s">
        <v>10</v>
      </c>
      <c r="N14" s="29" t="s">
        <v>10</v>
      </c>
      <c r="O14" s="23" t="s">
        <v>10</v>
      </c>
      <c r="P14" s="29" t="s">
        <v>10</v>
      </c>
      <c r="Q14" s="23" t="s">
        <v>10</v>
      </c>
      <c r="R14" s="29" t="s">
        <v>197</v>
      </c>
      <c r="S14" s="23" t="s">
        <v>198</v>
      </c>
      <c r="T14" s="29" t="s">
        <v>199</v>
      </c>
      <c r="U14" s="23" t="s">
        <v>212</v>
      </c>
      <c r="V14" s="61" t="str">
        <f t="shared" si="0"/>
        <v>método.revit</v>
      </c>
      <c r="W14" s="62" t="s">
        <v>214</v>
      </c>
      <c r="X14" s="60" t="s">
        <v>75</v>
      </c>
      <c r="Y14" s="23" t="s">
        <v>213</v>
      </c>
      <c r="Z14" s="69" t="s">
        <v>10</v>
      </c>
      <c r="AA14" s="68" t="s">
        <v>10</v>
      </c>
      <c r="AB14" s="69" t="s">
        <v>10</v>
      </c>
      <c r="AC14" s="68" t="s">
        <v>10</v>
      </c>
      <c r="AD14" s="57" t="s">
        <v>10</v>
      </c>
      <c r="AE14" s="23" t="s">
        <v>10</v>
      </c>
    </row>
    <row r="15" spans="1:31" s="63" customFormat="1" ht="6.75" customHeight="1" x14ac:dyDescent="0.2">
      <c r="A15" s="47">
        <v>15</v>
      </c>
      <c r="B15" s="64" t="s">
        <v>215</v>
      </c>
      <c r="C15" s="75" t="s">
        <v>231</v>
      </c>
      <c r="D15" s="59" t="s">
        <v>10</v>
      </c>
      <c r="E15" s="71" t="s">
        <v>10</v>
      </c>
      <c r="F15" s="38" t="s">
        <v>10</v>
      </c>
      <c r="G15" s="71" t="s">
        <v>10</v>
      </c>
      <c r="H15" s="29" t="s">
        <v>10</v>
      </c>
      <c r="I15" s="23" t="s">
        <v>10</v>
      </c>
      <c r="J15" s="29" t="s">
        <v>10</v>
      </c>
      <c r="K15" s="23" t="s">
        <v>10</v>
      </c>
      <c r="L15" s="29" t="s">
        <v>10</v>
      </c>
      <c r="M15" s="23" t="s">
        <v>10</v>
      </c>
      <c r="N15" s="29" t="s">
        <v>10</v>
      </c>
      <c r="O15" s="23" t="s">
        <v>10</v>
      </c>
      <c r="P15" s="29" t="s">
        <v>10</v>
      </c>
      <c r="Q15" s="23" t="s">
        <v>10</v>
      </c>
      <c r="R15" s="29" t="s">
        <v>197</v>
      </c>
      <c r="S15" s="23" t="s">
        <v>198</v>
      </c>
      <c r="T15" s="29" t="s">
        <v>199</v>
      </c>
      <c r="U15" s="23" t="s">
        <v>216</v>
      </c>
      <c r="V15" s="61" t="str">
        <f t="shared" si="0"/>
        <v>método.revit</v>
      </c>
      <c r="W15" s="62" t="s">
        <v>218</v>
      </c>
      <c r="X15" s="60" t="s">
        <v>75</v>
      </c>
      <c r="Y15" s="23" t="s">
        <v>217</v>
      </c>
      <c r="Z15" s="69" t="s">
        <v>10</v>
      </c>
      <c r="AA15" s="68" t="s">
        <v>10</v>
      </c>
      <c r="AB15" s="69" t="s">
        <v>10</v>
      </c>
      <c r="AC15" s="68" t="s">
        <v>10</v>
      </c>
      <c r="AD15" s="57" t="s">
        <v>10</v>
      </c>
      <c r="AE15" s="23" t="s">
        <v>10</v>
      </c>
    </row>
  </sheetData>
  <phoneticPr fontId="1" type="noConversion"/>
  <conditionalFormatting sqref="B11:B15">
    <cfRule type="duplicateValues" dxfId="2" priority="11"/>
    <cfRule type="duplicateValues" dxfId="1" priority="12"/>
  </conditionalFormatting>
  <conditionalFormatting sqref="Z1:AE15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2026-09-09T15:18:36Z</dcterms:modified>
  <dc:language>pt-BR</dc:language>
</cp:coreProperties>
</file>