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GIR\"/>
    </mc:Choice>
  </mc:AlternateContent>
  <xr:revisionPtr revIDLastSave="0" documentId="13_ncr:1_{77522B81-AACC-48EE-B6BD-4C5551964E21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" i="9" l="1"/>
  <c r="U7" i="9"/>
  <c r="T7" i="9"/>
  <c r="S7" i="9"/>
  <c r="O7" i="9"/>
  <c r="N7" i="9"/>
  <c r="M7" i="9"/>
  <c r="L7" i="9"/>
  <c r="W6" i="9"/>
  <c r="U6" i="9"/>
  <c r="T6" i="9"/>
  <c r="S6" i="9"/>
  <c r="O6" i="9"/>
  <c r="N6" i="9"/>
  <c r="M6" i="9"/>
  <c r="L6" i="9"/>
  <c r="W3" i="9"/>
  <c r="W4" i="9"/>
  <c r="W5" i="9"/>
  <c r="U5" i="9"/>
  <c r="T5" i="9"/>
  <c r="S5" i="9"/>
  <c r="O5" i="9"/>
  <c r="N5" i="9"/>
  <c r="M5" i="9"/>
  <c r="L5" i="9"/>
  <c r="AA7" i="9"/>
  <c r="Q7" i="9"/>
  <c r="AA6" i="9"/>
  <c r="Q6" i="9"/>
  <c r="AA5" i="9"/>
  <c r="Q5" i="9"/>
  <c r="W2" i="9" l="1"/>
  <c r="U4" i="9"/>
  <c r="T4" i="9"/>
  <c r="S4" i="9"/>
  <c r="O4" i="9"/>
  <c r="N4" i="9"/>
  <c r="M4" i="9"/>
  <c r="L4" i="9"/>
  <c r="B25" i="13"/>
  <c r="Q4" i="9"/>
  <c r="S3" i="9" l="1"/>
  <c r="T3" i="9"/>
  <c r="U3" i="9"/>
  <c r="L2" i="9"/>
  <c r="M2" i="9"/>
  <c r="N2" i="9"/>
  <c r="O2" i="9"/>
  <c r="S2" i="9"/>
  <c r="T2" i="9"/>
  <c r="U2" i="9"/>
  <c r="B21" i="13" l="1"/>
  <c r="B20" i="13"/>
  <c r="B26" i="13"/>
  <c r="O3" i="9" l="1"/>
  <c r="N3" i="9"/>
  <c r="M3" i="9"/>
  <c r="L3" i="9"/>
  <c r="B18" i="13" l="1"/>
  <c r="B6" i="13"/>
  <c r="B5" i="13"/>
</calcChain>
</file>

<file path=xl/sharedStrings.xml><?xml version="1.0" encoding="utf-8"?>
<sst xmlns="http://schemas.openxmlformats.org/spreadsheetml/2006/main" count="392" uniqueCount="173">
  <si>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</si>
  <si>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</si>
  <si>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</si>
  <si>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</si>
  <si>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</si>
  <si>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</si>
  <si>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</si>
  <si>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</si>
  <si>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</si>
  <si>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</si>
  <si>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</si>
  <si>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</si>
  <si>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</si>
  <si>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</si>
  <si>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</si>
  <si>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</si>
  <si>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</si>
  <si>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</si>
  <si>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</si>
  <si>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</si>
  <si>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</si>
  <si>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</si>
  <si>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</si>
  <si>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</si>
  <si>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</si>
  <si>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</si>
  <si>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</si>
  <si>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</si>
  <si>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</si>
  <si>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</si>
  <si>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</si>
  <si>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</si>
  <si>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</si>
  <si>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</si>
  <si>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</si>
  <si>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</si>
  <si>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</si>
  <si>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</si>
  <si>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</si>
  <si>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</si>
  <si>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</si>
  <si>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</si>
  <si>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</si>
  <si>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</si>
  <si>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</si>
  <si>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</si>
  <si>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</si>
  <si>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</si>
  <si>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</si>
  <si>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</si>
  <si>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</si>
  <si>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</si>
  <si>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</si>
  <si>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</si>
  <si>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</si>
  <si>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</si>
  <si>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</si>
  <si>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</si>
  <si>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</si>
  <si>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</si>
  <si>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</si>
  <si>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</si>
  <si>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</si>
  <si>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</si>
  <si>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</si>
  <si>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</si>
  <si>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</si>
  <si>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</si>
  <si>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</si>
  <si>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</si>
  <si>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</si>
  <si>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</si>
  <si>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</si>
  <si>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</si>
  <si>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</si>
  <si>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</si>
  <si>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</si>
  <si>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</si>
  <si>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</si>
  <si>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</si>
  <si>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CategoriaRvt</t>
  </si>
  <si>
    <t>ClasseIfc</t>
  </si>
  <si>
    <t>ABNT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</si>
  <si>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</si>
  <si>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</si>
  <si>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</si>
  <si>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</si>
  <si>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</si>
  <si>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</si>
  <si>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</si>
  <si>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</si>
  <si>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</si>
  <si>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</si>
  <si>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</si>
  <si>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Agentes</t>
  </si>
  <si>
    <t>Definições de agentes</t>
  </si>
  <si>
    <t>Formalizar as classes de agentes.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</si>
  <si>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</si>
  <si>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</si>
  <si>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</si>
  <si>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</si>
  <si>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</si>
  <si>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</si>
  <si>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</si>
  <si>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</si>
  <si>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Declares to a Human Agent</t>
  </si>
  <si>
    <t>Declares to an Artificial Agent</t>
  </si>
  <si>
    <t>Declara a un agente humano</t>
  </si>
  <si>
    <t>Declara a un agente artificial</t>
  </si>
  <si>
    <t>é.agente.de</t>
  </si>
  <si>
    <t>"Claude"</t>
  </si>
  <si>
    <t>"Gemini"</t>
  </si>
  <si>
    <t>"ChatGPT"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</si>
  <si>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</si>
  <si>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</si>
  <si>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</si>
  <si>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</si>
  <si>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</si>
  <si>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</si>
  <si>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</si>
  <si>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</si>
  <si>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</si>
  <si>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</si>
  <si>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</si>
  <si>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</si>
  <si>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</si>
  <si>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</si>
  <si>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</si>
  <si>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</si>
  <si>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</si>
  <si>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</si>
  <si>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</si>
  <si>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</si>
  <si>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</si>
  <si>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Humanos</t>
  </si>
  <si>
    <t>Artificiais</t>
  </si>
  <si>
    <t>"Verificar requisitos"</t>
  </si>
  <si>
    <t>"Distribuir luminárias"</t>
  </si>
  <si>
    <t>"Verificar áreas"</t>
  </si>
  <si>
    <t>"Colocar mobiliário"</t>
  </si>
  <si>
    <t>"-"</t>
  </si>
  <si>
    <t>Declara a linguagem Gherkin, para processos BDD (Behaviour-Driven Development).</t>
  </si>
  <si>
    <t>Declares the Gherkin language, for BDD (Behaviour-Driven Development) processes.</t>
  </si>
  <si>
    <t>Linguagens</t>
  </si>
  <si>
    <t>"Linguagem de BDD Desenvolvimento Dirigido por Comportamento. Auxilia equipes a identificar erros de requisitos."</t>
  </si>
  <si>
    <t>AG-05</t>
  </si>
  <si>
    <t>AG-06</t>
  </si>
  <si>
    <t>agente.modelo.usado</t>
  </si>
  <si>
    <t>agente.finalidade</t>
  </si>
  <si>
    <t>quem.criou</t>
  </si>
  <si>
    <t>Interdisciplinar</t>
  </si>
  <si>
    <t>Conceitos</t>
  </si>
  <si>
    <t>Agênticos</t>
  </si>
  <si>
    <t>[ - ]</t>
  </si>
  <si>
    <t>agente.de</t>
  </si>
  <si>
    <t>"Projeto_A"</t>
  </si>
  <si>
    <t>Projeto</t>
  </si>
  <si>
    <t>Agente</t>
  </si>
  <si>
    <t>API</t>
  </si>
  <si>
    <t>Inteligência</t>
  </si>
  <si>
    <t>Define um agente utilizado no Projeto.</t>
  </si>
  <si>
    <t>Linguagem</t>
  </si>
  <si>
    <t>Sintaxe</t>
  </si>
  <si>
    <t>Define uma linguagem utilizada para automatizar tarefas do projeto.</t>
  </si>
  <si>
    <t>Define uma sintaxe utilizada para automatizar tarefas do projeto.</t>
  </si>
  <si>
    <t>Projeto_A</t>
  </si>
  <si>
    <t>"Nome do projeto"</t>
  </si>
  <si>
    <t>"Autor do projeto"</t>
  </si>
  <si>
    <t>"Projeto de arquitetura"</t>
  </si>
  <si>
    <t>"Escola"</t>
  </si>
  <si>
    <t>etapa</t>
  </si>
  <si>
    <t>"Estudo preliminar"</t>
  </si>
  <si>
    <t>API.Agentes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</si>
</sst>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0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vertical="center"/>
    </xf>
    <xf numFmtId="0" fontId="6" fillId="16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7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7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6" fillId="11" borderId="4" xfId="0" applyFont="1" applyFill="1" applyBorder="1" applyAlignment="1">
      <alignment horizontal="left" vertical="center" wrapText="1"/>
    </xf>
    <xf numFmtId="0" fontId="6" fillId="10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horizontal="left" vertical="center" wrapText="1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28515625" defaultRowHeight="9" customHeight="1" x14ac:dyDescent="0.25"/>
  <cols>
    <col min="1" max="1" width="9.28515625" style="54" customWidth="1"/>
    <col min="2" max="2" width="51.7109375" style="54" bestFit="1" customWidth="1"/>
    <col min="3" max="3" width="3.42578125" style="46" bestFit="1" customWidth="1"/>
    <col min="4" max="16384" width="9.28515625" style="54"/>
  </cols>
  <sheetData>
    <row r="1" spans="1:3" ht="14.25" customHeight="1" x14ac:dyDescent="0.25">
      <c r="A1" s="17" t="s">
        <v>46</v>
      </c>
      <c r="B1" s="17" t="s">
        <v>47</v>
      </c>
      <c r="C1" s="44" t="s">
        <v>86</v>
      </c>
    </row>
    <row r="2" spans="1:3" ht="9" customHeight="1" x14ac:dyDescent="0.25">
      <c r="A2" s="18" t="s">
        <v>48</v>
      </c>
      <c r="B2" s="18" t="s">
        <v>49</v>
      </c>
      <c r="C2" s="45" t="s">
        <v>87</v>
      </c>
    </row>
    <row r="3" spans="1:3" ht="9" customHeight="1" x14ac:dyDescent="0.25">
      <c r="A3" s="18" t="s">
        <v>50</v>
      </c>
      <c r="B3" s="18" t="s">
        <v>94</v>
      </c>
      <c r="C3" s="45" t="s">
        <v>87</v>
      </c>
    </row>
    <row r="4" spans="1:3" ht="9" customHeight="1" x14ac:dyDescent="0.25">
      <c r="A4" s="19" t="s">
        <v>51</v>
      </c>
      <c r="B4" s="19" t="s">
        <v>33</v>
      </c>
      <c r="C4" s="45" t="s">
        <v>87</v>
      </c>
    </row>
    <row r="5" spans="1:3" ht="9" customHeight="1" x14ac:dyDescent="0.25">
      <c r="A5" s="19" t="s">
        <v>52</v>
      </c>
      <c r="B5" s="19" t="str">
        <f>_xlfn.CONCAT(B4,"Prop")</f>
        <v>BIMProp</v>
      </c>
      <c r="C5" s="45" t="s">
        <v>87</v>
      </c>
    </row>
    <row r="6" spans="1:3" ht="9" customHeight="1" x14ac:dyDescent="0.25">
      <c r="A6" s="19" t="s">
        <v>53</v>
      </c>
      <c r="B6" s="19" t="str">
        <f>_xlfn.CONCAT(B4,"Data")</f>
        <v>BIMData</v>
      </c>
      <c r="C6" s="45" t="s">
        <v>87</v>
      </c>
    </row>
    <row r="7" spans="1:3" ht="9" customHeight="1" x14ac:dyDescent="0.25">
      <c r="A7" s="19" t="s">
        <v>54</v>
      </c>
      <c r="B7" s="19" t="s">
        <v>55</v>
      </c>
      <c r="C7" s="45" t="s">
        <v>87</v>
      </c>
    </row>
    <row r="8" spans="1:3" ht="9" customHeight="1" x14ac:dyDescent="0.25">
      <c r="A8" s="19" t="s">
        <v>56</v>
      </c>
      <c r="B8" s="19" t="s">
        <v>84</v>
      </c>
      <c r="C8" s="45" t="s">
        <v>87</v>
      </c>
    </row>
    <row r="9" spans="1:3" ht="9" customHeight="1" x14ac:dyDescent="0.25">
      <c r="A9" s="19" t="s">
        <v>57</v>
      </c>
      <c r="B9" s="19" t="s">
        <v>58</v>
      </c>
      <c r="C9" s="45" t="s">
        <v>87</v>
      </c>
    </row>
    <row r="10" spans="1:3" ht="9" customHeight="1" x14ac:dyDescent="0.25">
      <c r="A10" s="19" t="s">
        <v>59</v>
      </c>
      <c r="B10" s="19" t="s">
        <v>60</v>
      </c>
      <c r="C10" s="45" t="s">
        <v>87</v>
      </c>
    </row>
    <row r="11" spans="1:3" ht="9" customHeight="1" x14ac:dyDescent="0.25">
      <c r="A11" s="19" t="s">
        <v>61</v>
      </c>
      <c r="B11" s="19" t="s">
        <v>60</v>
      </c>
      <c r="C11" s="45" t="s">
        <v>87</v>
      </c>
    </row>
    <row r="12" spans="1:3" ht="9" customHeight="1" x14ac:dyDescent="0.25">
      <c r="A12" s="19" t="s">
        <v>62</v>
      </c>
      <c r="B12" s="19" t="s">
        <v>60</v>
      </c>
      <c r="C12" s="45" t="s">
        <v>87</v>
      </c>
    </row>
    <row r="13" spans="1:3" ht="9" customHeight="1" x14ac:dyDescent="0.25">
      <c r="A13" s="19" t="s">
        <v>63</v>
      </c>
      <c r="B13" s="19" t="s">
        <v>60</v>
      </c>
      <c r="C13" s="45" t="s">
        <v>87</v>
      </c>
    </row>
    <row r="14" spans="1:3" ht="9" customHeight="1" x14ac:dyDescent="0.25">
      <c r="A14" s="19" t="s">
        <v>64</v>
      </c>
      <c r="B14" s="19" t="s">
        <v>60</v>
      </c>
      <c r="C14" s="45" t="s">
        <v>87</v>
      </c>
    </row>
    <row r="15" spans="1:3" ht="9" customHeight="1" x14ac:dyDescent="0.25">
      <c r="A15" s="19" t="s">
        <v>65</v>
      </c>
      <c r="B15" s="19" t="s">
        <v>60</v>
      </c>
      <c r="C15" s="45" t="s">
        <v>87</v>
      </c>
    </row>
    <row r="16" spans="1:3" ht="9" customHeight="1" x14ac:dyDescent="0.25">
      <c r="A16" s="19" t="s">
        <v>66</v>
      </c>
      <c r="B16" s="19" t="s">
        <v>60</v>
      </c>
      <c r="C16" s="45" t="s">
        <v>87</v>
      </c>
    </row>
    <row r="17" spans="1:3" ht="9" customHeight="1" x14ac:dyDescent="0.25">
      <c r="A17" s="19" t="s">
        <v>67</v>
      </c>
      <c r="B17" s="19" t="s">
        <v>95</v>
      </c>
      <c r="C17" s="45" t="s">
        <v>87</v>
      </c>
    </row>
    <row r="18" spans="1:3" ht="9" customHeight="1" x14ac:dyDescent="0.25">
      <c r="A18" s="19" t="s">
        <v>68</v>
      </c>
      <c r="B18" s="20">
        <f ca="1">NOW()</f>
        <v>46244.519561111112</v>
      </c>
      <c r="C18" s="45" t="s">
        <v>87</v>
      </c>
    </row>
    <row r="19" spans="1:3" ht="9" customHeight="1" x14ac:dyDescent="0.25">
      <c r="A19" s="19" t="s">
        <v>90</v>
      </c>
      <c r="B19" s="20" t="s">
        <v>93</v>
      </c>
      <c r="C19" s="45" t="s">
        <v>87</v>
      </c>
    </row>
    <row r="20" spans="1:3" ht="9" customHeight="1" x14ac:dyDescent="0.25">
      <c r="A20" s="19" t="s">
        <v>91</v>
      </c>
      <c r="B20" s="20" t="str">
        <f>_xlfn.TRANSLATE(B19,"pt","es")</f>
        <v>Traducciones al español e inglés incorporadas. Las traducciones deben revisarse constantemente</v>
      </c>
      <c r="C20" s="45" t="s">
        <v>88</v>
      </c>
    </row>
    <row r="21" spans="1:3" ht="9" customHeight="1" x14ac:dyDescent="0.25">
      <c r="A21" s="19" t="s">
        <v>92</v>
      </c>
      <c r="B21" s="20" t="str">
        <f>_xlfn.TRANSLATE(B19,"pt","es")</f>
        <v>Traducciones al español e inglés incorporadas. Las traducciones deben revisarse constantemente</v>
      </c>
      <c r="C21" s="45" t="s">
        <v>89</v>
      </c>
    </row>
    <row r="22" spans="1:3" ht="9" customHeight="1" x14ac:dyDescent="0.25">
      <c r="A22" s="19" t="s">
        <v>69</v>
      </c>
      <c r="B22" s="19" t="s">
        <v>60</v>
      </c>
      <c r="C22" s="45" t="s">
        <v>87</v>
      </c>
    </row>
    <row r="23" spans="1:3" ht="9" customHeight="1" x14ac:dyDescent="0.25">
      <c r="A23" s="19" t="s">
        <v>70</v>
      </c>
      <c r="B23" s="19" t="s">
        <v>60</v>
      </c>
      <c r="C23" s="45" t="s">
        <v>87</v>
      </c>
    </row>
    <row r="24" spans="1:3" ht="9" customHeight="1" x14ac:dyDescent="0.25">
      <c r="A24" s="19" t="s">
        <v>71</v>
      </c>
      <c r="B24" s="21" t="s">
        <v>96</v>
      </c>
      <c r="C24" s="45" t="s">
        <v>87</v>
      </c>
    </row>
    <row r="25" spans="1:3" ht="9" customHeight="1" x14ac:dyDescent="0.25">
      <c r="A25" s="19" t="s">
        <v>72</v>
      </c>
      <c r="B25" s="21" t="str">
        <f>_xlfn.TRANSLATE(B24,"pt","es")</f>
        <v>Formaliza las clases para agentes.</v>
      </c>
      <c r="C25" s="45" t="s">
        <v>88</v>
      </c>
    </row>
    <row r="26" spans="1:3" ht="9" customHeight="1" x14ac:dyDescent="0.25">
      <c r="A26" s="19" t="s">
        <v>85</v>
      </c>
      <c r="B26" s="21" t="str">
        <f>_xlfn.TRANSLATE(B24,"pt","en")</f>
        <v>Formalize agent classes.</v>
      </c>
      <c r="C26" s="45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7"/>
  <sheetViews>
    <sheetView tabSelected="1" zoomScale="220" zoomScaleNormal="220" workbookViewId="0">
      <pane ySplit="1" topLeftCell="A2" activePane="bottomLeft" state="frozen"/>
      <selection pane="bottomLeft" activeCell="F7" sqref="F7"/>
    </sheetView>
  </sheetViews>
  <sheetFormatPr defaultColWidth="9.140625" defaultRowHeight="8.25" customHeight="1" x14ac:dyDescent="0.2"/>
  <cols>
    <col min="1" max="1" width="2.7109375" style="2" customWidth="1"/>
    <col min="2" max="2" width="6.28515625" style="13" bestFit="1" customWidth="1"/>
    <col min="3" max="3" width="7.42578125" style="2" customWidth="1"/>
    <col min="4" max="4" width="6.7109375" style="13" bestFit="1" customWidth="1"/>
    <col min="5" max="5" width="6.7109375" style="2" bestFit="1" customWidth="1"/>
    <col min="6" max="6" width="9.140625" style="13" bestFit="1" customWidth="1"/>
    <col min="7" max="11" width="7.7109375" style="13" customWidth="1"/>
    <col min="12" max="12" width="6.7109375" style="13" bestFit="1" customWidth="1"/>
    <col min="13" max="13" width="6.85546875" style="12" bestFit="1" customWidth="1"/>
    <col min="14" max="14" width="7.28515625" style="2" bestFit="1" customWidth="1"/>
    <col min="15" max="15" width="9.42578125" style="2" bestFit="1" customWidth="1"/>
    <col min="16" max="16" width="37.5703125" style="13" customWidth="1"/>
    <col min="17" max="17" width="42.85546875" style="13" customWidth="1"/>
    <col min="18" max="18" width="8.7109375" style="2" bestFit="1" customWidth="1"/>
    <col min="19" max="19" width="7" style="2" bestFit="1" customWidth="1"/>
    <col min="20" max="20" width="6.28515625" style="13" bestFit="1" customWidth="1"/>
    <col min="21" max="21" width="6.7109375" style="2" bestFit="1" customWidth="1"/>
    <col min="22" max="22" width="8.5703125" style="13" bestFit="1" customWidth="1"/>
    <col min="23" max="23" width="7.7109375" style="53" bestFit="1" customWidth="1"/>
    <col min="24" max="25" width="6.5703125" style="32" bestFit="1" customWidth="1"/>
    <col min="26" max="26" width="4.28515625" style="31" bestFit="1" customWidth="1"/>
    <col min="27" max="27" width="45.28515625" style="2" bestFit="1" customWidth="1"/>
    <col min="28" max="16384" width="9.140625" style="2"/>
  </cols>
  <sheetData>
    <row r="1" spans="1:27" s="28" customFormat="1" ht="48" customHeight="1" x14ac:dyDescent="0.25">
      <c r="A1" s="26">
        <v>0</v>
      </c>
      <c r="B1" s="27" t="s">
        <v>44</v>
      </c>
      <c r="C1" s="27" t="s">
        <v>42</v>
      </c>
      <c r="D1" s="27" t="s">
        <v>43</v>
      </c>
      <c r="E1" s="27" t="s">
        <v>41</v>
      </c>
      <c r="F1" s="27" t="s">
        <v>37</v>
      </c>
      <c r="G1" s="59" t="s">
        <v>0</v>
      </c>
      <c r="H1" s="59" t="s">
        <v>1</v>
      </c>
      <c r="I1" s="59" t="s">
        <v>2</v>
      </c>
      <c r="J1" s="59" t="s">
        <v>3</v>
      </c>
      <c r="K1" s="59" t="s">
        <v>4</v>
      </c>
      <c r="L1" s="16" t="s">
        <v>5</v>
      </c>
      <c r="M1" s="16" t="s">
        <v>6</v>
      </c>
      <c r="N1" s="16" t="s">
        <v>7</v>
      </c>
      <c r="O1" s="16" t="s">
        <v>8</v>
      </c>
      <c r="P1" s="16" t="s">
        <v>38</v>
      </c>
      <c r="Q1" s="16" t="s">
        <v>45</v>
      </c>
      <c r="R1" s="55" t="s">
        <v>40</v>
      </c>
      <c r="S1" s="16" t="s">
        <v>34</v>
      </c>
      <c r="T1" s="16" t="s">
        <v>39</v>
      </c>
      <c r="U1" s="16" t="s">
        <v>36</v>
      </c>
      <c r="V1" s="16" t="s">
        <v>35</v>
      </c>
      <c r="W1" s="51" t="s">
        <v>9</v>
      </c>
      <c r="X1" s="30" t="s">
        <v>80</v>
      </c>
      <c r="Y1" s="30" t="s">
        <v>81</v>
      </c>
      <c r="Z1" s="47" t="s">
        <v>82</v>
      </c>
      <c r="AA1" s="43" t="s">
        <v>83</v>
      </c>
    </row>
    <row r="2" spans="1:27" customFormat="1" ht="7.5" customHeight="1" x14ac:dyDescent="0.25">
      <c r="A2" s="33">
        <v>2</v>
      </c>
      <c r="B2" s="34" t="s">
        <v>151</v>
      </c>
      <c r="C2" s="34" t="s">
        <v>152</v>
      </c>
      <c r="D2" s="34" t="s">
        <v>94</v>
      </c>
      <c r="E2" s="34" t="s">
        <v>134</v>
      </c>
      <c r="F2" s="35" t="s">
        <v>97</v>
      </c>
      <c r="G2" s="58" t="s">
        <v>10</v>
      </c>
      <c r="H2" s="58" t="s">
        <v>10</v>
      </c>
      <c r="I2" s="58" t="s">
        <v>10</v>
      </c>
      <c r="J2" s="58" t="s">
        <v>10</v>
      </c>
      <c r="K2" s="58" t="s">
        <v>10</v>
      </c>
      <c r="L2" s="36" t="str">
        <f t="shared" ref="L2" si="0">CONCATENATE("", C2)</f>
        <v>Agênticos</v>
      </c>
      <c r="M2" s="36" t="str">
        <f t="shared" ref="M2" si="1">CONCATENATE("", D2)</f>
        <v>Agentes</v>
      </c>
      <c r="N2" s="36" t="str">
        <f t="shared" ref="N2:O2" si="2">(SUBSTITUTE(SUBSTITUTE(CONCATENATE("",E2),"."," ")," De "," de "))</f>
        <v>Humanos</v>
      </c>
      <c r="O2" s="36" t="str">
        <f t="shared" si="2"/>
        <v>Agente Humano</v>
      </c>
      <c r="P2" s="37" t="s">
        <v>103</v>
      </c>
      <c r="Q2" s="37" t="s">
        <v>107</v>
      </c>
      <c r="R2" s="38" t="s">
        <v>10</v>
      </c>
      <c r="S2" s="38" t="str">
        <f t="shared" ref="S2:U2" si="3">SUBSTITUTE(C2, ".", " ")</f>
        <v>Agênticos</v>
      </c>
      <c r="T2" s="38" t="str">
        <f t="shared" si="3"/>
        <v>Agentes</v>
      </c>
      <c r="U2" s="38" t="str">
        <f t="shared" si="3"/>
        <v>Humanos</v>
      </c>
      <c r="V2" s="37" t="s">
        <v>150</v>
      </c>
      <c r="W2" s="52" t="str">
        <f t="shared" ref="W2:W5" si="4">CONCATENATE("Key-AGEN-",A2)</f>
        <v>Key-AGEN-2</v>
      </c>
      <c r="X2" s="37" t="s">
        <v>153</v>
      </c>
      <c r="Y2" s="37" t="s">
        <v>153</v>
      </c>
      <c r="Z2" s="37" t="s">
        <v>153</v>
      </c>
      <c r="AA2" s="37" t="s">
        <v>105</v>
      </c>
    </row>
    <row r="3" spans="1:27" customFormat="1" ht="7.5" customHeight="1" x14ac:dyDescent="0.25">
      <c r="A3" s="33">
        <v>3</v>
      </c>
      <c r="B3" s="34" t="s">
        <v>151</v>
      </c>
      <c r="C3" s="34" t="s">
        <v>152</v>
      </c>
      <c r="D3" s="34" t="s">
        <v>94</v>
      </c>
      <c r="E3" s="34" t="s">
        <v>135</v>
      </c>
      <c r="F3" s="35" t="s">
        <v>101</v>
      </c>
      <c r="G3" s="58" t="s">
        <v>10</v>
      </c>
      <c r="H3" s="58" t="s">
        <v>10</v>
      </c>
      <c r="I3" s="58" t="s">
        <v>10</v>
      </c>
      <c r="J3" s="58" t="s">
        <v>10</v>
      </c>
      <c r="K3" s="58" t="s">
        <v>10</v>
      </c>
      <c r="L3" s="36" t="str">
        <f t="shared" ref="L3:M3" si="5">CONCATENATE("", C3)</f>
        <v>Agênticos</v>
      </c>
      <c r="M3" s="36" t="str">
        <f t="shared" si="5"/>
        <v>Agentes</v>
      </c>
      <c r="N3" s="36" t="str">
        <f t="shared" ref="N3:O3" si="6">(SUBSTITUTE(SUBSTITUTE(CONCATENATE("",E3),"."," ")," De "," de "))</f>
        <v>Artificiais</v>
      </c>
      <c r="O3" s="36" t="str">
        <f t="shared" si="6"/>
        <v>Agente Artificial</v>
      </c>
      <c r="P3" s="37" t="s">
        <v>104</v>
      </c>
      <c r="Q3" s="37" t="s">
        <v>108</v>
      </c>
      <c r="R3" s="38" t="s">
        <v>10</v>
      </c>
      <c r="S3" s="38" t="str">
        <f t="shared" ref="S3" si="7">SUBSTITUTE(C3, ".", " ")</f>
        <v>Agênticos</v>
      </c>
      <c r="T3" s="38" t="str">
        <f t="shared" ref="T3" si="8">SUBSTITUTE(D3, ".", " ")</f>
        <v>Agentes</v>
      </c>
      <c r="U3" s="38" t="str">
        <f t="shared" ref="U3" si="9">SUBSTITUTE(E3, ".", " ")</f>
        <v>Artificiais</v>
      </c>
      <c r="V3" s="37" t="s">
        <v>150</v>
      </c>
      <c r="W3" s="52" t="str">
        <f t="shared" si="4"/>
        <v>Key-AGEN-3</v>
      </c>
      <c r="X3" s="37" t="s">
        <v>153</v>
      </c>
      <c r="Y3" s="37" t="s">
        <v>153</v>
      </c>
      <c r="Z3" s="37" t="s">
        <v>153</v>
      </c>
      <c r="AA3" s="37" t="s">
        <v>106</v>
      </c>
    </row>
    <row r="4" spans="1:27" customFormat="1" ht="7.5" customHeight="1" x14ac:dyDescent="0.25">
      <c r="A4" s="33">
        <v>4</v>
      </c>
      <c r="B4" s="34" t="s">
        <v>151</v>
      </c>
      <c r="C4" s="34" t="s">
        <v>152</v>
      </c>
      <c r="D4" s="34" t="s">
        <v>94</v>
      </c>
      <c r="E4" s="34" t="s">
        <v>143</v>
      </c>
      <c r="F4" s="35" t="s">
        <v>102</v>
      </c>
      <c r="G4" s="58" t="s">
        <v>10</v>
      </c>
      <c r="H4" s="58" t="s">
        <v>10</v>
      </c>
      <c r="I4" s="58" t="s">
        <v>10</v>
      </c>
      <c r="J4" s="58" t="s">
        <v>10</v>
      </c>
      <c r="K4" s="58" t="s">
        <v>10</v>
      </c>
      <c r="L4" s="36" t="str">
        <f t="shared" ref="L4:M5" si="10">CONCATENATE("", C4)</f>
        <v>Agênticos</v>
      </c>
      <c r="M4" s="36" t="str">
        <f t="shared" ref="M4" si="11">CONCATENATE("", D4)</f>
        <v>Agentes</v>
      </c>
      <c r="N4" s="36" t="str">
        <f t="shared" ref="N4:O5" si="12">(SUBSTITUTE(SUBSTITUTE(CONCATENATE("",E4),"."," ")," De "," de "))</f>
        <v>Linguagens</v>
      </c>
      <c r="O4" s="36" t="str">
        <f t="shared" ref="O4" si="13">(SUBSTITUTE(SUBSTITUTE(CONCATENATE("",F4),"."," ")," De "," de "))</f>
        <v>Gherkin</v>
      </c>
      <c r="P4" s="37" t="s">
        <v>141</v>
      </c>
      <c r="Q4" s="37" t="str">
        <f>_xlfn.TRANSLATE(P4,"pt","es")</f>
        <v>Declara el lenguaje Gherkin, para procesos BDD (Desarrollo Impulsado por el Comportamiento).</v>
      </c>
      <c r="R4" s="38" t="s">
        <v>10</v>
      </c>
      <c r="S4" s="38" t="str">
        <f t="shared" ref="S4:U5" si="14">SUBSTITUTE(C4, ".", " ")</f>
        <v>Agênticos</v>
      </c>
      <c r="T4" s="38" t="str">
        <f t="shared" ref="T4" si="15">SUBSTITUTE(D4, ".", " ")</f>
        <v>Agentes</v>
      </c>
      <c r="U4" s="38" t="str">
        <f t="shared" ref="U4" si="16">SUBSTITUTE(E4, ".", " ")</f>
        <v>Linguagens</v>
      </c>
      <c r="V4" s="37" t="s">
        <v>150</v>
      </c>
      <c r="W4" s="52" t="str">
        <f t="shared" si="4"/>
        <v>Key-AGEN-4</v>
      </c>
      <c r="X4" s="37" t="s">
        <v>153</v>
      </c>
      <c r="Y4" s="37" t="s">
        <v>153</v>
      </c>
      <c r="Z4" s="37" t="s">
        <v>153</v>
      </c>
      <c r="AA4" s="37" t="s">
        <v>142</v>
      </c>
    </row>
    <row r="5" spans="1:27" s="40" customFormat="1" ht="6.75" customHeight="1" x14ac:dyDescent="0.25">
      <c r="A5" s="33">
        <v>5</v>
      </c>
      <c r="B5" s="34" t="s">
        <v>156</v>
      </c>
      <c r="C5" s="34" t="s">
        <v>159</v>
      </c>
      <c r="D5" s="34" t="s">
        <v>158</v>
      </c>
      <c r="E5" s="34" t="s">
        <v>172</v>
      </c>
      <c r="F5" s="35" t="s">
        <v>157</v>
      </c>
      <c r="G5" s="58" t="s">
        <v>10</v>
      </c>
      <c r="H5" s="58" t="s">
        <v>10</v>
      </c>
      <c r="I5" s="58" t="s">
        <v>10</v>
      </c>
      <c r="J5" s="58" t="s">
        <v>10</v>
      </c>
      <c r="K5" s="58" t="s">
        <v>10</v>
      </c>
      <c r="L5" s="36" t="str">
        <f t="shared" si="10"/>
        <v>Inteligência</v>
      </c>
      <c r="M5" s="36" t="str">
        <f t="shared" si="10"/>
        <v>API</v>
      </c>
      <c r="N5" s="36" t="str">
        <f t="shared" si="12"/>
        <v>API Agentes</v>
      </c>
      <c r="O5" s="36" t="str">
        <f t="shared" si="12"/>
        <v>Agente</v>
      </c>
      <c r="P5" s="37" t="s">
        <v>160</v>
      </c>
      <c r="Q5" s="37" t="str">
        <f t="shared" ref="Q5" si="17">_xlfn.TRANSLATE(P5,"pt","es")</f>
        <v>Define un agente utilizado en el Proyecto.</v>
      </c>
      <c r="R5" s="37" t="s">
        <v>10</v>
      </c>
      <c r="S5" s="37" t="str">
        <f t="shared" si="14"/>
        <v>Inteligência</v>
      </c>
      <c r="T5" s="37" t="str">
        <f t="shared" si="14"/>
        <v>API</v>
      </c>
      <c r="U5" s="37" t="str">
        <f t="shared" si="14"/>
        <v>API Agentes</v>
      </c>
      <c r="V5" s="37" t="s">
        <v>150</v>
      </c>
      <c r="W5" s="52" t="str">
        <f t="shared" si="4"/>
        <v>Key-AGEN-5</v>
      </c>
      <c r="X5" s="37" t="s">
        <v>153</v>
      </c>
      <c r="Y5" s="37" t="s">
        <v>153</v>
      </c>
      <c r="Z5" s="37" t="s">
        <v>153</v>
      </c>
      <c r="AA5" s="37" t="str">
        <f t="shared" ref="AA5" si="18">_xlfn.TRANSLATE(P5,"pt","en")</f>
        <v>Defines an agent used in the Project.</v>
      </c>
    </row>
    <row r="6" spans="1:27" s="40" customFormat="1" ht="6.75" customHeight="1" x14ac:dyDescent="0.25">
      <c r="A6" s="33">
        <v>6</v>
      </c>
      <c r="B6" s="34" t="s">
        <v>156</v>
      </c>
      <c r="C6" s="34" t="s">
        <v>159</v>
      </c>
      <c r="D6" s="34" t="s">
        <v>158</v>
      </c>
      <c r="E6" s="34" t="s">
        <v>172</v>
      </c>
      <c r="F6" s="35" t="s">
        <v>161</v>
      </c>
      <c r="G6" s="58" t="s">
        <v>10</v>
      </c>
      <c r="H6" s="58" t="s">
        <v>10</v>
      </c>
      <c r="I6" s="58" t="s">
        <v>10</v>
      </c>
      <c r="J6" s="58" t="s">
        <v>10</v>
      </c>
      <c r="K6" s="58" t="s">
        <v>10</v>
      </c>
      <c r="L6" s="36" t="str">
        <f t="shared" ref="L6:L7" si="19">CONCATENATE("", C6)</f>
        <v>Inteligência</v>
      </c>
      <c r="M6" s="36" t="str">
        <f t="shared" ref="M6:M7" si="20">CONCATENATE("", D6)</f>
        <v>API</v>
      </c>
      <c r="N6" s="36" t="str">
        <f t="shared" ref="N6:N7" si="21">(SUBSTITUTE(SUBSTITUTE(CONCATENATE("",E6),"."," ")," De "," de "))</f>
        <v>API Agentes</v>
      </c>
      <c r="O6" s="36" t="str">
        <f t="shared" ref="O6:O7" si="22">(SUBSTITUTE(SUBSTITUTE(CONCATENATE("",F6),"."," ")," De "," de "))</f>
        <v>Linguagem</v>
      </c>
      <c r="P6" s="37" t="s">
        <v>163</v>
      </c>
      <c r="Q6" s="37" t="str">
        <f t="shared" ref="Q6:Q7" si="23">_xlfn.TRANSLATE(P6,"pt","es")</f>
        <v>Define un lenguaje utilizado para automatizar tareas de proyectos.</v>
      </c>
      <c r="R6" s="37" t="s">
        <v>10</v>
      </c>
      <c r="S6" s="37" t="str">
        <f t="shared" ref="S6:S7" si="24">SUBSTITUTE(C6, ".", " ")</f>
        <v>Inteligência</v>
      </c>
      <c r="T6" s="37" t="str">
        <f t="shared" ref="T6:T7" si="25">SUBSTITUTE(D6, ".", " ")</f>
        <v>API</v>
      </c>
      <c r="U6" s="37" t="str">
        <f t="shared" ref="U6:U7" si="26">SUBSTITUTE(E6, ".", " ")</f>
        <v>API Agentes</v>
      </c>
      <c r="V6" s="37" t="s">
        <v>150</v>
      </c>
      <c r="W6" s="52" t="str">
        <f t="shared" ref="W6:W7" si="27">CONCATENATE("Key-AGEN-",A6)</f>
        <v>Key-AGEN-6</v>
      </c>
      <c r="X6" s="37" t="s">
        <v>153</v>
      </c>
      <c r="Y6" s="37" t="s">
        <v>153</v>
      </c>
      <c r="Z6" s="37" t="s">
        <v>153</v>
      </c>
      <c r="AA6" s="37" t="str">
        <f t="shared" ref="AA6:AA7" si="28">_xlfn.TRANSLATE(P6,"pt","en")</f>
        <v>Defines a language used to automate project tasks.</v>
      </c>
    </row>
    <row r="7" spans="1:27" s="40" customFormat="1" ht="6.75" customHeight="1" x14ac:dyDescent="0.25">
      <c r="A7" s="33">
        <v>7</v>
      </c>
      <c r="B7" s="34" t="s">
        <v>156</v>
      </c>
      <c r="C7" s="34" t="s">
        <v>159</v>
      </c>
      <c r="D7" s="34" t="s">
        <v>158</v>
      </c>
      <c r="E7" s="34" t="s">
        <v>172</v>
      </c>
      <c r="F7" s="35" t="s">
        <v>162</v>
      </c>
      <c r="G7" s="58" t="s">
        <v>10</v>
      </c>
      <c r="H7" s="58" t="s">
        <v>10</v>
      </c>
      <c r="I7" s="58" t="s">
        <v>10</v>
      </c>
      <c r="J7" s="58" t="s">
        <v>10</v>
      </c>
      <c r="K7" s="58" t="s">
        <v>10</v>
      </c>
      <c r="L7" s="36" t="str">
        <f t="shared" si="19"/>
        <v>Inteligência</v>
      </c>
      <c r="M7" s="36" t="str">
        <f t="shared" si="20"/>
        <v>API</v>
      </c>
      <c r="N7" s="36" t="str">
        <f t="shared" si="21"/>
        <v>API Agentes</v>
      </c>
      <c r="O7" s="36" t="str">
        <f t="shared" si="22"/>
        <v>Sintaxe</v>
      </c>
      <c r="P7" s="37" t="s">
        <v>164</v>
      </c>
      <c r="Q7" s="37" t="str">
        <f t="shared" si="23"/>
        <v>Define una sintaxis utilizada para automatizar tareas del proyecto.</v>
      </c>
      <c r="R7" s="37" t="s">
        <v>10</v>
      </c>
      <c r="S7" s="37" t="str">
        <f t="shared" si="24"/>
        <v>Inteligência</v>
      </c>
      <c r="T7" s="37" t="str">
        <f t="shared" si="25"/>
        <v>API</v>
      </c>
      <c r="U7" s="37" t="str">
        <f t="shared" si="26"/>
        <v>API Agentes</v>
      </c>
      <c r="V7" s="37" t="s">
        <v>150</v>
      </c>
      <c r="W7" s="52" t="str">
        <f t="shared" si="27"/>
        <v>Key-AGEN-7</v>
      </c>
      <c r="X7" s="37" t="s">
        <v>153</v>
      </c>
      <c r="Y7" s="37" t="s">
        <v>153</v>
      </c>
      <c r="Z7" s="37" t="s">
        <v>153</v>
      </c>
      <c r="AA7" s="37" t="str">
        <f t="shared" si="28"/>
        <v>Defines a syntax used to automate project tasks.</v>
      </c>
    </row>
  </sheetData>
  <phoneticPr fontId="1" type="noConversion"/>
  <conditionalFormatting sqref="AA1:AA2 A2:B2 B3:B4 A3:A7">
    <cfRule type="cellIs" dxfId="26" priority="10" operator="equal">
      <formula>"null"</formula>
    </cfRule>
  </conditionalFormatting>
  <conditionalFormatting sqref="F1:F4 F8:F1048576">
    <cfRule type="duplicateValues" dxfId="25" priority="18"/>
  </conditionalFormatting>
  <conditionalFormatting sqref="F2:F4 AA3:XFD3 L3:O4 AB4:XFD4">
    <cfRule type="cellIs" dxfId="24" priority="75" operator="equal">
      <formula>"null"</formula>
    </cfRule>
  </conditionalFormatting>
  <conditionalFormatting sqref="F2:F4">
    <cfRule type="duplicateValues" dxfId="23" priority="630"/>
    <cfRule type="duplicateValues" dxfId="22" priority="662"/>
    <cfRule type="duplicateValues" dxfId="21" priority="663"/>
    <cfRule type="duplicateValues" dxfId="20" priority="664"/>
    <cfRule type="duplicateValues" dxfId="19" priority="665"/>
    <cfRule type="duplicateValues" dxfId="18" priority="666"/>
    <cfRule type="duplicateValues" dxfId="17" priority="672"/>
  </conditionalFormatting>
  <conditionalFormatting sqref="B5:B7">
    <cfRule type="cellIs" dxfId="16" priority="2" operator="equal">
      <formula>"null"</formula>
    </cfRule>
  </conditionalFormatting>
  <conditionalFormatting sqref="F5:F7">
    <cfRule type="duplicateValues" dxfId="15" priority="3"/>
  </conditionalFormatting>
  <conditionalFormatting sqref="AA5:AA7">
    <cfRule type="cellIs" dxfId="14" priority="4" operator="equal">
      <formula>"null"</formula>
    </cfRule>
  </conditionalFormatting>
  <conditionalFormatting sqref="F1:F1048576">
    <cfRule type="duplicateValues" dxfId="0" priority="1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5" customFormat="1" ht="16.5" x14ac:dyDescent="0.15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15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B7" sqref="B7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4">
        <v>1</v>
      </c>
      <c r="B1" s="15" t="s">
        <v>74</v>
      </c>
      <c r="C1" s="15" t="s">
        <v>79</v>
      </c>
      <c r="D1" s="15" t="s">
        <v>79</v>
      </c>
      <c r="E1" s="15" t="s">
        <v>79</v>
      </c>
    </row>
    <row r="2" spans="1:5" ht="8.4499999999999993" customHeight="1" x14ac:dyDescent="0.25">
      <c r="A2" s="25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2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Q9"/>
  <sheetViews>
    <sheetView zoomScale="265" zoomScaleNormal="265" workbookViewId="0">
      <pane ySplit="1" topLeftCell="A2" activePane="bottomLeft" state="frozen"/>
      <selection pane="bottomLeft" activeCell="A3" sqref="A3:XFD3"/>
    </sheetView>
  </sheetViews>
  <sheetFormatPr defaultColWidth="9.28515625" defaultRowHeight="7.35" customHeight="1" x14ac:dyDescent="0.25"/>
  <cols>
    <col min="1" max="1" width="2.5703125" style="50" bestFit="1" customWidth="1"/>
    <col min="2" max="2" width="7.28515625" style="42" bestFit="1" customWidth="1"/>
    <col min="3" max="3" width="5.5703125" style="40" bestFit="1" customWidth="1"/>
    <col min="4" max="4" width="5.85546875" style="40" customWidth="1"/>
    <col min="5" max="5" width="6.28515625" style="40" customWidth="1"/>
    <col min="6" max="6" width="3.7109375" style="40" bestFit="1" customWidth="1"/>
    <col min="7" max="7" width="6.85546875" style="40" bestFit="1" customWidth="1"/>
    <col min="8" max="8" width="6.5703125" style="40" bestFit="1" customWidth="1"/>
    <col min="9" max="9" width="9.7109375" style="40" customWidth="1"/>
    <col min="10" max="10" width="10.140625" style="40" customWidth="1"/>
    <col min="11" max="11" width="9.140625" style="40" customWidth="1"/>
    <col min="12" max="12" width="9.7109375" style="40" bestFit="1" customWidth="1"/>
    <col min="13" max="13" width="10.28515625" style="40" customWidth="1"/>
    <col min="14" max="14" width="3.140625" style="40" customWidth="1"/>
    <col min="15" max="15" width="14.140625" style="40" customWidth="1"/>
    <col min="16" max="16" width="5.140625" style="40" customWidth="1"/>
    <col min="17" max="17" width="49.5703125" style="40" customWidth="1"/>
    <col min="18" max="16384" width="9.28515625" style="40"/>
  </cols>
  <sheetData>
    <row r="1" spans="1:17" ht="20.65" customHeight="1" x14ac:dyDescent="0.25">
      <c r="A1" s="48" t="s">
        <v>11</v>
      </c>
      <c r="B1" s="22" t="s">
        <v>73</v>
      </c>
      <c r="C1" s="22" t="s">
        <v>74</v>
      </c>
      <c r="D1" s="22" t="s">
        <v>75</v>
      </c>
      <c r="E1" s="22" t="s">
        <v>78</v>
      </c>
      <c r="F1" s="24" t="s">
        <v>75</v>
      </c>
      <c r="G1" s="22" t="s">
        <v>78</v>
      </c>
      <c r="H1" s="22" t="s">
        <v>75</v>
      </c>
      <c r="I1" s="22" t="s">
        <v>78</v>
      </c>
      <c r="J1" s="22" t="s">
        <v>75</v>
      </c>
      <c r="K1" s="22" t="s">
        <v>78</v>
      </c>
      <c r="L1" s="22" t="s">
        <v>75</v>
      </c>
      <c r="M1" s="22" t="s">
        <v>78</v>
      </c>
      <c r="N1" s="22" t="s">
        <v>75</v>
      </c>
      <c r="O1" s="22" t="s">
        <v>78</v>
      </c>
      <c r="P1" s="22" t="s">
        <v>75</v>
      </c>
      <c r="Q1" s="22" t="s">
        <v>78</v>
      </c>
    </row>
    <row r="2" spans="1:17" ht="7.35" customHeight="1" x14ac:dyDescent="0.25">
      <c r="A2" s="49">
        <v>2</v>
      </c>
      <c r="B2" s="41" t="s">
        <v>165</v>
      </c>
      <c r="C2" s="35" t="s">
        <v>156</v>
      </c>
      <c r="D2" s="56" t="s">
        <v>154</v>
      </c>
      <c r="E2" s="57" t="s">
        <v>155</v>
      </c>
      <c r="F2" s="29" t="s">
        <v>77</v>
      </c>
      <c r="G2" s="23" t="s">
        <v>166</v>
      </c>
      <c r="H2" s="29" t="s">
        <v>149</v>
      </c>
      <c r="I2" s="23" t="s">
        <v>167</v>
      </c>
      <c r="J2" s="29" t="s">
        <v>170</v>
      </c>
      <c r="K2" s="23" t="s">
        <v>171</v>
      </c>
      <c r="L2" s="29" t="s">
        <v>10</v>
      </c>
      <c r="M2" s="23" t="s">
        <v>10</v>
      </c>
      <c r="N2" s="29" t="s">
        <v>116</v>
      </c>
      <c r="O2" s="23" t="s">
        <v>169</v>
      </c>
      <c r="P2" s="29" t="s">
        <v>76</v>
      </c>
      <c r="Q2" s="23" t="s">
        <v>168</v>
      </c>
    </row>
    <row r="3" spans="1:17" ht="7.35" customHeight="1" x14ac:dyDescent="0.25">
      <c r="A3" s="49">
        <v>3</v>
      </c>
      <c r="B3" s="41" t="s">
        <v>98</v>
      </c>
      <c r="C3" s="35" t="s">
        <v>157</v>
      </c>
      <c r="D3" s="39" t="s">
        <v>109</v>
      </c>
      <c r="E3" s="41" t="s">
        <v>165</v>
      </c>
      <c r="F3" s="29" t="s">
        <v>77</v>
      </c>
      <c r="G3" s="23" t="s">
        <v>110</v>
      </c>
      <c r="H3" s="29" t="s">
        <v>149</v>
      </c>
      <c r="I3" s="23" t="s">
        <v>115</v>
      </c>
      <c r="J3" s="29" t="s">
        <v>147</v>
      </c>
      <c r="K3" s="23" t="s">
        <v>125</v>
      </c>
      <c r="L3" s="29" t="s">
        <v>148</v>
      </c>
      <c r="M3" s="23" t="s">
        <v>137</v>
      </c>
      <c r="N3" s="29" t="s">
        <v>116</v>
      </c>
      <c r="O3" s="23" t="s">
        <v>123</v>
      </c>
      <c r="P3" s="29" t="s">
        <v>76</v>
      </c>
      <c r="Q3" s="23" t="s">
        <v>127</v>
      </c>
    </row>
    <row r="4" spans="1:17" ht="7.35" customHeight="1" x14ac:dyDescent="0.25">
      <c r="A4" s="49">
        <v>4</v>
      </c>
      <c r="B4" s="41" t="s">
        <v>99</v>
      </c>
      <c r="C4" s="35" t="s">
        <v>157</v>
      </c>
      <c r="D4" s="39" t="s">
        <v>109</v>
      </c>
      <c r="E4" s="41" t="s">
        <v>165</v>
      </c>
      <c r="F4" s="29" t="s">
        <v>77</v>
      </c>
      <c r="G4" s="23" t="s">
        <v>110</v>
      </c>
      <c r="H4" s="29" t="s">
        <v>149</v>
      </c>
      <c r="I4" s="23" t="s">
        <v>115</v>
      </c>
      <c r="J4" s="29" t="s">
        <v>147</v>
      </c>
      <c r="K4" s="23" t="s">
        <v>126</v>
      </c>
      <c r="L4" s="29" t="s">
        <v>148</v>
      </c>
      <c r="M4" s="23" t="s">
        <v>138</v>
      </c>
      <c r="N4" s="29" t="s">
        <v>116</v>
      </c>
      <c r="O4" s="23" t="s">
        <v>123</v>
      </c>
      <c r="P4" s="29" t="s">
        <v>76</v>
      </c>
      <c r="Q4" s="23" t="s">
        <v>128</v>
      </c>
    </row>
    <row r="5" spans="1:17" ht="7.35" customHeight="1" x14ac:dyDescent="0.25">
      <c r="A5" s="49">
        <v>5</v>
      </c>
      <c r="B5" s="41" t="s">
        <v>100</v>
      </c>
      <c r="C5" s="35" t="s">
        <v>157</v>
      </c>
      <c r="D5" s="39" t="s">
        <v>109</v>
      </c>
      <c r="E5" s="41" t="s">
        <v>165</v>
      </c>
      <c r="F5" s="29" t="s">
        <v>77</v>
      </c>
      <c r="G5" s="23" t="s">
        <v>110</v>
      </c>
      <c r="H5" s="29" t="s">
        <v>149</v>
      </c>
      <c r="I5" s="23" t="s">
        <v>115</v>
      </c>
      <c r="J5" s="29" t="s">
        <v>147</v>
      </c>
      <c r="K5" s="23" t="s">
        <v>124</v>
      </c>
      <c r="L5" s="29" t="s">
        <v>148</v>
      </c>
      <c r="M5" s="23" t="s">
        <v>139</v>
      </c>
      <c r="N5" s="29" t="s">
        <v>116</v>
      </c>
      <c r="O5" s="23" t="s">
        <v>123</v>
      </c>
      <c r="P5" s="29" t="s">
        <v>76</v>
      </c>
      <c r="Q5" s="23" t="s">
        <v>129</v>
      </c>
    </row>
    <row r="6" spans="1:17" ht="7.35" customHeight="1" x14ac:dyDescent="0.25">
      <c r="A6" s="49">
        <v>6</v>
      </c>
      <c r="B6" s="41" t="s">
        <v>118</v>
      </c>
      <c r="C6" s="35" t="s">
        <v>157</v>
      </c>
      <c r="D6" s="39" t="s">
        <v>109</v>
      </c>
      <c r="E6" s="41" t="s">
        <v>165</v>
      </c>
      <c r="F6" s="29" t="s">
        <v>77</v>
      </c>
      <c r="G6" s="23" t="s">
        <v>111</v>
      </c>
      <c r="H6" s="29" t="s">
        <v>149</v>
      </c>
      <c r="I6" s="23" t="s">
        <v>113</v>
      </c>
      <c r="J6" s="29" t="s">
        <v>147</v>
      </c>
      <c r="K6" s="23" t="s">
        <v>131</v>
      </c>
      <c r="L6" s="29" t="s">
        <v>148</v>
      </c>
      <c r="M6" s="23" t="s">
        <v>140</v>
      </c>
      <c r="N6" s="29" t="s">
        <v>116</v>
      </c>
      <c r="O6" s="23" t="s">
        <v>122</v>
      </c>
      <c r="P6" s="29" t="s">
        <v>76</v>
      </c>
      <c r="Q6" s="23" t="s">
        <v>132</v>
      </c>
    </row>
    <row r="7" spans="1:17" ht="7.35" customHeight="1" x14ac:dyDescent="0.25">
      <c r="A7" s="49">
        <v>7</v>
      </c>
      <c r="B7" s="41" t="s">
        <v>145</v>
      </c>
      <c r="C7" s="35" t="s">
        <v>157</v>
      </c>
      <c r="D7" s="39" t="s">
        <v>109</v>
      </c>
      <c r="E7" s="41" t="s">
        <v>165</v>
      </c>
      <c r="F7" s="29" t="s">
        <v>77</v>
      </c>
      <c r="G7" s="23" t="s">
        <v>112</v>
      </c>
      <c r="H7" s="29" t="s">
        <v>149</v>
      </c>
      <c r="I7" s="23" t="s">
        <v>114</v>
      </c>
      <c r="J7" s="29" t="s">
        <v>147</v>
      </c>
      <c r="K7" s="23" t="s">
        <v>130</v>
      </c>
      <c r="L7" s="29" t="s">
        <v>148</v>
      </c>
      <c r="M7" s="23" t="s">
        <v>140</v>
      </c>
      <c r="N7" s="29" t="s">
        <v>116</v>
      </c>
      <c r="O7" s="23" t="s">
        <v>117</v>
      </c>
      <c r="P7" s="29" t="s">
        <v>76</v>
      </c>
      <c r="Q7" s="23" t="s">
        <v>133</v>
      </c>
    </row>
    <row r="8" spans="1:17" ht="7.35" customHeight="1" x14ac:dyDescent="0.25">
      <c r="A8" s="49">
        <v>8</v>
      </c>
      <c r="B8" s="41" t="s">
        <v>146</v>
      </c>
      <c r="C8" s="35" t="s">
        <v>157</v>
      </c>
      <c r="D8" s="39" t="s">
        <v>109</v>
      </c>
      <c r="E8" s="41" t="s">
        <v>165</v>
      </c>
      <c r="F8" s="29" t="s">
        <v>77</v>
      </c>
      <c r="G8" s="23" t="s">
        <v>119</v>
      </c>
      <c r="H8" s="29" t="s">
        <v>149</v>
      </c>
      <c r="I8" s="23" t="s">
        <v>121</v>
      </c>
      <c r="J8" s="29" t="s">
        <v>10</v>
      </c>
      <c r="K8" s="23" t="s">
        <v>10</v>
      </c>
      <c r="L8" s="29" t="s">
        <v>148</v>
      </c>
      <c r="M8" s="23" t="s">
        <v>136</v>
      </c>
      <c r="N8" s="29" t="s">
        <v>116</v>
      </c>
      <c r="O8" s="23" t="s">
        <v>120</v>
      </c>
      <c r="P8" s="29" t="s">
        <v>76</v>
      </c>
      <c r="Q8" s="23" t="s">
        <v>144</v>
      </c>
    </row>
    <row r="9" spans="1:17" ht="7.35" customHeight="1" x14ac:dyDescent="0.25">
      <c r="A9" s="49">
        <v>9</v>
      </c>
      <c r="B9" s="41" t="s">
        <v>146</v>
      </c>
      <c r="C9" s="35" t="s">
        <v>157</v>
      </c>
      <c r="D9" s="39" t="s">
        <v>109</v>
      </c>
      <c r="E9" s="41" t="s">
        <v>165</v>
      </c>
      <c r="F9" s="29" t="s">
        <v>77</v>
      </c>
      <c r="G9" s="23" t="s">
        <v>119</v>
      </c>
      <c r="H9" s="29" t="s">
        <v>149</v>
      </c>
      <c r="I9" s="23" t="s">
        <v>121</v>
      </c>
      <c r="J9" s="29" t="s">
        <v>10</v>
      </c>
      <c r="K9" s="23" t="s">
        <v>10</v>
      </c>
      <c r="L9" s="29" t="s">
        <v>148</v>
      </c>
      <c r="M9" s="23" t="s">
        <v>136</v>
      </c>
      <c r="N9" s="29" t="s">
        <v>116</v>
      </c>
      <c r="O9" s="23" t="s">
        <v>120</v>
      </c>
      <c r="P9" s="29" t="s">
        <v>76</v>
      </c>
      <c r="Q9" s="23" t="s">
        <v>144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2026-08-10T15:28:24Z</dcterms:modified>
  <dc:language>pt-BR</dc:language>
</cp:coreProperties>
</file>