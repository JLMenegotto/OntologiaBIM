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FABR\"/>
    </mc:Choice>
  </mc:AlternateContent>
  <xr:revisionPtr revIDLastSave="0" documentId="13_ncr:1_{A54B9892-4E91-41D0-B6CE-5750A9E55C02}" xr6:coauthVersionLast="47" xr6:coauthVersionMax="47" xr10:uidLastSave="{00000000-0000-0000-0000-000000000000}"/>
  <bookViews>
    <workbookView xWindow="-103" yWindow="-103" windowWidth="22149" windowHeight="13200" tabRatio="527" activeTab="4" xr2:uid="{6AA21774-678E-47D1-B8DD-6444A2CEB00E}"/>
  </bookViews>
  <sheets>
    <sheet name="Projeto" sheetId="31" r:id="rId1"/>
    <sheet name="Classes" sheetId="39" r:id="rId2"/>
    <sheet name="Disjunt" sheetId="36" r:id="rId3"/>
    <sheet name="Interop" sheetId="37" r:id="rId4"/>
    <sheet name="FatosIn" sheetId="38" r:id="rId5"/>
  </sheets>
  <definedNames>
    <definedName name="_xlnm._FilterDatabase" localSheetId="1" hidden="1">Classes!$F$1:$F$101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72" i="39" l="1"/>
  <c r="U72" i="39"/>
  <c r="T72" i="39"/>
  <c r="S72" i="39"/>
  <c r="O72" i="39"/>
  <c r="N72" i="39"/>
  <c r="M72" i="39"/>
  <c r="L72" i="39"/>
  <c r="W71" i="39"/>
  <c r="U71" i="39"/>
  <c r="T71" i="39"/>
  <c r="S71" i="39"/>
  <c r="O71" i="39"/>
  <c r="N71" i="39"/>
  <c r="M71" i="39"/>
  <c r="L71" i="39"/>
  <c r="W70" i="39"/>
  <c r="U70" i="39"/>
  <c r="T70" i="39"/>
  <c r="S70" i="39"/>
  <c r="O70" i="39"/>
  <c r="N70" i="39"/>
  <c r="M70" i="39"/>
  <c r="L70" i="39"/>
  <c r="W69" i="39"/>
  <c r="U69" i="39"/>
  <c r="T69" i="39"/>
  <c r="S69" i="39"/>
  <c r="O69" i="39"/>
  <c r="N69" i="39"/>
  <c r="M69" i="39"/>
  <c r="L69" i="39"/>
  <c r="W68" i="39"/>
  <c r="U68" i="39"/>
  <c r="T68" i="39"/>
  <c r="S68" i="39"/>
  <c r="O68" i="39"/>
  <c r="N68" i="39"/>
  <c r="M68" i="39"/>
  <c r="L68" i="39"/>
  <c r="W67" i="39"/>
  <c r="U67" i="39"/>
  <c r="T67" i="39"/>
  <c r="S67" i="39"/>
  <c r="O67" i="39"/>
  <c r="N67" i="39"/>
  <c r="M67" i="39"/>
  <c r="L67" i="39"/>
  <c r="W66" i="39"/>
  <c r="U66" i="39"/>
  <c r="T66" i="39"/>
  <c r="S66" i="39"/>
  <c r="O66" i="39"/>
  <c r="N66" i="39"/>
  <c r="M66" i="39"/>
  <c r="L66" i="39"/>
  <c r="W65" i="39"/>
  <c r="U65" i="39"/>
  <c r="T65" i="39"/>
  <c r="S65" i="39"/>
  <c r="O65" i="39"/>
  <c r="N65" i="39"/>
  <c r="M65" i="39"/>
  <c r="L65" i="39"/>
  <c r="W64" i="39"/>
  <c r="U64" i="39"/>
  <c r="T64" i="39"/>
  <c r="S64" i="39"/>
  <c r="O64" i="39"/>
  <c r="N64" i="39"/>
  <c r="M64" i="39"/>
  <c r="L64" i="39"/>
  <c r="W63" i="39"/>
  <c r="U63" i="39"/>
  <c r="T63" i="39"/>
  <c r="S63" i="39"/>
  <c r="O63" i="39"/>
  <c r="N63" i="39"/>
  <c r="M63" i="39"/>
  <c r="L63" i="39"/>
  <c r="W62" i="39"/>
  <c r="U62" i="39"/>
  <c r="T62" i="39"/>
  <c r="S62" i="39"/>
  <c r="O62" i="39"/>
  <c r="N62" i="39"/>
  <c r="M62" i="39"/>
  <c r="L62" i="39"/>
  <c r="W61" i="39"/>
  <c r="U61" i="39"/>
  <c r="T61" i="39"/>
  <c r="S61" i="39"/>
  <c r="O61" i="39"/>
  <c r="N61" i="39"/>
  <c r="M61" i="39"/>
  <c r="L61" i="39"/>
  <c r="W60" i="39"/>
  <c r="U60" i="39"/>
  <c r="T60" i="39"/>
  <c r="S60" i="39"/>
  <c r="O60" i="39"/>
  <c r="N60" i="39"/>
  <c r="M60" i="39"/>
  <c r="L60" i="39"/>
  <c r="W59" i="39"/>
  <c r="U59" i="39"/>
  <c r="T59" i="39"/>
  <c r="S59" i="39"/>
  <c r="O59" i="39"/>
  <c r="N59" i="39"/>
  <c r="M59" i="39"/>
  <c r="L59" i="39"/>
  <c r="W58" i="39"/>
  <c r="U58" i="39"/>
  <c r="T58" i="39"/>
  <c r="S58" i="39"/>
  <c r="O58" i="39"/>
  <c r="N58" i="39"/>
  <c r="M58" i="39"/>
  <c r="L58" i="39"/>
  <c r="W57" i="39"/>
  <c r="U57" i="39"/>
  <c r="T57" i="39"/>
  <c r="S57" i="39"/>
  <c r="O57" i="39"/>
  <c r="N57" i="39"/>
  <c r="M57" i="39"/>
  <c r="L57" i="39"/>
  <c r="W56" i="39"/>
  <c r="U56" i="39"/>
  <c r="T56" i="39"/>
  <c r="S56" i="39"/>
  <c r="O56" i="39"/>
  <c r="N56" i="39"/>
  <c r="M56" i="39"/>
  <c r="L56" i="39"/>
  <c r="W55" i="39"/>
  <c r="U55" i="39"/>
  <c r="T55" i="39"/>
  <c r="S55" i="39"/>
  <c r="O55" i="39"/>
  <c r="N55" i="39"/>
  <c r="M55" i="39"/>
  <c r="L55" i="39"/>
  <c r="W54" i="39"/>
  <c r="U54" i="39"/>
  <c r="T54" i="39"/>
  <c r="S54" i="39"/>
  <c r="O54" i="39"/>
  <c r="N54" i="39"/>
  <c r="M54" i="39"/>
  <c r="L54" i="39"/>
  <c r="W53" i="39"/>
  <c r="U53" i="39"/>
  <c r="T53" i="39"/>
  <c r="S53" i="39"/>
  <c r="O53" i="39"/>
  <c r="N53" i="39"/>
  <c r="M53" i="39"/>
  <c r="L53" i="39"/>
  <c r="W52" i="39"/>
  <c r="U52" i="39"/>
  <c r="T52" i="39"/>
  <c r="S52" i="39"/>
  <c r="O52" i="39"/>
  <c r="N52" i="39"/>
  <c r="M52" i="39"/>
  <c r="L52" i="39"/>
  <c r="W51" i="39"/>
  <c r="U51" i="39"/>
  <c r="T51" i="39"/>
  <c r="S51" i="39"/>
  <c r="O51" i="39"/>
  <c r="N51" i="39"/>
  <c r="M51" i="39"/>
  <c r="L51" i="39"/>
  <c r="W50" i="39"/>
  <c r="U50" i="39"/>
  <c r="T50" i="39"/>
  <c r="S50" i="39"/>
  <c r="O50" i="39"/>
  <c r="N50" i="39"/>
  <c r="M50" i="39"/>
  <c r="L50" i="39"/>
  <c r="W49" i="39"/>
  <c r="U49" i="39"/>
  <c r="T49" i="39"/>
  <c r="S49" i="39"/>
  <c r="O49" i="39"/>
  <c r="N49" i="39"/>
  <c r="M49" i="39"/>
  <c r="L49" i="39"/>
  <c r="W48" i="39"/>
  <c r="U48" i="39"/>
  <c r="T48" i="39"/>
  <c r="S48" i="39"/>
  <c r="O48" i="39"/>
  <c r="N48" i="39"/>
  <c r="M48" i="39"/>
  <c r="L48" i="39"/>
  <c r="W47" i="39"/>
  <c r="U47" i="39"/>
  <c r="T47" i="39"/>
  <c r="S47" i="39"/>
  <c r="O47" i="39"/>
  <c r="N47" i="39"/>
  <c r="M47" i="39"/>
  <c r="L47" i="39"/>
  <c r="W46" i="39"/>
  <c r="U46" i="39"/>
  <c r="T46" i="39"/>
  <c r="S46" i="39"/>
  <c r="O46" i="39"/>
  <c r="N46" i="39"/>
  <c r="M46" i="39"/>
  <c r="L46" i="39"/>
  <c r="W45" i="39"/>
  <c r="U45" i="39"/>
  <c r="T45" i="39"/>
  <c r="S45" i="39"/>
  <c r="O45" i="39"/>
  <c r="N45" i="39"/>
  <c r="M45" i="39"/>
  <c r="L45" i="39"/>
  <c r="W44" i="39"/>
  <c r="U44" i="39"/>
  <c r="T44" i="39"/>
  <c r="S44" i="39"/>
  <c r="O44" i="39"/>
  <c r="N44" i="39"/>
  <c r="M44" i="39"/>
  <c r="L44" i="39"/>
  <c r="W43" i="39"/>
  <c r="U43" i="39"/>
  <c r="T43" i="39"/>
  <c r="S43" i="39"/>
  <c r="O43" i="39"/>
  <c r="N43" i="39"/>
  <c r="M43" i="39"/>
  <c r="L43" i="39"/>
  <c r="W42" i="39"/>
  <c r="U42" i="39"/>
  <c r="T42" i="39"/>
  <c r="S42" i="39"/>
  <c r="O42" i="39"/>
  <c r="N42" i="39"/>
  <c r="M42" i="39"/>
  <c r="L42" i="39"/>
  <c r="W41" i="39"/>
  <c r="U41" i="39"/>
  <c r="T41" i="39"/>
  <c r="S41" i="39"/>
  <c r="O41" i="39"/>
  <c r="N41" i="39"/>
  <c r="M41" i="39"/>
  <c r="L41" i="39"/>
  <c r="W40" i="39"/>
  <c r="U40" i="39"/>
  <c r="T40" i="39"/>
  <c r="S40" i="39"/>
  <c r="O40" i="39"/>
  <c r="N40" i="39"/>
  <c r="M40" i="39"/>
  <c r="L40" i="39"/>
  <c r="W39" i="39"/>
  <c r="U39" i="39"/>
  <c r="T39" i="39"/>
  <c r="S39" i="39"/>
  <c r="O39" i="39"/>
  <c r="N39" i="39"/>
  <c r="M39" i="39"/>
  <c r="L39" i="39"/>
  <c r="W38" i="39"/>
  <c r="U38" i="39"/>
  <c r="T38" i="39"/>
  <c r="S38" i="39"/>
  <c r="O38" i="39"/>
  <c r="N38" i="39"/>
  <c r="M38" i="39"/>
  <c r="L38" i="39"/>
  <c r="W37" i="39"/>
  <c r="U37" i="39"/>
  <c r="T37" i="39"/>
  <c r="S37" i="39"/>
  <c r="O37" i="39"/>
  <c r="N37" i="39"/>
  <c r="M37" i="39"/>
  <c r="L37" i="39"/>
  <c r="W36" i="39"/>
  <c r="U36" i="39"/>
  <c r="T36" i="39"/>
  <c r="S36" i="39"/>
  <c r="O36" i="39"/>
  <c r="N36" i="39"/>
  <c r="M36" i="39"/>
  <c r="L36" i="39"/>
  <c r="W35" i="39"/>
  <c r="U35" i="39"/>
  <c r="T35" i="39"/>
  <c r="S35" i="39"/>
  <c r="O35" i="39"/>
  <c r="N35" i="39"/>
  <c r="M35" i="39"/>
  <c r="L35" i="39"/>
  <c r="W34" i="39"/>
  <c r="U34" i="39"/>
  <c r="T34" i="39"/>
  <c r="S34" i="39"/>
  <c r="O34" i="39"/>
  <c r="N34" i="39"/>
  <c r="M34" i="39"/>
  <c r="L34" i="39"/>
  <c r="W33" i="39"/>
  <c r="U33" i="39"/>
  <c r="T33" i="39"/>
  <c r="S33" i="39"/>
  <c r="O33" i="39"/>
  <c r="N33" i="39"/>
  <c r="M33" i="39"/>
  <c r="L33" i="39"/>
  <c r="W32" i="39"/>
  <c r="U32" i="39"/>
  <c r="T32" i="39"/>
  <c r="S32" i="39"/>
  <c r="O32" i="39"/>
  <c r="N32" i="39"/>
  <c r="M32" i="39"/>
  <c r="L32" i="39"/>
  <c r="W31" i="39"/>
  <c r="U31" i="39"/>
  <c r="T31" i="39"/>
  <c r="S31" i="39"/>
  <c r="O31" i="39"/>
  <c r="N31" i="39"/>
  <c r="M31" i="39"/>
  <c r="L31" i="39"/>
  <c r="W30" i="39"/>
  <c r="U30" i="39"/>
  <c r="T30" i="39"/>
  <c r="S30" i="39"/>
  <c r="O30" i="39"/>
  <c r="N30" i="39"/>
  <c r="M30" i="39"/>
  <c r="L30" i="39"/>
  <c r="W29" i="39"/>
  <c r="U29" i="39"/>
  <c r="T29" i="39"/>
  <c r="S29" i="39"/>
  <c r="O29" i="39"/>
  <c r="N29" i="39"/>
  <c r="M29" i="39"/>
  <c r="L29" i="39"/>
  <c r="W28" i="39"/>
  <c r="U28" i="39"/>
  <c r="T28" i="39"/>
  <c r="S28" i="39"/>
  <c r="O28" i="39"/>
  <c r="N28" i="39"/>
  <c r="M28" i="39"/>
  <c r="L28" i="39"/>
  <c r="W27" i="39"/>
  <c r="U27" i="39"/>
  <c r="T27" i="39"/>
  <c r="S27" i="39"/>
  <c r="O27" i="39"/>
  <c r="N27" i="39"/>
  <c r="M27" i="39"/>
  <c r="L27" i="39"/>
  <c r="W26" i="39"/>
  <c r="U26" i="39"/>
  <c r="T26" i="39"/>
  <c r="S26" i="39"/>
  <c r="O26" i="39"/>
  <c r="N26" i="39"/>
  <c r="M26" i="39"/>
  <c r="L26" i="39"/>
  <c r="W25" i="39"/>
  <c r="U25" i="39"/>
  <c r="T25" i="39"/>
  <c r="S25" i="39"/>
  <c r="O25" i="39"/>
  <c r="N25" i="39"/>
  <c r="M25" i="39"/>
  <c r="L25" i="39"/>
  <c r="W24" i="39"/>
  <c r="U24" i="39"/>
  <c r="T24" i="39"/>
  <c r="S24" i="39"/>
  <c r="O24" i="39"/>
  <c r="N24" i="39"/>
  <c r="M24" i="39"/>
  <c r="L24" i="39"/>
  <c r="W23" i="39"/>
  <c r="U23" i="39"/>
  <c r="T23" i="39"/>
  <c r="S23" i="39"/>
  <c r="O23" i="39"/>
  <c r="N23" i="39"/>
  <c r="M23" i="39"/>
  <c r="L23" i="39"/>
  <c r="W22" i="39"/>
  <c r="U22" i="39"/>
  <c r="T22" i="39"/>
  <c r="S22" i="39"/>
  <c r="O22" i="39"/>
  <c r="N22" i="39"/>
  <c r="M22" i="39"/>
  <c r="L22" i="39"/>
  <c r="W21" i="39"/>
  <c r="U21" i="39"/>
  <c r="T21" i="39"/>
  <c r="S21" i="39"/>
  <c r="O21" i="39"/>
  <c r="N21" i="39"/>
  <c r="M21" i="39"/>
  <c r="L21" i="39"/>
  <c r="W20" i="39"/>
  <c r="U20" i="39"/>
  <c r="T20" i="39"/>
  <c r="S20" i="39"/>
  <c r="O20" i="39"/>
  <c r="N20" i="39"/>
  <c r="M20" i="39"/>
  <c r="L20" i="39"/>
  <c r="W19" i="39"/>
  <c r="U19" i="39"/>
  <c r="T19" i="39"/>
  <c r="S19" i="39"/>
  <c r="O19" i="39"/>
  <c r="N19" i="39"/>
  <c r="M19" i="39"/>
  <c r="L19" i="39"/>
  <c r="W18" i="39"/>
  <c r="U18" i="39"/>
  <c r="T18" i="39"/>
  <c r="S18" i="39"/>
  <c r="O18" i="39"/>
  <c r="N18" i="39"/>
  <c r="M18" i="39"/>
  <c r="L18" i="39"/>
  <c r="W17" i="39"/>
  <c r="U17" i="39"/>
  <c r="T17" i="39"/>
  <c r="S17" i="39"/>
  <c r="O17" i="39"/>
  <c r="N17" i="39"/>
  <c r="M17" i="39"/>
  <c r="L17" i="39"/>
  <c r="W16" i="39"/>
  <c r="U16" i="39"/>
  <c r="T16" i="39"/>
  <c r="S16" i="39"/>
  <c r="O16" i="39"/>
  <c r="N16" i="39"/>
  <c r="M16" i="39"/>
  <c r="L16" i="39"/>
  <c r="W15" i="39"/>
  <c r="U15" i="39"/>
  <c r="T15" i="39"/>
  <c r="S15" i="39"/>
  <c r="O15" i="39"/>
  <c r="N15" i="39"/>
  <c r="M15" i="39"/>
  <c r="L15" i="39"/>
  <c r="W14" i="39"/>
  <c r="U14" i="39"/>
  <c r="T14" i="39"/>
  <c r="S14" i="39"/>
  <c r="O14" i="39"/>
  <c r="N14" i="39"/>
  <c r="M14" i="39"/>
  <c r="L14" i="39"/>
  <c r="W13" i="39"/>
  <c r="U13" i="39"/>
  <c r="T13" i="39"/>
  <c r="S13" i="39"/>
  <c r="O13" i="39"/>
  <c r="N13" i="39"/>
  <c r="M13" i="39"/>
  <c r="L13" i="39"/>
  <c r="W12" i="39"/>
  <c r="U12" i="39"/>
  <c r="T12" i="39"/>
  <c r="S12" i="39"/>
  <c r="O12" i="39"/>
  <c r="N12" i="39"/>
  <c r="M12" i="39"/>
  <c r="L12" i="39"/>
  <c r="W11" i="39"/>
  <c r="U11" i="39"/>
  <c r="T11" i="39"/>
  <c r="S11" i="39"/>
  <c r="O11" i="39"/>
  <c r="N11" i="39"/>
  <c r="M11" i="39"/>
  <c r="L11" i="39"/>
  <c r="W10" i="39"/>
  <c r="U10" i="39"/>
  <c r="T10" i="39"/>
  <c r="S10" i="39"/>
  <c r="O10" i="39"/>
  <c r="N10" i="39"/>
  <c r="M10" i="39"/>
  <c r="L10" i="39"/>
  <c r="W9" i="39"/>
  <c r="U9" i="39"/>
  <c r="T9" i="39"/>
  <c r="S9" i="39"/>
  <c r="O9" i="39"/>
  <c r="N9" i="39"/>
  <c r="M9" i="39"/>
  <c r="L9" i="39"/>
  <c r="W8" i="39"/>
  <c r="U8" i="39"/>
  <c r="T8" i="39"/>
  <c r="S8" i="39"/>
  <c r="O8" i="39"/>
  <c r="N8" i="39"/>
  <c r="M8" i="39"/>
  <c r="L8" i="39"/>
  <c r="W7" i="39"/>
  <c r="U7" i="39"/>
  <c r="T7" i="39"/>
  <c r="S7" i="39"/>
  <c r="O7" i="39"/>
  <c r="N7" i="39"/>
  <c r="M7" i="39"/>
  <c r="L7" i="39"/>
  <c r="W6" i="39"/>
  <c r="U6" i="39"/>
  <c r="T6" i="39"/>
  <c r="S6" i="39"/>
  <c r="O6" i="39"/>
  <c r="N6" i="39"/>
  <c r="M6" i="39"/>
  <c r="L6" i="39"/>
  <c r="W5" i="39"/>
  <c r="U5" i="39"/>
  <c r="T5" i="39"/>
  <c r="S5" i="39"/>
  <c r="O5" i="39"/>
  <c r="N5" i="39"/>
  <c r="M5" i="39"/>
  <c r="L5" i="39"/>
  <c r="W4" i="39"/>
  <c r="U4" i="39"/>
  <c r="T4" i="39"/>
  <c r="S4" i="39"/>
  <c r="O4" i="39"/>
  <c r="N4" i="39"/>
  <c r="M4" i="39"/>
  <c r="L4" i="39"/>
  <c r="W3" i="39"/>
  <c r="U3" i="39"/>
  <c r="T3" i="39"/>
  <c r="S3" i="39"/>
  <c r="O3" i="39"/>
  <c r="N3" i="39"/>
  <c r="M3" i="39"/>
  <c r="L3" i="39"/>
  <c r="W2" i="39"/>
  <c r="V2" i="39"/>
  <c r="U2" i="39"/>
  <c r="T2" i="39"/>
  <c r="S2" i="39"/>
  <c r="O2" i="39"/>
  <c r="N2" i="39"/>
  <c r="M2" i="39"/>
  <c r="L2" i="39"/>
  <c r="AA39" i="39"/>
  <c r="Q34" i="39"/>
  <c r="AA8" i="39"/>
  <c r="Q41" i="39"/>
  <c r="AA42" i="39"/>
  <c r="AA12" i="39"/>
  <c r="AA48" i="39"/>
  <c r="Q46" i="39"/>
  <c r="Q15" i="39"/>
  <c r="AA3" i="39"/>
  <c r="AA44" i="39"/>
  <c r="Q18" i="39"/>
  <c r="Q35" i="39"/>
  <c r="Q66" i="39"/>
  <c r="Q24" i="39"/>
  <c r="Q53" i="39"/>
  <c r="AA60" i="39"/>
  <c r="Q44" i="39"/>
  <c r="AA5" i="39"/>
  <c r="AA56" i="39"/>
  <c r="Q20" i="39"/>
  <c r="Q9" i="39"/>
  <c r="AA34" i="39"/>
  <c r="AA50" i="39"/>
  <c r="AA28" i="39"/>
  <c r="Q23" i="39"/>
  <c r="Q70" i="39"/>
  <c r="Q19" i="39"/>
  <c r="AA20" i="39"/>
  <c r="Q11" i="39"/>
  <c r="AA37" i="39"/>
  <c r="AA18" i="39"/>
  <c r="Q57" i="39"/>
  <c r="Q29" i="39"/>
  <c r="Q69" i="39"/>
  <c r="Q58" i="39"/>
  <c r="Q54" i="39"/>
  <c r="Q7" i="39"/>
  <c r="Q14" i="39"/>
  <c r="AA51" i="39"/>
  <c r="AA63" i="39"/>
  <c r="AA67" i="39"/>
  <c r="AA72" i="39"/>
  <c r="AA23" i="39"/>
  <c r="AA17" i="39"/>
  <c r="Q12" i="39"/>
  <c r="Q59" i="39"/>
  <c r="AA47" i="39"/>
  <c r="Q71" i="39"/>
  <c r="Q62" i="39"/>
  <c r="AA26" i="39"/>
  <c r="AA25" i="39"/>
  <c r="AA7" i="39"/>
  <c r="Q26" i="39"/>
  <c r="AA66" i="39"/>
  <c r="AA2" i="39"/>
  <c r="Q2" i="39"/>
  <c r="AA65" i="39"/>
  <c r="Q55" i="39"/>
  <c r="AA68" i="39"/>
  <c r="AA33" i="39"/>
  <c r="Q63" i="39"/>
  <c r="Q42" i="39"/>
  <c r="AA52" i="39"/>
  <c r="AA30" i="39"/>
  <c r="AA53" i="39"/>
  <c r="AA6" i="39"/>
  <c r="AA29" i="39"/>
  <c r="Q48" i="39"/>
  <c r="AA36" i="39"/>
  <c r="Q60" i="39"/>
  <c r="Q51" i="39"/>
  <c r="AA15" i="39"/>
  <c r="Q68" i="39"/>
  <c r="Q37" i="39"/>
  <c r="Q49" i="39"/>
  <c r="Q40" i="39"/>
  <c r="AA4" i="39"/>
  <c r="AA14" i="39"/>
  <c r="Q4" i="39"/>
  <c r="Q32" i="39"/>
  <c r="Q21" i="39"/>
  <c r="Q61" i="39"/>
  <c r="AA22" i="39"/>
  <c r="AA40" i="39"/>
  <c r="Q47" i="39"/>
  <c r="Q67" i="39"/>
  <c r="Q17" i="39"/>
  <c r="Q25" i="39"/>
  <c r="AA45" i="39"/>
  <c r="Q3" i="39"/>
  <c r="AA59" i="39"/>
  <c r="Q30" i="39"/>
  <c r="AA31" i="39"/>
  <c r="AA54" i="39"/>
  <c r="Q10" i="39"/>
  <c r="Q22" i="39"/>
  <c r="AA57" i="39"/>
  <c r="Q8" i="39"/>
  <c r="Q38" i="39"/>
  <c r="AA43" i="39"/>
  <c r="AA71" i="39"/>
  <c r="AA64" i="39"/>
  <c r="AA46" i="39"/>
  <c r="AA69" i="39"/>
  <c r="Q27" i="39"/>
  <c r="AA32" i="39"/>
  <c r="AA49" i="39"/>
  <c r="AA9" i="39"/>
  <c r="AA35" i="39"/>
  <c r="AA58" i="39"/>
  <c r="AA55" i="39"/>
  <c r="AA21" i="39"/>
  <c r="AA38" i="39"/>
  <c r="Q16" i="39"/>
  <c r="AA24" i="39"/>
  <c r="Q65" i="39"/>
  <c r="AA11" i="39"/>
  <c r="AA10" i="39"/>
  <c r="AA16" i="39"/>
  <c r="Q5" i="39"/>
  <c r="AA13" i="39"/>
  <c r="Q43" i="39"/>
  <c r="Q72" i="39"/>
  <c r="AA62" i="39"/>
  <c r="Q64" i="39"/>
  <c r="Q50" i="39"/>
  <c r="AA27" i="39"/>
  <c r="Q31" i="39"/>
  <c r="Q28" i="39"/>
  <c r="AA61" i="39"/>
  <c r="Q6" i="39"/>
  <c r="Q45" i="39"/>
  <c r="Q33" i="39"/>
  <c r="Q13" i="39"/>
  <c r="Q39" i="39"/>
  <c r="Q36" i="39"/>
  <c r="AA41" i="39"/>
  <c r="Q56" i="39"/>
  <c r="AA70" i="39"/>
  <c r="AA19" i="39"/>
  <c r="Q52" i="39"/>
  <c r="W73" i="39" l="1"/>
  <c r="W74" i="39"/>
  <c r="W75" i="39"/>
  <c r="W76" i="39"/>
  <c r="W77" i="39"/>
  <c r="W78" i="39"/>
  <c r="W79" i="39"/>
  <c r="W80" i="39"/>
  <c r="W81" i="39"/>
  <c r="W82" i="39"/>
  <c r="W83" i="39"/>
  <c r="W84" i="39"/>
  <c r="W85" i="39"/>
  <c r="W86" i="39"/>
  <c r="W87" i="39"/>
  <c r="W88" i="39"/>
  <c r="W89" i="39"/>
  <c r="W90" i="39"/>
  <c r="W91" i="39"/>
  <c r="W92" i="39"/>
  <c r="W93" i="39"/>
  <c r="W94" i="39"/>
  <c r="W95" i="39"/>
  <c r="W96" i="39"/>
  <c r="W97" i="39"/>
  <c r="W98" i="39"/>
  <c r="W99" i="39"/>
  <c r="W100" i="39"/>
  <c r="W101" i="39"/>
  <c r="O96" i="39" l="1"/>
  <c r="O93" i="39"/>
  <c r="O88" i="39"/>
  <c r="O87" i="39"/>
  <c r="O84" i="39"/>
  <c r="O82" i="39"/>
  <c r="O81" i="39"/>
  <c r="N80" i="39"/>
  <c r="O73" i="39"/>
  <c r="U92" i="39"/>
  <c r="N93" i="39"/>
  <c r="N94" i="39"/>
  <c r="U95" i="39"/>
  <c r="U96" i="39"/>
  <c r="U97" i="39"/>
  <c r="N98" i="39"/>
  <c r="N99" i="39"/>
  <c r="U100" i="39"/>
  <c r="N101" i="39"/>
  <c r="U87" i="39"/>
  <c r="N77" i="39"/>
  <c r="U78" i="39"/>
  <c r="U79" i="39"/>
  <c r="N96" i="39"/>
  <c r="N97" i="39"/>
  <c r="N73" i="39"/>
  <c r="L74" i="39"/>
  <c r="M74" i="39"/>
  <c r="S74" i="39"/>
  <c r="T74" i="39"/>
  <c r="L75" i="39"/>
  <c r="M75" i="39"/>
  <c r="O75" i="39"/>
  <c r="S75" i="39"/>
  <c r="T75" i="39"/>
  <c r="L76" i="39"/>
  <c r="M76" i="39"/>
  <c r="O76" i="39"/>
  <c r="S76" i="39"/>
  <c r="T76" i="39"/>
  <c r="L77" i="39"/>
  <c r="M77" i="39"/>
  <c r="O77" i="39"/>
  <c r="S77" i="39"/>
  <c r="T77" i="39"/>
  <c r="L78" i="39"/>
  <c r="M78" i="39"/>
  <c r="O78" i="39"/>
  <c r="S78" i="39"/>
  <c r="T78" i="39"/>
  <c r="L79" i="39"/>
  <c r="M79" i="39"/>
  <c r="O79" i="39"/>
  <c r="S79" i="39"/>
  <c r="T79" i="39"/>
  <c r="L80" i="39"/>
  <c r="M80" i="39"/>
  <c r="O80" i="39"/>
  <c r="S80" i="39"/>
  <c r="T80" i="39"/>
  <c r="L81" i="39"/>
  <c r="M81" i="39"/>
  <c r="S81" i="39"/>
  <c r="T81" i="39"/>
  <c r="L82" i="39"/>
  <c r="M82" i="39"/>
  <c r="S82" i="39"/>
  <c r="T82" i="39"/>
  <c r="L83" i="39"/>
  <c r="M83" i="39"/>
  <c r="O83" i="39"/>
  <c r="S83" i="39"/>
  <c r="T83" i="39"/>
  <c r="L84" i="39"/>
  <c r="M84" i="39"/>
  <c r="S84" i="39"/>
  <c r="T84" i="39"/>
  <c r="L85" i="39"/>
  <c r="M85" i="39"/>
  <c r="S85" i="39"/>
  <c r="T85" i="39"/>
  <c r="L86" i="39"/>
  <c r="M86" i="39"/>
  <c r="O86" i="39"/>
  <c r="S86" i="39"/>
  <c r="T86" i="39"/>
  <c r="L87" i="39"/>
  <c r="M87" i="39"/>
  <c r="S87" i="39"/>
  <c r="T87" i="39"/>
  <c r="L88" i="39"/>
  <c r="M88" i="39"/>
  <c r="S88" i="39"/>
  <c r="T88" i="39"/>
  <c r="L89" i="39"/>
  <c r="M89" i="39"/>
  <c r="O89" i="39"/>
  <c r="S89" i="39"/>
  <c r="T89" i="39"/>
  <c r="L90" i="39"/>
  <c r="M90" i="39"/>
  <c r="S90" i="39"/>
  <c r="T90" i="39"/>
  <c r="L91" i="39"/>
  <c r="M91" i="39"/>
  <c r="O91" i="39"/>
  <c r="S91" i="39"/>
  <c r="T91" i="39"/>
  <c r="L92" i="39"/>
  <c r="M92" i="39"/>
  <c r="O92" i="39"/>
  <c r="S92" i="39"/>
  <c r="T92" i="39"/>
  <c r="L93" i="39"/>
  <c r="M93" i="39"/>
  <c r="S93" i="39"/>
  <c r="T93" i="39"/>
  <c r="L94" i="39"/>
  <c r="M94" i="39"/>
  <c r="O94" i="39"/>
  <c r="S94" i="39"/>
  <c r="T94" i="39"/>
  <c r="L95" i="39"/>
  <c r="M95" i="39"/>
  <c r="O95" i="39"/>
  <c r="S95" i="39"/>
  <c r="T95" i="39"/>
  <c r="L96" i="39"/>
  <c r="M96" i="39"/>
  <c r="S96" i="39"/>
  <c r="T96" i="39"/>
  <c r="L97" i="39"/>
  <c r="M97" i="39"/>
  <c r="O97" i="39"/>
  <c r="S97" i="39"/>
  <c r="T97" i="39"/>
  <c r="L98" i="39"/>
  <c r="M98" i="39"/>
  <c r="O98" i="39"/>
  <c r="S98" i="39"/>
  <c r="T98" i="39"/>
  <c r="U98" i="39"/>
  <c r="L99" i="39"/>
  <c r="M99" i="39"/>
  <c r="O99" i="39"/>
  <c r="S99" i="39"/>
  <c r="T99" i="39"/>
  <c r="L100" i="39"/>
  <c r="M100" i="39"/>
  <c r="O100" i="39"/>
  <c r="S100" i="39"/>
  <c r="T100" i="39"/>
  <c r="L101" i="39"/>
  <c r="M101" i="39"/>
  <c r="O101" i="39"/>
  <c r="S101" i="39"/>
  <c r="T101" i="39"/>
  <c r="T73" i="39"/>
  <c r="S73" i="39"/>
  <c r="M73" i="39"/>
  <c r="L73" i="39"/>
  <c r="Q78" i="39"/>
  <c r="AA84" i="39"/>
  <c r="Q96" i="39"/>
  <c r="Q84" i="39"/>
  <c r="Q81" i="39"/>
  <c r="Q86" i="39"/>
  <c r="Q73" i="39"/>
  <c r="AA96" i="39"/>
  <c r="Q92" i="39"/>
  <c r="AA82" i="39"/>
  <c r="AA93" i="39"/>
  <c r="AA73" i="39"/>
  <c r="Q90" i="39"/>
  <c r="Q83" i="39"/>
  <c r="AA76" i="39"/>
  <c r="AA86" i="39"/>
  <c r="AA77" i="39"/>
  <c r="AA99" i="39"/>
  <c r="Q79" i="39"/>
  <c r="Q101" i="39"/>
  <c r="Q77" i="39"/>
  <c r="Q91" i="39"/>
  <c r="AA101" i="39"/>
  <c r="AA91" i="39"/>
  <c r="Q75" i="39"/>
  <c r="Q97" i="39"/>
  <c r="AA97" i="39"/>
  <c r="Q88" i="39"/>
  <c r="AA98" i="39"/>
  <c r="AA79" i="39"/>
  <c r="Q76" i="39"/>
  <c r="Q89" i="39"/>
  <c r="AA89" i="39"/>
  <c r="AA100" i="39"/>
  <c r="Q100" i="39"/>
  <c r="Q99" i="39"/>
  <c r="AA81" i="39"/>
  <c r="Q85" i="39"/>
  <c r="Q93" i="39"/>
  <c r="Q74" i="39"/>
  <c r="AA85" i="39"/>
  <c r="AA78" i="39"/>
  <c r="Q95" i="39"/>
  <c r="Q82" i="39"/>
  <c r="Q87" i="39"/>
  <c r="AA95" i="39"/>
  <c r="AA80" i="39"/>
  <c r="AA87" i="39"/>
  <c r="AA94" i="39"/>
  <c r="AA90" i="39"/>
  <c r="AA92" i="39"/>
  <c r="Q98" i="39"/>
  <c r="AA75" i="39"/>
  <c r="AA83" i="39"/>
  <c r="Q94" i="39"/>
  <c r="AA88" i="39"/>
  <c r="AA74" i="39"/>
  <c r="Q80" i="39"/>
  <c r="N95" i="39" l="1"/>
  <c r="N79" i="39"/>
  <c r="U93" i="39"/>
  <c r="N92" i="39"/>
  <c r="N83" i="39"/>
  <c r="U83" i="39"/>
  <c r="N85" i="39"/>
  <c r="U85" i="39"/>
  <c r="U86" i="39"/>
  <c r="N86" i="39"/>
  <c r="U89" i="39"/>
  <c r="N89" i="39"/>
  <c r="U90" i="39"/>
  <c r="N90" i="39"/>
  <c r="N91" i="39"/>
  <c r="U91" i="39"/>
  <c r="N74" i="39"/>
  <c r="U74" i="39"/>
  <c r="N75" i="39"/>
  <c r="U75" i="39"/>
  <c r="N76" i="39"/>
  <c r="U76" i="39"/>
  <c r="U101" i="39"/>
  <c r="O85" i="39"/>
  <c r="U82" i="39"/>
  <c r="N81" i="39"/>
  <c r="O90" i="39"/>
  <c r="N87" i="39"/>
  <c r="U73" i="39"/>
  <c r="O74" i="39"/>
  <c r="U81" i="39"/>
  <c r="N100" i="39"/>
  <c r="U94" i="39"/>
  <c r="N78" i="39"/>
  <c r="U80" i="39"/>
  <c r="U99" i="39"/>
  <c r="U77" i="39"/>
  <c r="N84" i="39" l="1"/>
  <c r="U84" i="39"/>
  <c r="N82" i="39"/>
  <c r="N88" i="39"/>
  <c r="U88" i="39"/>
  <c r="B23" i="31"/>
  <c r="B24" i="31"/>
  <c r="B18" i="31" l="1"/>
  <c r="B6" i="31" l="1"/>
  <c r="B5" i="31"/>
</calcChain>
</file>

<file path=xl/sharedStrings.xml><?xml version="1.0" encoding="utf-8"?>
<sst xmlns="http://schemas.openxmlformats.org/spreadsheetml/2006/main" count="2432" uniqueCount="421">
  <si>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</si>
  <si>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</si>
  <si>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</si>
  <si>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</si>
  <si>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</si>
  <si>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</si>
  <si>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</si>
  <si>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</si>
  <si>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</si>
  <si>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</si>
  <si>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</si>
  <si>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</si>
  <si>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</si>
  <si>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</si>
  <si>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</si>
  <si>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</si>
  <si>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</si>
  <si>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</si>
  <si>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</si>
  <si>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</si>
  <si>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</si>
  <si>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</si>
  <si>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</si>
  <si>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</si>
  <si>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</si>
  <si>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</si>
  <si>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</si>
  <si>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</si>
  <si>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</si>
  <si>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</si>
  <si>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</si>
  <si>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https://github.com/JLMenegotto/RepoOnto#</t>
  </si>
  <si>
    <t>Explicação</t>
  </si>
  <si>
    <t>Explicación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</si>
  <si>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</si>
  <si>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</si>
  <si>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</si>
  <si>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</si>
  <si>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</si>
  <si>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</si>
  <si>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</si>
  <si>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</si>
  <si>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</si>
  <si>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</si>
  <si>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</si>
  <si>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</si>
  <si>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</si>
  <si>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</si>
  <si>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</si>
  <si>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</si>
  <si>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</si>
  <si>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</si>
  <si>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</si>
  <si>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</si>
  <si>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</si>
  <si>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</si>
  <si>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</si>
  <si>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</si>
  <si>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</si>
  <si>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</si>
  <si>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</si>
  <si>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</si>
  <si>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</si>
  <si>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</si>
  <si>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</si>
  <si>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</si>
  <si>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</si>
  <si>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</si>
  <si>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</si>
  <si>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</si>
  <si>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</si>
  <si>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</si>
  <si>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</si>
  <si>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</si>
  <si>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</si>
  <si>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Projeto</t>
  </si>
  <si>
    <t>Equivalente a</t>
  </si>
  <si>
    <t>bim:</t>
  </si>
  <si>
    <t>Brasil - Rio de Janeiro</t>
  </si>
  <si>
    <t>é.pertencente.a</t>
  </si>
  <si>
    <t>CategoriaRvt</t>
  </si>
  <si>
    <t>ClasseIfc</t>
  </si>
  <si>
    <t>00.Super
Class
5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</si>
  <si>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</si>
  <si>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</si>
  <si>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</si>
  <si>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</si>
  <si>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</si>
  <si>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</si>
  <si>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</si>
  <si>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</si>
  <si>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Fabricantes_e_Fornecedores</t>
  </si>
  <si>
    <t>Dados de fabricantes e fornecedores de produtos para a construção ciivil</t>
  </si>
  <si>
    <t>Formalizar dados de fabricantes e fornecedores de produtos para a construção</t>
  </si>
  <si>
    <t>Contêiner</t>
  </si>
  <si>
    <t>Fornecedores</t>
  </si>
  <si>
    <t>A.Serviço</t>
  </si>
  <si>
    <t>A.Fabricante</t>
  </si>
  <si>
    <t>A.Consultor</t>
  </si>
  <si>
    <t>A.Vendedor</t>
  </si>
  <si>
    <t>E.Serviço</t>
  </si>
  <si>
    <t>E.Consultor</t>
  </si>
  <si>
    <t>E.Vendedor</t>
  </si>
  <si>
    <t>E.Fabricante</t>
  </si>
  <si>
    <t>I.Serviço</t>
  </si>
  <si>
    <t>I.Consultor</t>
  </si>
  <si>
    <t>I.Vendedor</t>
  </si>
  <si>
    <t>I.Fabricante</t>
  </si>
  <si>
    <t>A.Empresa.Consultora</t>
  </si>
  <si>
    <t>M.Serviço</t>
  </si>
  <si>
    <t>M.Consultor</t>
  </si>
  <si>
    <t>M.Vendedor</t>
  </si>
  <si>
    <t>M.Fabricante</t>
  </si>
  <si>
    <t>H.Serviço</t>
  </si>
  <si>
    <t>H.Consultor</t>
  </si>
  <si>
    <t>H.Vendedor</t>
  </si>
  <si>
    <t>H.Fabricante</t>
  </si>
  <si>
    <t>L.Serviço</t>
  </si>
  <si>
    <t>L.Consultor</t>
  </si>
  <si>
    <t>L.Vendedor</t>
  </si>
  <si>
    <t>L.Fabricante</t>
  </si>
  <si>
    <t>N.Serviço</t>
  </si>
  <si>
    <t>N.Consultor</t>
  </si>
  <si>
    <t>N.Vendedor</t>
  </si>
  <si>
    <t>N.Fabricante</t>
  </si>
  <si>
    <t>G.Serviço</t>
  </si>
  <si>
    <t>G.Consultor</t>
  </si>
  <si>
    <t>G.Vendedor</t>
  </si>
  <si>
    <t>G.Fabricante</t>
  </si>
  <si>
    <t>Segmento.de.Arquitetura</t>
  </si>
  <si>
    <t>Segmento.de.Estrutura</t>
  </si>
  <si>
    <t>Segmento.de.Instalações</t>
  </si>
  <si>
    <t>Segmento.de.Inovação</t>
  </si>
  <si>
    <t>Segmento.de.Mobiliário</t>
  </si>
  <si>
    <t>Segmento.Hospitalar</t>
  </si>
  <si>
    <t>Segmento.Laboratorial</t>
  </si>
  <si>
    <t>Fornecedor do segmento de estrutura: é um serviço</t>
  </si>
  <si>
    <t>Fornecedor do segmento de estrutura: é um consultor autônomo</t>
  </si>
  <si>
    <t>Fornecedor do segmento de estrutura: é uma empresa consultora</t>
  </si>
  <si>
    <t>Fornecedor do segmento de estrutura: é um vendedor de produtos</t>
  </si>
  <si>
    <t>Fornecedor do segmento de estrutura: é um fabricante de produtos</t>
  </si>
  <si>
    <t>Fornecedor do segmento de instalações: é um serviço</t>
  </si>
  <si>
    <t>Fornecedor do segmento de instalações: é um consultor autônomo</t>
  </si>
  <si>
    <t>Fornecedor do segmento de instalações: é uma empresa consultora</t>
  </si>
  <si>
    <t>Fornecedor do segmento de instalações: é um vendedor de produtos</t>
  </si>
  <si>
    <t>Fornecedor do segmento de instalações: é um fabricante de produtos</t>
  </si>
  <si>
    <t>Fornecedor do segmento de mobiliário: é um serviço</t>
  </si>
  <si>
    <t>Fornecedor do segmento de mobiliário: é um consultor autônomo</t>
  </si>
  <si>
    <t>Fornecedor do segmento de mobiliário: é uma empresa consultora</t>
  </si>
  <si>
    <t>Fornecedor do segmento de mobiliário: é um vendedor de produtos</t>
  </si>
  <si>
    <t>Fornecedor do segmento de mobiliário: é um fabricante de produtos</t>
  </si>
  <si>
    <t>Fornecedor do segmento de laboratorial: é um serviço</t>
  </si>
  <si>
    <t>Fornecedor do segmento de laboratorial: é um consultor autônomo</t>
  </si>
  <si>
    <t>Fornecedor do segmento de laboratorial: é uma empresa consultora</t>
  </si>
  <si>
    <t>Fornecedor do segmento de laboratorial: é um vendedor de produtos</t>
  </si>
  <si>
    <t>Fornecedor do segmento de laboratorial: é um fabricante de produtos</t>
  </si>
  <si>
    <t>Fornecedor do segmento de inovação: é um serviço</t>
  </si>
  <si>
    <t>Fornecedor do segmento de inovação: é um consultor autônomo</t>
  </si>
  <si>
    <t>Fornecedor do segmento de inovação: é uma empresa consultora</t>
  </si>
  <si>
    <t>Fornecedor do segmento de inovação: é um vendedor de produtos</t>
  </si>
  <si>
    <t>Fornecedor do segmento de inovação: é um fabricante de produtos</t>
  </si>
  <si>
    <t>Fornecedor do segmento de geotécnica: é um serviço</t>
  </si>
  <si>
    <t>Fornecedor do segmento de geotécnica: é um consultor autônomo</t>
  </si>
  <si>
    <t>Fornecedor do segmento de geotécnica: é uma empresa consultora</t>
  </si>
  <si>
    <t>Fornecedor do segmento de geotécnica: é um vendedor de produtos</t>
  </si>
  <si>
    <t>Fornecedor do segmento de geotécnica: é um fabricante de produtos</t>
  </si>
  <si>
    <t>Fornecedor do segmento hospitalar: é um serviço</t>
  </si>
  <si>
    <t>Fornecedor do segmento hospitalar: é um consultor autônomo</t>
  </si>
  <si>
    <t>Fornecedor do segmento hospitalar: é uma empresa consultora</t>
  </si>
  <si>
    <t>Fornecedor do segmento hospitalar: é um vendedor de produtos</t>
  </si>
  <si>
    <t>Fornecedor do segmento hospitalar: é um fabricante de produtos</t>
  </si>
  <si>
    <t>1S.80.25</t>
  </si>
  <si>
    <t>1S.90.45</t>
  </si>
  <si>
    <t>1S.50</t>
  </si>
  <si>
    <t>1S.70.20.04</t>
  </si>
  <si>
    <t>1S.10.75.03</t>
  </si>
  <si>
    <t>1S.70.20</t>
  </si>
  <si>
    <t>G.Fornecimento</t>
  </si>
  <si>
    <t>N.Fornecimento</t>
  </si>
  <si>
    <t>A.Fornecimento</t>
  </si>
  <si>
    <t>E.Fornecimento</t>
  </si>
  <si>
    <t>I.Fornecimento</t>
  </si>
  <si>
    <t>M.Fornecimento</t>
  </si>
  <si>
    <t>H.Fornecimento</t>
  </si>
  <si>
    <t>L.Fornecimento</t>
  </si>
  <si>
    <t>3E.02</t>
  </si>
  <si>
    <t>3E.04</t>
  </si>
  <si>
    <t>3E.06</t>
  </si>
  <si>
    <t>3E.08</t>
  </si>
  <si>
    <t>3E.10</t>
  </si>
  <si>
    <t>3E.12</t>
  </si>
  <si>
    <t>3E.14</t>
  </si>
  <si>
    <t>3E.16</t>
  </si>
  <si>
    <t>3E.20</t>
  </si>
  <si>
    <t>3E.22</t>
  </si>
  <si>
    <t>3E.26</t>
  </si>
  <si>
    <t>3E.28</t>
  </si>
  <si>
    <t>3E.30</t>
  </si>
  <si>
    <t>3E.32</t>
  </si>
  <si>
    <t>3E.34</t>
  </si>
  <si>
    <t>3E.36</t>
  </si>
  <si>
    <t>3E.38</t>
  </si>
  <si>
    <t>3E.40</t>
  </si>
  <si>
    <t>3E.42</t>
  </si>
  <si>
    <t>3E.44</t>
  </si>
  <si>
    <t>3E.48</t>
  </si>
  <si>
    <t>3E.50</t>
  </si>
  <si>
    <t>3E.52</t>
  </si>
  <si>
    <t>3E.54</t>
  </si>
  <si>
    <t>3E.56</t>
  </si>
  <si>
    <t>3E.58</t>
  </si>
  <si>
    <t>3E.60</t>
  </si>
  <si>
    <t>3E.62</t>
  </si>
  <si>
    <t>3E.64</t>
  </si>
  <si>
    <t>E.Empresa.Consultora</t>
  </si>
  <si>
    <t>I.Empresa.Consultora</t>
  </si>
  <si>
    <t>M.Empresa.Consultora</t>
  </si>
  <si>
    <t>H.Empresa.Consultora</t>
  </si>
  <si>
    <t>L.Empresa.Consultora</t>
  </si>
  <si>
    <t>N.Empresa.Consultora</t>
  </si>
  <si>
    <t>G.Empresa.Consultora</t>
  </si>
  <si>
    <t>Produto.de.Obra</t>
  </si>
  <si>
    <t>Produto.de.Drenagem</t>
  </si>
  <si>
    <t>Produto.de.Tráfego</t>
  </si>
  <si>
    <t>Produto.de.Fundação</t>
  </si>
  <si>
    <t>Produto.de.Estrutura</t>
  </si>
  <si>
    <t>Produto.de.Vedação</t>
  </si>
  <si>
    <t>Produto.de.Acabado</t>
  </si>
  <si>
    <t>Produto.de.Abertura</t>
  </si>
  <si>
    <t>Produto.de.Acústica</t>
  </si>
  <si>
    <t>Produto.de.Elétrica</t>
  </si>
  <si>
    <t>Produto.de.Iluminação</t>
  </si>
  <si>
    <t>Produto.de.Exaustão.Ventilação</t>
  </si>
  <si>
    <t>Produto.de.Telecom.Urbana</t>
  </si>
  <si>
    <t>Produto.de.Telecom.Predial</t>
  </si>
  <si>
    <t>Produto.de.Hidráulica.Urbana</t>
  </si>
  <si>
    <t>Produto.de.Hidráulica.Predial</t>
  </si>
  <si>
    <t>Produto.de.Pluvial</t>
  </si>
  <si>
    <t>Produto.de.Esgoto.Predial</t>
  </si>
  <si>
    <t>Produto.de.Esgoto.Urbano</t>
  </si>
  <si>
    <t>Produto.de.Resíduo</t>
  </si>
  <si>
    <t>Produto.de.Refrigeração</t>
  </si>
  <si>
    <t>Produto.de.Aquecimento</t>
  </si>
  <si>
    <t>Produto.de.Gases</t>
  </si>
  <si>
    <t>Produto.de.Mobiliário</t>
  </si>
  <si>
    <t>Produto.de.Automação</t>
  </si>
  <si>
    <t>Produto.de.Proteção.de.Incêndio</t>
  </si>
  <si>
    <t>Produto.de.Segurança.Patrimonial</t>
  </si>
  <si>
    <t>Fornecidos</t>
  </si>
  <si>
    <t>Produto.de.Geotécnica</t>
  </si>
  <si>
    <t>Gestão</t>
  </si>
  <si>
    <t>Produzido</t>
  </si>
  <si>
    <t>Informação</t>
  </si>
  <si>
    <t>Define um contêiner de informção de acordo à norma NBR 19650-1.</t>
  </si>
  <si>
    <t>Segmento.de.Produto</t>
  </si>
  <si>
    <t>Segmentos.de.Produto</t>
  </si>
  <si>
    <t>Segmentos.de.Profissionais</t>
  </si>
  <si>
    <t>Produto.de.Proteção.de.Descargas</t>
  </si>
  <si>
    <t>Segmento.de.Acústica</t>
  </si>
  <si>
    <t>S.Serviço</t>
  </si>
  <si>
    <t>S.Consultor</t>
  </si>
  <si>
    <t>S.EmpresS.Consultora</t>
  </si>
  <si>
    <t>S.Vendedor</t>
  </si>
  <si>
    <t>S.Fabricante</t>
  </si>
  <si>
    <t>S.Fornecimento</t>
  </si>
  <si>
    <t>Fornecedor do segmento de arquitetura: é um serviço</t>
  </si>
  <si>
    <t>Fornecedor do segmento de arquitetura: é um consultor autônomo</t>
  </si>
  <si>
    <t>Fornecedor do segmento de arquitetura: é uma empresa consultora</t>
  </si>
  <si>
    <t>Fornecedor do segmento de arquitetura: é um vendedor de produtos</t>
  </si>
  <si>
    <t>Fornecedor do segmento de arquitetura: é um fabricante de produtos</t>
  </si>
  <si>
    <t>Fornecedor do segmento de acústica: é um serviço</t>
  </si>
  <si>
    <t>Fornecedor do segmento de acústica: é um consultor autônomo</t>
  </si>
  <si>
    <t>Fornecedor do segmento de acústica: é uma empresa consultora</t>
  </si>
  <si>
    <t>Fornecedor do segmento de acústica: é um vendedor de produtos</t>
  </si>
  <si>
    <t>Fornecedor do segmento de acústica: é um fabricante de produtos</t>
  </si>
  <si>
    <t>Fornecedor do segmento de arquitetura: é um fornecedor</t>
  </si>
  <si>
    <t>Fornecedor do segmento de acústica: é um fornecedor</t>
  </si>
  <si>
    <t>Fornecedor do segmento de estrutura: é um fornecedor</t>
  </si>
  <si>
    <t>Fornecedor do segmento de geotécnica: é um fornecedor</t>
  </si>
  <si>
    <t>Fornecedor do segmento de instalações: é um fornecedor</t>
  </si>
  <si>
    <t>Fornecedor do segmento de mobiliário: é um fornecedor</t>
  </si>
  <si>
    <t>Fornecedor do segmento hospitalar: é um fornecedor</t>
  </si>
  <si>
    <t>Fornecedor do segmento de laboratorial: é um fornecedor</t>
  </si>
  <si>
    <t>Fornecedor do segmento de inovação: é um fornecedor</t>
  </si>
  <si>
    <t>É um produto ou elemento do segmento de Iluminação</t>
  </si>
  <si>
    <t>Produção</t>
  </si>
  <si>
    <t>X.Consultor</t>
  </si>
  <si>
    <t>X.Empresa.Consultora</t>
  </si>
  <si>
    <t>X.Fabricante</t>
  </si>
  <si>
    <t>X.Fornecimento</t>
  </si>
  <si>
    <t>X.Serviço</t>
  </si>
  <si>
    <t>X.Vendedor</t>
  </si>
  <si>
    <t>Segmento.de.Geotécnica</t>
  </si>
  <si>
    <t>Fornecedor do segmento geral: é um consultor autônomo</t>
  </si>
  <si>
    <t>Fornecedor do segmento geral: é uma empresa consultora</t>
  </si>
  <si>
    <t>Fornecedor do segmento geral: é um fabricante de produtos</t>
  </si>
  <si>
    <t>Fornecedor do segmento geral: é um fornecedor</t>
  </si>
  <si>
    <t>Fornecedor do segmento geral: é um serviço</t>
  </si>
  <si>
    <t>Fornecedor do segmento geral: é um vendedor de produtos</t>
  </si>
  <si>
    <t>É um produto ou elemento do segmento de estrutura de fundação</t>
  </si>
  <si>
    <t>É um produto ou elemento do segmento de geotécnica</t>
  </si>
  <si>
    <t>É um produto ou elemento do segmento de drenagem</t>
  </si>
  <si>
    <t>É um produto ou elemento do segmento de estrutura</t>
  </si>
  <si>
    <t>É um produto ou elemento do segmento de acabado</t>
  </si>
  <si>
    <t>É um produto ou elemento do segmento de acústica</t>
  </si>
  <si>
    <t>É um produto ou elemento do segmento de elétrica</t>
  </si>
  <si>
    <t>É um produto ou elemento do segmento de exaustão e ventilação</t>
  </si>
  <si>
    <t>É um produto ou elemento do segmento de rede de esgoto predial</t>
  </si>
  <si>
    <t>É um produto ou elemento do segmento de rede de esgoto urbano</t>
  </si>
  <si>
    <t>É um produto ou elemento do segmento de rede hidráulica predial</t>
  </si>
  <si>
    <t>É um produto ou elemento do segmento de rede de hidráulica urbana</t>
  </si>
  <si>
    <t>É um produto ou elemento do segmento de rede de telecom urbana</t>
  </si>
  <si>
    <t>É um produto ou elemento do segmento de rede de telecom predial</t>
  </si>
  <si>
    <t>É um produto ou elemento do segmento de rede pluvial</t>
  </si>
  <si>
    <t>É um produto ou elemento do segmento de tratamento de resíduos</t>
  </si>
  <si>
    <t>É um produto ou elemento do segmento de refrigeração</t>
  </si>
  <si>
    <t>É um produto ou elemento do segmento de aquecimento</t>
  </si>
  <si>
    <t>É um produto ou elemento do segmento de gases</t>
  </si>
  <si>
    <t>É um produto ou elemento do segmento de mobiliário</t>
  </si>
  <si>
    <t>É um produto ou elemento do segmento de automação</t>
  </si>
  <si>
    <t>É um produto ou elemento do segmento de proteção de descargas atmosfêricas</t>
  </si>
  <si>
    <t>É um produto ou elemento do segmento de proteção de incêndio</t>
  </si>
  <si>
    <t>É um produto ou elemento do segmento de segurança patrimonial</t>
  </si>
  <si>
    <t>É um produto ou elemento do segmento de aberturas e esquadrias</t>
  </si>
  <si>
    <t>É um produto ou elemento do segmento de vedação, paredes e telhados</t>
  </si>
  <si>
    <t>É um produto ou elemento do segmento de tráfego e pavimentação</t>
  </si>
  <si>
    <t>É um produto ou elemento do segmento de canteiro de obra</t>
  </si>
  <si>
    <t>Tigre</t>
  </si>
  <si>
    <t>Fischer</t>
  </si>
  <si>
    <t>Segmento.Geral</t>
  </si>
  <si>
    <t>website</t>
  </si>
  <si>
    <t>SG.Canalização</t>
  </si>
  <si>
    <t>A.Projetista</t>
  </si>
  <si>
    <t>E.Projetista</t>
  </si>
  <si>
    <t>G.Projetista</t>
  </si>
  <si>
    <t>H.Projetista</t>
  </si>
  <si>
    <t>I.Projetista</t>
  </si>
  <si>
    <t>L.Projetista</t>
  </si>
  <si>
    <t>M.Projetista</t>
  </si>
  <si>
    <t>N.Projetista</t>
  </si>
  <si>
    <t>S.Projetista</t>
  </si>
  <si>
    <t>X.Projetista</t>
  </si>
  <si>
    <t>Fornecedor do segmento de arquitetura: é um Projetista ou Empresa de projeto</t>
  </si>
  <si>
    <t>Fornecedor do segmento de estrutura:  é um Projetista ou Empresa de projeto</t>
  </si>
  <si>
    <t>Fornecedor do segmento de geotécnica: é um Projetista ou Empresa de projeto</t>
  </si>
  <si>
    <t>Fornecedor do segmento hospitalar: é um Projetista ou Empresa de projeto</t>
  </si>
  <si>
    <t>Fornecedor do segmento de instalações: é um Projetista ou Empresa de projeto</t>
  </si>
  <si>
    <t>Fornecedor do segmento de laboratorial: é um Projetista ou Empresa de projeto</t>
  </si>
  <si>
    <t>Fornecedor do segmento de mobiliário: é um Projetista ou Empresa de projeto</t>
  </si>
  <si>
    <t>Fornecedor do segmento de inovação: é um Projetista ou Empresa de projeto</t>
  </si>
  <si>
    <t>Fornecedor do segmento de acústica: é um Projetista ou Empresa de projeto</t>
  </si>
  <si>
    <t>Fornecedor do segmento geral: é um Projetista ou Empresa de projeto</t>
  </si>
  <si>
    <t>fabricante.de</t>
  </si>
  <si>
    <t>Gerdau</t>
  </si>
  <si>
    <t>Cassol</t>
  </si>
  <si>
    <t>"página : https://www.cassol.ind.br"</t>
  </si>
  <si>
    <t>"página : https://www.sgpam.com.br"</t>
  </si>
  <si>
    <t>"página : https://www.tigre.com.br"</t>
  </si>
  <si>
    <t>"página : https://www.fischerbrasil.com.br"</t>
  </si>
  <si>
    <t>"Fabrica produtos de saneamento básico."</t>
  </si>
  <si>
    <t>"Fabrica produtos de instalações sanitárias."</t>
  </si>
  <si>
    <t>"Fabrica produtos de fixação."</t>
  </si>
  <si>
    <t>"Fabrica perfis laminados estruturais."</t>
  </si>
  <si>
    <t>"Fabrica soluções para a construção pré-fabricada."</t>
  </si>
  <si>
    <t>Peças.Sanitárias</t>
  </si>
  <si>
    <t>Peças.Estruturais</t>
  </si>
  <si>
    <t>Peças.Mobiliário</t>
  </si>
  <si>
    <t>Peças.Hidráulicas</t>
  </si>
  <si>
    <t>Deca</t>
  </si>
  <si>
    <t>Sodimac</t>
  </si>
  <si>
    <t>"página : https://www.sodimac.com.br"</t>
  </si>
  <si>
    <t>"página : https://www.deca.com.br"</t>
  </si>
  <si>
    <t>"Fabrica peças sanitárias para banho e cozinha."</t>
  </si>
  <si>
    <t>"Contêiner com toda a informação do projeto"</t>
  </si>
  <si>
    <t>"Contêiner do catálogo de peças sanitárias usadas no projeto"</t>
  </si>
  <si>
    <t>"Contêiner do catálogo de peças estruturais usadas no projeto"</t>
  </si>
  <si>
    <t>"Contêiner do catálogo de peças mobiliário usados no projeto"</t>
  </si>
  <si>
    <t>"Contêiner do catálogo de peças hidráulicas usadas no projeto"</t>
  </si>
  <si>
    <t>"Contêiner do catálogo de fabricantes usados no projeto"</t>
  </si>
  <si>
    <t>"página : https://mais.gerdau.com.br"</t>
  </si>
  <si>
    <t>"Loja de materiais de construção."</t>
  </si>
  <si>
    <t>Catálogo.Projeto.01</t>
  </si>
  <si>
    <t>Projeto.01</t>
  </si>
  <si>
    <t>fornecedor.de</t>
  </si>
  <si>
    <t>"página : https://www.celite.com.br"</t>
  </si>
  <si>
    <t>Celite</t>
  </si>
  <si>
    <t>Knauf</t>
  </si>
  <si>
    <t>"Fabrica produtos de construção a seco."</t>
  </si>
  <si>
    <t>"página : https://www.knauf.com"</t>
  </si>
  <si>
    <t>SG.Quartzolit</t>
  </si>
  <si>
    <t>"página : https://www.quartzolit.weber"</t>
  </si>
  <si>
    <t>"Fabrica argamassas industrializadas."</t>
  </si>
  <si>
    <t>"Argamassas, rejuntes, impermeabilizantes, limpadores, adesivos, selantes, pisos, lixa e tintas."</t>
  </si>
  <si>
    <t>Tecnoflex</t>
  </si>
  <si>
    <t>Alberflex</t>
  </si>
  <si>
    <t>Exponencial.Móveis.Corporativos</t>
  </si>
  <si>
    <t>"página : https://www.exponencial.com.br"</t>
  </si>
  <si>
    <t>"página : https://www.alberflex.com.br"</t>
  </si>
  <si>
    <t>"página : https://tecnoflex.com"</t>
  </si>
  <si>
    <t>"Fabrica mobiliário para escritórios"</t>
  </si>
  <si>
    <t>"Sistemas de mobiliário corporativo: mesas, mesas elevatórias, cadeiras, sofás modulares, paineis privativos, cabines acústicas, divisórias, nichos, sistemas de arquivos, armários, divisores."</t>
  </si>
  <si>
    <t>"Soluções de construção a seco: Drywall, tetos, forros e fachadas."</t>
  </si>
  <si>
    <t>"Peças sanitárias para banheiro e cozinha: bacias, cubas, lavatórios, bidês, chuveiros, duchas, torneiras, misturadores, válvulas, acessórios."</t>
  </si>
  <si>
    <t>"Tubulações predias em PVC: tubos de alimentação e esgoto, conexões, ralos e acessórios para hidráulica predial."</t>
  </si>
  <si>
    <t>"Elementos de fixação: parafusos, chumbadores e fixação para diversos itens da construção."</t>
  </si>
  <si>
    <t>"Peças estruturais de aço: perfis laminados W, HP, I, cantoneiras, barras, arames, pregos, chapas, estribos, guias de elevadores, malhas."</t>
  </si>
  <si>
    <t>"Elementos de concreto pre-fabricado: colunas, vigas, lajes alveolares."</t>
  </si>
  <si>
    <t>"Fornecedor de produtos: Amanco, Quartzolit, Lorenzetti, Deca, Portobello, Ceusa, Incepa, Eucatex, Eliane, Suvinil, Coral, Vedacit e Viapol."</t>
  </si>
  <si>
    <t>"Peças para saneamento básico em Ferro Fundido Dúctil: tubos, conexões e acessórios."</t>
  </si>
  <si>
    <t>"Especializada em moveis de aço para a indústria: prateleiras, bancadas, mesas de separação, armários para ferramentas, arquivos e ficharios de aço, balções, roupeiros, carrinhos de transporte."</t>
  </si>
  <si>
    <t>"Sistemas de mobiliário corporativo: mesas, estações plataforma, cadeiras, suportes, paineis, divisórias, nichos, sistemas de arquivos, armários, divisores."</t>
  </si>
  <si>
    <t>AtenuaSom</t>
  </si>
  <si>
    <t>"Fabrica soluções acústicas para o projeto."</t>
  </si>
  <si>
    <t>"página : https://www.atenuasom.com.br"</t>
  </si>
  <si>
    <t>"Esquadrias acústicas: janelas antirruído, portas antirruído, portas e janelas minimalistas de grandes dimensões."</t>
  </si>
  <si>
    <t>Protec</t>
  </si>
  <si>
    <t>"Fabrica equipamentos hospitalares."</t>
  </si>
  <si>
    <t>"página : https://www.protec.com.br"</t>
  </si>
  <si>
    <t>"Equipamentos hospitalares: oxímetros, analisadores, monitores multiparamétricos, ventiladores pulmonares, etc."</t>
  </si>
  <si>
    <t>Equipamentos.Saúde</t>
  </si>
  <si>
    <t>"Contêiner do catálogo de equipamentos hospitalares usados no projeto"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</si>
</sst>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6E896"/>
        <bgColor rgb="FFD9F2D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rgb="FFFFC0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rgb="FFFFC7CE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10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vertical="center" wrapText="1"/>
    </xf>
    <xf numFmtId="0" fontId="7" fillId="0" borderId="0" xfId="0" applyFont="1"/>
    <xf numFmtId="0" fontId="7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/>
    </xf>
    <xf numFmtId="0" fontId="8" fillId="16" borderId="3" xfId="0" applyFont="1" applyFill="1" applyBorder="1" applyAlignment="1">
      <alignment horizontal="center" vertical="center" wrapText="1"/>
    </xf>
    <xf numFmtId="0" fontId="8" fillId="12" borderId="3" xfId="0" applyFont="1" applyFill="1" applyBorder="1" applyAlignment="1">
      <alignment horizontal="left" vertical="center" wrapText="1"/>
    </xf>
    <xf numFmtId="0" fontId="2" fillId="15" borderId="1" xfId="0" applyFont="1" applyFill="1" applyBorder="1" applyAlignment="1">
      <alignment horizontal="left" vertical="center"/>
    </xf>
    <xf numFmtId="0" fontId="5" fillId="16" borderId="3" xfId="0" applyFont="1" applyFill="1" applyBorder="1" applyAlignment="1">
      <alignment horizontal="left" vertical="center" wrapText="1"/>
    </xf>
    <xf numFmtId="0" fontId="4" fillId="14" borderId="1" xfId="0" applyFont="1" applyFill="1" applyBorder="1" applyAlignment="1">
      <alignment horizontal="left" vertical="center"/>
    </xf>
    <xf numFmtId="0" fontId="8" fillId="16" borderId="3" xfId="0" applyFont="1" applyFill="1" applyBorder="1" applyAlignment="1">
      <alignment vertical="center" wrapText="1"/>
    </xf>
    <xf numFmtId="0" fontId="3" fillId="18" borderId="1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left" vertical="center" wrapText="1"/>
    </xf>
    <xf numFmtId="0" fontId="1" fillId="6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7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8" fillId="12" borderId="3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left" vertical="center" wrapText="1"/>
    </xf>
    <xf numFmtId="0" fontId="3" fillId="15" borderId="1" xfId="0" applyFont="1" applyFill="1" applyBorder="1" applyAlignment="1">
      <alignment horizontal="left" vertical="center"/>
    </xf>
    <xf numFmtId="0" fontId="3" fillId="1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vertical="center"/>
    </xf>
    <xf numFmtId="0" fontId="10" fillId="12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" fillId="10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49" fontId="3" fillId="21" borderId="1" xfId="0" applyNumberFormat="1" applyFont="1" applyFill="1" applyBorder="1" applyAlignment="1">
      <alignment vertical="center" wrapText="1"/>
    </xf>
    <xf numFmtId="0" fontId="3" fillId="13" borderId="1" xfId="0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left" vertical="center"/>
    </xf>
    <xf numFmtId="0" fontId="3" fillId="22" borderId="1" xfId="0" applyFont="1" applyFill="1" applyBorder="1" applyAlignment="1">
      <alignment horizontal="left" vertical="center" wrapText="1"/>
    </xf>
    <xf numFmtId="0" fontId="4" fillId="14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22" borderId="4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left" vertical="center" wrapText="1"/>
    </xf>
    <xf numFmtId="0" fontId="3" fillId="17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2" fillId="5" borderId="1" xfId="0" applyFont="1" applyFill="1" applyBorder="1" applyAlignment="1">
      <alignment vertic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C24"/>
  <sheetViews>
    <sheetView zoomScale="175" zoomScaleNormal="175" workbookViewId="0">
      <pane ySplit="1" topLeftCell="A2" activePane="bottomLeft" state="frozen"/>
      <selection pane="bottomLeft" activeCell="B23" sqref="B23"/>
    </sheetView>
  </sheetViews>
  <sheetFormatPr defaultColWidth="9.15234375" defaultRowHeight="10.5" customHeight="1" x14ac:dyDescent="0.2"/>
  <cols>
    <col min="1" max="1" width="10.3046875" style="13" bestFit="1" customWidth="1"/>
    <col min="2" max="2" width="53.69140625" style="13" bestFit="1" customWidth="1"/>
    <col min="3" max="3" width="3.3828125" style="49" bestFit="1" customWidth="1"/>
    <col min="4" max="16384" width="9.15234375" style="13"/>
  </cols>
  <sheetData>
    <row r="1" spans="1:3" s="10" customFormat="1" ht="21.75" customHeight="1" x14ac:dyDescent="0.4">
      <c r="A1" s="1" t="s">
        <v>3</v>
      </c>
      <c r="B1" s="1" t="s">
        <v>2</v>
      </c>
      <c r="C1" s="47" t="s">
        <v>87</v>
      </c>
    </row>
    <row r="2" spans="1:3" ht="9" customHeight="1" x14ac:dyDescent="0.2">
      <c r="A2" s="2" t="s">
        <v>17</v>
      </c>
      <c r="B2" s="2" t="s">
        <v>77</v>
      </c>
      <c r="C2" s="48" t="s">
        <v>88</v>
      </c>
    </row>
    <row r="3" spans="1:3" ht="9" customHeight="1" x14ac:dyDescent="0.2">
      <c r="A3" s="2" t="s">
        <v>18</v>
      </c>
      <c r="B3" s="3" t="s">
        <v>91</v>
      </c>
      <c r="C3" s="48" t="s">
        <v>88</v>
      </c>
    </row>
    <row r="4" spans="1:3" ht="9" customHeight="1" x14ac:dyDescent="0.2">
      <c r="A4" s="2" t="s">
        <v>7</v>
      </c>
      <c r="B4" s="2" t="s">
        <v>19</v>
      </c>
      <c r="C4" s="48" t="s">
        <v>88</v>
      </c>
    </row>
    <row r="5" spans="1:3" ht="9" customHeight="1" x14ac:dyDescent="0.2">
      <c r="A5" s="2" t="s">
        <v>6</v>
      </c>
      <c r="B5" s="2" t="str">
        <f>_xlfn.CONCAT(B4,"Prop")</f>
        <v>BIMProp</v>
      </c>
      <c r="C5" s="48" t="s">
        <v>88</v>
      </c>
    </row>
    <row r="6" spans="1:3" ht="9" customHeight="1" x14ac:dyDescent="0.2">
      <c r="A6" s="2" t="s">
        <v>8</v>
      </c>
      <c r="B6" s="2" t="str">
        <f>_xlfn.CONCAT(B4,"Data")</f>
        <v>BIMData</v>
      </c>
      <c r="C6" s="48" t="s">
        <v>88</v>
      </c>
    </row>
    <row r="7" spans="1:3" ht="9" customHeight="1" x14ac:dyDescent="0.2">
      <c r="A7" s="2" t="s">
        <v>4</v>
      </c>
      <c r="B7" s="2" t="s">
        <v>31</v>
      </c>
      <c r="C7" s="48" t="s">
        <v>88</v>
      </c>
    </row>
    <row r="8" spans="1:3" s="46" customFormat="1" ht="8.25" customHeight="1" x14ac:dyDescent="0.4">
      <c r="A8" s="2" t="s">
        <v>5</v>
      </c>
      <c r="B8" s="2" t="s">
        <v>85</v>
      </c>
      <c r="C8" s="48" t="s">
        <v>88</v>
      </c>
    </row>
    <row r="9" spans="1:3" ht="9" customHeight="1" x14ac:dyDescent="0.2">
      <c r="A9" s="2" t="s">
        <v>20</v>
      </c>
      <c r="B9" s="2" t="s">
        <v>21</v>
      </c>
      <c r="C9" s="48" t="s">
        <v>88</v>
      </c>
    </row>
    <row r="10" spans="1:3" ht="9" customHeight="1" x14ac:dyDescent="0.2">
      <c r="A10" s="2" t="s">
        <v>22</v>
      </c>
      <c r="B10" s="2" t="s">
        <v>12</v>
      </c>
      <c r="C10" s="48" t="s">
        <v>88</v>
      </c>
    </row>
    <row r="11" spans="1:3" ht="9" customHeight="1" x14ac:dyDescent="0.2">
      <c r="A11" s="2" t="s">
        <v>0</v>
      </c>
      <c r="B11" s="2" t="s">
        <v>12</v>
      </c>
      <c r="C11" s="48" t="s">
        <v>88</v>
      </c>
    </row>
    <row r="12" spans="1:3" ht="9" customHeight="1" x14ac:dyDescent="0.2">
      <c r="A12" s="2" t="s">
        <v>1</v>
      </c>
      <c r="B12" s="2" t="s">
        <v>12</v>
      </c>
      <c r="C12" s="48" t="s">
        <v>88</v>
      </c>
    </row>
    <row r="13" spans="1:3" ht="9" customHeight="1" x14ac:dyDescent="0.2">
      <c r="A13" s="2" t="s">
        <v>23</v>
      </c>
      <c r="B13" s="2" t="s">
        <v>12</v>
      </c>
      <c r="C13" s="48" t="s">
        <v>88</v>
      </c>
    </row>
    <row r="14" spans="1:3" ht="9" customHeight="1" x14ac:dyDescent="0.2">
      <c r="A14" s="2" t="s">
        <v>24</v>
      </c>
      <c r="B14" s="2" t="s">
        <v>12</v>
      </c>
      <c r="C14" s="48" t="s">
        <v>88</v>
      </c>
    </row>
    <row r="15" spans="1:3" ht="9" customHeight="1" x14ac:dyDescent="0.2">
      <c r="A15" s="2" t="s">
        <v>25</v>
      </c>
      <c r="B15" s="2" t="s">
        <v>12</v>
      </c>
      <c r="C15" s="48" t="s">
        <v>88</v>
      </c>
    </row>
    <row r="16" spans="1:3" ht="9" customHeight="1" x14ac:dyDescent="0.2">
      <c r="A16" s="2" t="s">
        <v>26</v>
      </c>
      <c r="B16" s="2" t="s">
        <v>12</v>
      </c>
      <c r="C16" s="48" t="s">
        <v>88</v>
      </c>
    </row>
    <row r="17" spans="1:3" ht="9" customHeight="1" x14ac:dyDescent="0.2">
      <c r="A17" s="2" t="s">
        <v>10</v>
      </c>
      <c r="B17" s="4" t="s">
        <v>92</v>
      </c>
      <c r="C17" s="48" t="s">
        <v>88</v>
      </c>
    </row>
    <row r="18" spans="1:3" ht="9" customHeight="1" x14ac:dyDescent="0.2">
      <c r="A18" s="2" t="s">
        <v>27</v>
      </c>
      <c r="B18" s="5">
        <f ca="1">NOW()</f>
        <v>46013.554318981478</v>
      </c>
      <c r="C18" s="48" t="s">
        <v>88</v>
      </c>
    </row>
    <row r="19" spans="1:3" ht="9" customHeight="1" x14ac:dyDescent="0.2">
      <c r="A19" s="2" t="s">
        <v>28</v>
      </c>
      <c r="B19" s="2" t="s">
        <v>12</v>
      </c>
      <c r="C19" s="48" t="s">
        <v>88</v>
      </c>
    </row>
    <row r="20" spans="1:3" ht="9" customHeight="1" x14ac:dyDescent="0.2">
      <c r="A20" s="2" t="s">
        <v>29</v>
      </c>
      <c r="B20" s="2" t="s">
        <v>12</v>
      </c>
      <c r="C20" s="48" t="s">
        <v>88</v>
      </c>
    </row>
    <row r="21" spans="1:3" ht="9" customHeight="1" x14ac:dyDescent="0.2">
      <c r="A21" s="2" t="s">
        <v>11</v>
      </c>
      <c r="B21" s="2" t="s">
        <v>78</v>
      </c>
      <c r="C21" s="48" t="s">
        <v>88</v>
      </c>
    </row>
    <row r="22" spans="1:3" ht="10.5" customHeight="1" x14ac:dyDescent="0.2">
      <c r="A22" s="4" t="s">
        <v>32</v>
      </c>
      <c r="B22" s="6" t="s">
        <v>93</v>
      </c>
      <c r="C22" s="48" t="s">
        <v>88</v>
      </c>
    </row>
    <row r="23" spans="1:3" ht="10.5" customHeight="1" x14ac:dyDescent="0.2">
      <c r="A23" s="4" t="s">
        <v>33</v>
      </c>
      <c r="B23" s="6" t="str">
        <f>_xlfn.TRANSLATE(B22,"pt","es")</f>
        <v>Formalizar los datos sobre fabricantes y proveedores de productos de construcción</v>
      </c>
      <c r="C23" s="48" t="s">
        <v>89</v>
      </c>
    </row>
    <row r="24" spans="1:3" s="46" customFormat="1" ht="9.75" customHeight="1" x14ac:dyDescent="0.4">
      <c r="A24" s="4" t="s">
        <v>86</v>
      </c>
      <c r="B24" s="6" t="str">
        <f>_xlfn.TRANSLATE(B22,"pt","en")</f>
        <v>Formalize data on manufacturers and suppliers of construction products</v>
      </c>
      <c r="C24" s="48" t="s">
        <v>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B721-29D9-4DD8-81B8-03CCB3CE3CCF}">
  <dimension ref="A1:AA101"/>
  <sheetViews>
    <sheetView zoomScale="205" zoomScaleNormal="205" workbookViewId="0">
      <pane ySplit="1" topLeftCell="A2" activePane="bottomLeft" state="frozen"/>
      <selection pane="bottomLeft" activeCell="F72" sqref="F72"/>
    </sheetView>
  </sheetViews>
  <sheetFormatPr defaultColWidth="2.69140625" defaultRowHeight="6.55" customHeight="1" x14ac:dyDescent="0.4"/>
  <cols>
    <col min="1" max="1" width="2.3046875" customWidth="1"/>
    <col min="2" max="2" width="4" customWidth="1"/>
    <col min="3" max="3" width="6.921875" customWidth="1"/>
    <col min="4" max="4" width="12.23046875" customWidth="1"/>
    <col min="5" max="5" width="12" customWidth="1"/>
    <col min="6" max="6" width="13.4609375" bestFit="1" customWidth="1"/>
    <col min="7" max="11" width="6.4609375" bestFit="1" customWidth="1"/>
    <col min="12" max="12" width="6.53515625" customWidth="1"/>
    <col min="13" max="13" width="5" bestFit="1" customWidth="1"/>
    <col min="14" max="14" width="10.84375" customWidth="1"/>
    <col min="15" max="15" width="13.69140625" bestFit="1" customWidth="1"/>
    <col min="16" max="16" width="32.84375" customWidth="1"/>
    <col min="17" max="17" width="32.53515625" customWidth="1"/>
    <col min="18" max="18" width="4.4609375" style="34" customWidth="1"/>
    <col min="19" max="19" width="6.84375" style="34" customWidth="1"/>
    <col min="20" max="20" width="12.765625" style="34" customWidth="1"/>
    <col min="21" max="21" width="11.61328125" style="34" customWidth="1"/>
    <col min="22" max="22" width="6.3046875" style="38" customWidth="1"/>
    <col min="23" max="23" width="7" style="38" customWidth="1"/>
    <col min="24" max="24" width="6.15234375" bestFit="1" customWidth="1"/>
    <col min="25" max="25" width="4.53515625" bestFit="1" customWidth="1"/>
    <col min="26" max="26" width="6.3828125" customWidth="1"/>
    <col min="27" max="27" width="31.15234375" bestFit="1" customWidth="1"/>
  </cols>
  <sheetData>
    <row r="1" spans="1:27" ht="33.9" customHeight="1" x14ac:dyDescent="0.4">
      <c r="A1" s="24">
        <v>0</v>
      </c>
      <c r="B1" s="29" t="s">
        <v>58</v>
      </c>
      <c r="C1" s="29" t="s">
        <v>59</v>
      </c>
      <c r="D1" s="29" t="s">
        <v>60</v>
      </c>
      <c r="E1" s="29" t="s">
        <v>61</v>
      </c>
      <c r="F1" s="29" t="s">
        <v>82</v>
      </c>
      <c r="G1" s="27" t="s">
        <v>62</v>
      </c>
      <c r="H1" s="27" t="s">
        <v>63</v>
      </c>
      <c r="I1" s="27" t="s">
        <v>64</v>
      </c>
      <c r="J1" s="27" t="s">
        <v>65</v>
      </c>
      <c r="K1" s="27" t="s">
        <v>66</v>
      </c>
      <c r="L1" s="25" t="s">
        <v>67</v>
      </c>
      <c r="M1" s="25" t="s">
        <v>68</v>
      </c>
      <c r="N1" s="25" t="s">
        <v>69</v>
      </c>
      <c r="O1" s="25" t="s">
        <v>70</v>
      </c>
      <c r="P1" s="25" t="s">
        <v>71</v>
      </c>
      <c r="Q1" s="25" t="s">
        <v>72</v>
      </c>
      <c r="R1" s="39" t="s">
        <v>73</v>
      </c>
      <c r="S1" s="39" t="s">
        <v>34</v>
      </c>
      <c r="T1" s="39" t="s">
        <v>74</v>
      </c>
      <c r="U1" s="39" t="s">
        <v>36</v>
      </c>
      <c r="V1" s="25" t="s">
        <v>35</v>
      </c>
      <c r="W1" s="59" t="s">
        <v>57</v>
      </c>
      <c r="X1" s="25" t="s">
        <v>80</v>
      </c>
      <c r="Y1" s="25" t="s">
        <v>81</v>
      </c>
      <c r="Z1" s="25" t="s">
        <v>83</v>
      </c>
      <c r="AA1" s="44" t="s">
        <v>84</v>
      </c>
    </row>
    <row r="2" spans="1:27" s="55" customFormat="1" ht="6.9" customHeight="1" x14ac:dyDescent="0.4">
      <c r="A2" s="51">
        <v>2</v>
      </c>
      <c r="B2" s="52" t="s">
        <v>75</v>
      </c>
      <c r="C2" s="52" t="s">
        <v>250</v>
      </c>
      <c r="D2" s="52" t="s">
        <v>251</v>
      </c>
      <c r="E2" s="52" t="s">
        <v>252</v>
      </c>
      <c r="F2" s="53" t="s">
        <v>94</v>
      </c>
      <c r="G2" s="54" t="s">
        <v>9</v>
      </c>
      <c r="H2" s="54" t="s">
        <v>9</v>
      </c>
      <c r="I2" s="54" t="s">
        <v>9</v>
      </c>
      <c r="J2" s="54" t="s">
        <v>9</v>
      </c>
      <c r="K2" s="54" t="s">
        <v>9</v>
      </c>
      <c r="L2" s="58" t="str">
        <f t="shared" ref="L2:O2" si="0">SUBSTITUTE(CONCATENATE("", C2), ".", " ")</f>
        <v>Gestão</v>
      </c>
      <c r="M2" s="58" t="str">
        <f t="shared" si="0"/>
        <v>Produzido</v>
      </c>
      <c r="N2" s="58" t="str">
        <f t="shared" si="0"/>
        <v>Informação</v>
      </c>
      <c r="O2" s="58" t="str">
        <f t="shared" si="0"/>
        <v>Contêiner</v>
      </c>
      <c r="P2" s="41" t="s">
        <v>253</v>
      </c>
      <c r="Q2" s="23" t="str">
        <f t="shared" ref="Q2" si="1">_xlfn.TRANSLATE(P2,"pt","es")</f>
        <v>Define un contenedor de información de acuerdo con la norma NBR 19650-1.</v>
      </c>
      <c r="R2" s="42" t="s">
        <v>9</v>
      </c>
      <c r="S2" s="43" t="str">
        <f t="shared" ref="S2:U2" si="2">SUBSTITUTE(C2, ".", " ")</f>
        <v>Gestão</v>
      </c>
      <c r="T2" s="43" t="str">
        <f t="shared" si="2"/>
        <v>Produzido</v>
      </c>
      <c r="U2" s="43" t="str">
        <f t="shared" si="2"/>
        <v>Informação</v>
      </c>
      <c r="V2" s="41" t="str">
        <f t="shared" ref="V2" si="3">SUBSTITUTE(C2, ".", " ")</f>
        <v>Gestão</v>
      </c>
      <c r="W2" s="60" t="str">
        <f t="shared" ref="W2" si="4">CONCATENATE("K.",LEFT(C2,3),".",A2)</f>
        <v>K.Ges.2</v>
      </c>
      <c r="X2" s="41" t="s">
        <v>9</v>
      </c>
      <c r="Y2" s="41" t="s">
        <v>9</v>
      </c>
      <c r="Z2" s="23" t="s">
        <v>9</v>
      </c>
      <c r="AA2" s="45" t="str">
        <f t="shared" ref="AA2:AA33" si="5">_xlfn.TRANSLATE(P2,"pt","en")</f>
        <v>Defines an information container in accordance with the NBR 19650-1 standard.</v>
      </c>
    </row>
    <row r="3" spans="1:27" ht="6.55" customHeight="1" x14ac:dyDescent="0.4">
      <c r="A3" s="51">
        <v>3</v>
      </c>
      <c r="B3" s="52" t="s">
        <v>75</v>
      </c>
      <c r="C3" s="56" t="s">
        <v>95</v>
      </c>
      <c r="D3" s="52" t="s">
        <v>256</v>
      </c>
      <c r="E3" s="52" t="s">
        <v>129</v>
      </c>
      <c r="F3" s="57" t="s">
        <v>98</v>
      </c>
      <c r="G3" s="28" t="s">
        <v>9</v>
      </c>
      <c r="H3" s="28" t="s">
        <v>9</v>
      </c>
      <c r="I3" s="28" t="s">
        <v>9</v>
      </c>
      <c r="J3" s="28" t="s">
        <v>9</v>
      </c>
      <c r="K3" s="28" t="s">
        <v>9</v>
      </c>
      <c r="L3" s="23" t="str">
        <f t="shared" ref="L3:L34" si="6">_xlfn.CONCAT(SUBSTITUTE(C3,"1.",""))</f>
        <v>Fornecedores</v>
      </c>
      <c r="M3" s="23" t="str">
        <f t="shared" ref="M3:M34" si="7">_xlfn.CONCAT(SUBSTITUTE(D3,"."," "))</f>
        <v>Segmentos de Profissionais</v>
      </c>
      <c r="N3" s="23" t="str">
        <f t="shared" ref="N3:N34" si="8">_xlfn.CONCAT(SUBSTITUTE(E3,"."," "))</f>
        <v>Segmento de Arquitetura</v>
      </c>
      <c r="O3" s="23" t="str">
        <f t="shared" ref="O3:O34" si="9">_xlfn.CONCAT(SUBSTITUTE(F3,"."," "))</f>
        <v>A Consultor</v>
      </c>
      <c r="P3" s="23" t="s">
        <v>266</v>
      </c>
      <c r="Q3" s="26" t="str">
        <f t="shared" ref="Q3:Q34" si="10">_xlfn.TRANSLATE(P3,"pt","es")</f>
        <v>Proveedor de arquitectura: es consultor autónomo</v>
      </c>
      <c r="R3" s="42" t="s">
        <v>9</v>
      </c>
      <c r="S3" s="43" t="str">
        <f t="shared" ref="S3:S34" si="11">SUBSTITUTE(C3, ".", " ")</f>
        <v>Fornecedores</v>
      </c>
      <c r="T3" s="43" t="str">
        <f t="shared" ref="T3:T34" si="12">SUBSTITUTE(D3, ".", " ")</f>
        <v>Segmentos de Profissionais</v>
      </c>
      <c r="U3" s="43" t="str">
        <f t="shared" ref="U3:U34" si="13">SUBSTITUTE(E3, ".", " ")</f>
        <v>Segmento de Arquitetura</v>
      </c>
      <c r="V3" s="41" t="s">
        <v>285</v>
      </c>
      <c r="W3" s="60" t="str">
        <f t="shared" ref="W3:W34" si="14">CONCATENATE("Key.Fab.",A3)</f>
        <v>Key.Fab.3</v>
      </c>
      <c r="X3" s="41" t="s">
        <v>9</v>
      </c>
      <c r="Y3" s="41" t="s">
        <v>9</v>
      </c>
      <c r="Z3" s="41" t="s">
        <v>172</v>
      </c>
      <c r="AA3" s="45" t="str">
        <f t="shared" si="5"/>
        <v>Architecture Vendor: is a self-employed consultant</v>
      </c>
    </row>
    <row r="4" spans="1:27" ht="6.55" customHeight="1" x14ac:dyDescent="0.4">
      <c r="A4" s="51">
        <v>4</v>
      </c>
      <c r="B4" s="52" t="s">
        <v>75</v>
      </c>
      <c r="C4" s="56" t="s">
        <v>95</v>
      </c>
      <c r="D4" s="52" t="s">
        <v>256</v>
      </c>
      <c r="E4" s="52" t="s">
        <v>129</v>
      </c>
      <c r="F4" s="57" t="s">
        <v>108</v>
      </c>
      <c r="G4" s="28" t="s">
        <v>9</v>
      </c>
      <c r="H4" s="28" t="s">
        <v>9</v>
      </c>
      <c r="I4" s="28" t="s">
        <v>9</v>
      </c>
      <c r="J4" s="28" t="s">
        <v>9</v>
      </c>
      <c r="K4" s="28" t="s">
        <v>9</v>
      </c>
      <c r="L4" s="23" t="str">
        <f t="shared" si="6"/>
        <v>Fornecedores</v>
      </c>
      <c r="M4" s="23" t="str">
        <f t="shared" si="7"/>
        <v>Segmentos de Profissionais</v>
      </c>
      <c r="N4" s="23" t="str">
        <f t="shared" si="8"/>
        <v>Segmento de Arquitetura</v>
      </c>
      <c r="O4" s="23" t="str">
        <f t="shared" si="9"/>
        <v>A Empresa Consultora</v>
      </c>
      <c r="P4" s="23" t="s">
        <v>267</v>
      </c>
      <c r="Q4" s="26" t="str">
        <f t="shared" si="10"/>
        <v>Proveedor en el segmento de arquitectura: es una empresa de consultoría</v>
      </c>
      <c r="R4" s="42" t="s">
        <v>9</v>
      </c>
      <c r="S4" s="43" t="str">
        <f t="shared" si="11"/>
        <v>Fornecedores</v>
      </c>
      <c r="T4" s="43" t="str">
        <f t="shared" si="12"/>
        <v>Segmentos de Profissionais</v>
      </c>
      <c r="U4" s="43" t="str">
        <f t="shared" si="13"/>
        <v>Segmento de Arquitetura</v>
      </c>
      <c r="V4" s="41" t="s">
        <v>285</v>
      </c>
      <c r="W4" s="60" t="str">
        <f t="shared" si="14"/>
        <v>Key.Fab.4</v>
      </c>
      <c r="X4" s="41" t="s">
        <v>9</v>
      </c>
      <c r="Y4" s="41" t="s">
        <v>9</v>
      </c>
      <c r="Z4" s="41" t="s">
        <v>172</v>
      </c>
      <c r="AA4" s="45" t="str">
        <f t="shared" si="5"/>
        <v>Supplier in the architecture segment: it is a consulting company</v>
      </c>
    </row>
    <row r="5" spans="1:27" ht="6.55" customHeight="1" x14ac:dyDescent="0.4">
      <c r="A5" s="51">
        <v>5</v>
      </c>
      <c r="B5" s="52" t="s">
        <v>75</v>
      </c>
      <c r="C5" s="56" t="s">
        <v>95</v>
      </c>
      <c r="D5" s="52" t="s">
        <v>256</v>
      </c>
      <c r="E5" s="52" t="s">
        <v>129</v>
      </c>
      <c r="F5" s="57" t="s">
        <v>97</v>
      </c>
      <c r="G5" s="28" t="s">
        <v>9</v>
      </c>
      <c r="H5" s="28" t="s">
        <v>9</v>
      </c>
      <c r="I5" s="28" t="s">
        <v>9</v>
      </c>
      <c r="J5" s="28" t="s">
        <v>9</v>
      </c>
      <c r="K5" s="28" t="s">
        <v>9</v>
      </c>
      <c r="L5" s="23" t="str">
        <f t="shared" si="6"/>
        <v>Fornecedores</v>
      </c>
      <c r="M5" s="23" t="str">
        <f t="shared" si="7"/>
        <v>Segmentos de Profissionais</v>
      </c>
      <c r="N5" s="23" t="str">
        <f t="shared" si="8"/>
        <v>Segmento de Arquitetura</v>
      </c>
      <c r="O5" s="23" t="str">
        <f t="shared" si="9"/>
        <v>A Fabricante</v>
      </c>
      <c r="P5" s="23" t="s">
        <v>269</v>
      </c>
      <c r="Q5" s="26" t="str">
        <f t="shared" si="10"/>
        <v>Proveedor de arquitectura: es un fabricante de productos</v>
      </c>
      <c r="R5" s="42" t="s">
        <v>9</v>
      </c>
      <c r="S5" s="43" t="str">
        <f t="shared" si="11"/>
        <v>Fornecedores</v>
      </c>
      <c r="T5" s="43" t="str">
        <f t="shared" si="12"/>
        <v>Segmentos de Profissionais</v>
      </c>
      <c r="U5" s="43" t="str">
        <f t="shared" si="13"/>
        <v>Segmento de Arquitetura</v>
      </c>
      <c r="V5" s="41" t="s">
        <v>285</v>
      </c>
      <c r="W5" s="60" t="str">
        <f t="shared" si="14"/>
        <v>Key.Fab.5</v>
      </c>
      <c r="X5" s="41" t="s">
        <v>9</v>
      </c>
      <c r="Y5" s="41" t="s">
        <v>9</v>
      </c>
      <c r="Z5" s="41" t="s">
        <v>174</v>
      </c>
      <c r="AA5" s="45" t="str">
        <f t="shared" si="5"/>
        <v>Architecture Vendor: is a manufacturer of products</v>
      </c>
    </row>
    <row r="6" spans="1:27" ht="6.55" customHeight="1" x14ac:dyDescent="0.4">
      <c r="A6" s="51">
        <v>6</v>
      </c>
      <c r="B6" s="52" t="s">
        <v>75</v>
      </c>
      <c r="C6" s="56" t="s">
        <v>95</v>
      </c>
      <c r="D6" s="52" t="s">
        <v>256</v>
      </c>
      <c r="E6" s="52" t="s">
        <v>129</v>
      </c>
      <c r="F6" s="57" t="s">
        <v>179</v>
      </c>
      <c r="G6" s="28" t="s">
        <v>9</v>
      </c>
      <c r="H6" s="28" t="s">
        <v>9</v>
      </c>
      <c r="I6" s="28" t="s">
        <v>9</v>
      </c>
      <c r="J6" s="28" t="s">
        <v>9</v>
      </c>
      <c r="K6" s="28" t="s">
        <v>9</v>
      </c>
      <c r="L6" s="23" t="str">
        <f t="shared" si="6"/>
        <v>Fornecedores</v>
      </c>
      <c r="M6" s="23" t="str">
        <f t="shared" si="7"/>
        <v>Segmentos de Profissionais</v>
      </c>
      <c r="N6" s="23" t="str">
        <f t="shared" si="8"/>
        <v>Segmento de Arquitetura</v>
      </c>
      <c r="O6" s="23" t="str">
        <f t="shared" si="9"/>
        <v>A Fornecimento</v>
      </c>
      <c r="P6" s="23" t="s">
        <v>275</v>
      </c>
      <c r="Q6" s="26" t="str">
        <f t="shared" si="10"/>
        <v>Proveedor de arquitectura: es un proveedor</v>
      </c>
      <c r="R6" s="42" t="s">
        <v>9</v>
      </c>
      <c r="S6" s="43" t="str">
        <f t="shared" si="11"/>
        <v>Fornecedores</v>
      </c>
      <c r="T6" s="43" t="str">
        <f t="shared" si="12"/>
        <v>Segmentos de Profissionais</v>
      </c>
      <c r="U6" s="43" t="str">
        <f t="shared" si="13"/>
        <v>Segmento de Arquitetura</v>
      </c>
      <c r="V6" s="41" t="s">
        <v>285</v>
      </c>
      <c r="W6" s="60" t="str">
        <f t="shared" si="14"/>
        <v>Key.Fab.6</v>
      </c>
      <c r="X6" s="41" t="s">
        <v>9</v>
      </c>
      <c r="Y6" s="41" t="s">
        <v>9</v>
      </c>
      <c r="Z6" s="41" t="s">
        <v>176</v>
      </c>
      <c r="AA6" s="45" t="str">
        <f t="shared" si="5"/>
        <v>Architecture Vendor: is a vendor</v>
      </c>
    </row>
    <row r="7" spans="1:27" ht="6.55" customHeight="1" x14ac:dyDescent="0.4">
      <c r="A7" s="51">
        <v>7</v>
      </c>
      <c r="B7" s="52" t="s">
        <v>75</v>
      </c>
      <c r="C7" s="56" t="s">
        <v>95</v>
      </c>
      <c r="D7" s="52" t="s">
        <v>256</v>
      </c>
      <c r="E7" s="52" t="s">
        <v>129</v>
      </c>
      <c r="F7" s="57" t="s">
        <v>332</v>
      </c>
      <c r="G7" s="28" t="s">
        <v>9</v>
      </c>
      <c r="H7" s="28" t="s">
        <v>9</v>
      </c>
      <c r="I7" s="28" t="s">
        <v>9</v>
      </c>
      <c r="J7" s="28" t="s">
        <v>9</v>
      </c>
      <c r="K7" s="28" t="s">
        <v>9</v>
      </c>
      <c r="L7" s="23" t="str">
        <f t="shared" si="6"/>
        <v>Fornecedores</v>
      </c>
      <c r="M7" s="23" t="str">
        <f t="shared" si="7"/>
        <v>Segmentos de Profissionais</v>
      </c>
      <c r="N7" s="23" t="str">
        <f t="shared" si="8"/>
        <v>Segmento de Arquitetura</v>
      </c>
      <c r="O7" s="23" t="str">
        <f t="shared" si="9"/>
        <v>A Projetista</v>
      </c>
      <c r="P7" s="23" t="s">
        <v>342</v>
      </c>
      <c r="Q7" s="26" t="str">
        <f t="shared" si="10"/>
        <v>Proveedor de Arquitectura: es una empresa de diseñador o diseño</v>
      </c>
      <c r="R7" s="42" t="s">
        <v>9</v>
      </c>
      <c r="S7" s="43" t="str">
        <f t="shared" si="11"/>
        <v>Fornecedores</v>
      </c>
      <c r="T7" s="43" t="str">
        <f t="shared" si="12"/>
        <v>Segmentos de Profissionais</v>
      </c>
      <c r="U7" s="43" t="str">
        <f t="shared" si="13"/>
        <v>Segmento de Arquitetura</v>
      </c>
      <c r="V7" s="41" t="s">
        <v>285</v>
      </c>
      <c r="W7" s="60" t="str">
        <f t="shared" si="14"/>
        <v>Key.Fab.7</v>
      </c>
      <c r="X7" s="41" t="s">
        <v>9</v>
      </c>
      <c r="Y7" s="41" t="s">
        <v>9</v>
      </c>
      <c r="Z7" s="41" t="s">
        <v>173</v>
      </c>
      <c r="AA7" s="45" t="str">
        <f t="shared" si="5"/>
        <v>Architecture Vendor: is a Designer or Design Company</v>
      </c>
    </row>
    <row r="8" spans="1:27" ht="6.55" customHeight="1" x14ac:dyDescent="0.4">
      <c r="A8" s="51">
        <v>8</v>
      </c>
      <c r="B8" s="52" t="s">
        <v>75</v>
      </c>
      <c r="C8" s="56" t="s">
        <v>95</v>
      </c>
      <c r="D8" s="52" t="s">
        <v>256</v>
      </c>
      <c r="E8" s="52" t="s">
        <v>129</v>
      </c>
      <c r="F8" s="57" t="s">
        <v>96</v>
      </c>
      <c r="G8" s="28" t="s">
        <v>9</v>
      </c>
      <c r="H8" s="28" t="s">
        <v>9</v>
      </c>
      <c r="I8" s="28" t="s">
        <v>9</v>
      </c>
      <c r="J8" s="28" t="s">
        <v>9</v>
      </c>
      <c r="K8" s="28" t="s">
        <v>9</v>
      </c>
      <c r="L8" s="23" t="str">
        <f t="shared" si="6"/>
        <v>Fornecedores</v>
      </c>
      <c r="M8" s="23" t="str">
        <f t="shared" si="7"/>
        <v>Segmentos de Profissionais</v>
      </c>
      <c r="N8" s="23" t="str">
        <f t="shared" si="8"/>
        <v>Segmento de Arquitetura</v>
      </c>
      <c r="O8" s="23" t="str">
        <f t="shared" si="9"/>
        <v>A Serviço</v>
      </c>
      <c r="P8" s="23" t="s">
        <v>265</v>
      </c>
      <c r="Q8" s="26" t="str">
        <f t="shared" si="10"/>
        <v>Proveedor de arquitectura: Es un servicio</v>
      </c>
      <c r="R8" s="42" t="s">
        <v>9</v>
      </c>
      <c r="S8" s="43" t="str">
        <f t="shared" si="11"/>
        <v>Fornecedores</v>
      </c>
      <c r="T8" s="43" t="str">
        <f t="shared" si="12"/>
        <v>Segmentos de Profissionais</v>
      </c>
      <c r="U8" s="43" t="str">
        <f t="shared" si="13"/>
        <v>Segmento de Arquitetura</v>
      </c>
      <c r="V8" s="41" t="s">
        <v>285</v>
      </c>
      <c r="W8" s="60" t="str">
        <f t="shared" si="14"/>
        <v>Key.Fab.8</v>
      </c>
      <c r="X8" s="41" t="s">
        <v>9</v>
      </c>
      <c r="Y8" s="41" t="s">
        <v>9</v>
      </c>
      <c r="Z8" s="41" t="s">
        <v>171</v>
      </c>
      <c r="AA8" s="45" t="str">
        <f t="shared" si="5"/>
        <v>Architecture Vendor: It's a service</v>
      </c>
    </row>
    <row r="9" spans="1:27" ht="6.55" customHeight="1" x14ac:dyDescent="0.4">
      <c r="A9" s="51">
        <v>9</v>
      </c>
      <c r="B9" s="52" t="s">
        <v>75</v>
      </c>
      <c r="C9" s="56" t="s">
        <v>95</v>
      </c>
      <c r="D9" s="52" t="s">
        <v>256</v>
      </c>
      <c r="E9" s="52" t="s">
        <v>129</v>
      </c>
      <c r="F9" s="57" t="s">
        <v>99</v>
      </c>
      <c r="G9" s="28" t="s">
        <v>9</v>
      </c>
      <c r="H9" s="28" t="s">
        <v>9</v>
      </c>
      <c r="I9" s="28" t="s">
        <v>9</v>
      </c>
      <c r="J9" s="28" t="s">
        <v>9</v>
      </c>
      <c r="K9" s="28" t="s">
        <v>9</v>
      </c>
      <c r="L9" s="23" t="str">
        <f t="shared" si="6"/>
        <v>Fornecedores</v>
      </c>
      <c r="M9" s="23" t="str">
        <f t="shared" si="7"/>
        <v>Segmentos de Profissionais</v>
      </c>
      <c r="N9" s="23" t="str">
        <f t="shared" si="8"/>
        <v>Segmento de Arquitetura</v>
      </c>
      <c r="O9" s="23" t="str">
        <f t="shared" si="9"/>
        <v>A Vendedor</v>
      </c>
      <c r="P9" s="23" t="s">
        <v>268</v>
      </c>
      <c r="Q9" s="26" t="str">
        <f t="shared" si="10"/>
        <v>Proveedor de Arquitectura: Es un proveedor de productos</v>
      </c>
      <c r="R9" s="42" t="s">
        <v>9</v>
      </c>
      <c r="S9" s="43" t="str">
        <f t="shared" si="11"/>
        <v>Fornecedores</v>
      </c>
      <c r="T9" s="43" t="str">
        <f t="shared" si="12"/>
        <v>Segmentos de Profissionais</v>
      </c>
      <c r="U9" s="43" t="str">
        <f t="shared" si="13"/>
        <v>Segmento de Arquitetura</v>
      </c>
      <c r="V9" s="41" t="s">
        <v>285</v>
      </c>
      <c r="W9" s="60" t="str">
        <f t="shared" si="14"/>
        <v>Key.Fab.9</v>
      </c>
      <c r="X9" s="41" t="s">
        <v>9</v>
      </c>
      <c r="Y9" s="41" t="s">
        <v>9</v>
      </c>
      <c r="Z9" s="41" t="s">
        <v>175</v>
      </c>
      <c r="AA9" s="45" t="str">
        <f t="shared" si="5"/>
        <v>Architecture Vendor: Is a product vendor</v>
      </c>
    </row>
    <row r="10" spans="1:27" ht="6.55" customHeight="1" x14ac:dyDescent="0.4">
      <c r="A10" s="51">
        <v>10</v>
      </c>
      <c r="B10" s="52" t="s">
        <v>75</v>
      </c>
      <c r="C10" s="56" t="s">
        <v>95</v>
      </c>
      <c r="D10" s="52" t="s">
        <v>256</v>
      </c>
      <c r="E10" s="52" t="s">
        <v>130</v>
      </c>
      <c r="F10" s="57" t="s">
        <v>101</v>
      </c>
      <c r="G10" s="28" t="s">
        <v>9</v>
      </c>
      <c r="H10" s="28" t="s">
        <v>9</v>
      </c>
      <c r="I10" s="28" t="s">
        <v>9</v>
      </c>
      <c r="J10" s="28" t="s">
        <v>9</v>
      </c>
      <c r="K10" s="28" t="s">
        <v>9</v>
      </c>
      <c r="L10" s="23" t="str">
        <f t="shared" si="6"/>
        <v>Fornecedores</v>
      </c>
      <c r="M10" s="23" t="str">
        <f t="shared" si="7"/>
        <v>Segmentos de Profissionais</v>
      </c>
      <c r="N10" s="23" t="str">
        <f t="shared" si="8"/>
        <v>Segmento de Estrutura</v>
      </c>
      <c r="O10" s="23" t="str">
        <f t="shared" si="9"/>
        <v>E Consultor</v>
      </c>
      <c r="P10" s="23" t="s">
        <v>137</v>
      </c>
      <c r="Q10" s="26" t="str">
        <f t="shared" si="10"/>
        <v>Proveedor del segmento de estructura: es consultor autónomo</v>
      </c>
      <c r="R10" s="42" t="s">
        <v>9</v>
      </c>
      <c r="S10" s="43" t="str">
        <f t="shared" si="11"/>
        <v>Fornecedores</v>
      </c>
      <c r="T10" s="43" t="str">
        <f t="shared" si="12"/>
        <v>Segmentos de Profissionais</v>
      </c>
      <c r="U10" s="43" t="str">
        <f t="shared" si="13"/>
        <v>Segmento de Estrutura</v>
      </c>
      <c r="V10" s="41" t="s">
        <v>285</v>
      </c>
      <c r="W10" s="60" t="str">
        <f t="shared" si="14"/>
        <v>Key.Fab.10</v>
      </c>
      <c r="X10" s="41" t="s">
        <v>9</v>
      </c>
      <c r="Y10" s="41" t="s">
        <v>9</v>
      </c>
      <c r="Z10" s="41" t="s">
        <v>172</v>
      </c>
      <c r="AA10" s="45" t="str">
        <f t="shared" si="5"/>
        <v>Structure segment supplier: is a self-employed consultant</v>
      </c>
    </row>
    <row r="11" spans="1:27" ht="6.55" customHeight="1" x14ac:dyDescent="0.4">
      <c r="A11" s="51">
        <v>11</v>
      </c>
      <c r="B11" s="52" t="s">
        <v>75</v>
      </c>
      <c r="C11" s="56" t="s">
        <v>95</v>
      </c>
      <c r="D11" s="52" t="s">
        <v>256</v>
      </c>
      <c r="E11" s="52" t="s">
        <v>130</v>
      </c>
      <c r="F11" s="57" t="s">
        <v>214</v>
      </c>
      <c r="G11" s="28" t="s">
        <v>9</v>
      </c>
      <c r="H11" s="28" t="s">
        <v>9</v>
      </c>
      <c r="I11" s="28" t="s">
        <v>9</v>
      </c>
      <c r="J11" s="28" t="s">
        <v>9</v>
      </c>
      <c r="K11" s="28" t="s">
        <v>9</v>
      </c>
      <c r="L11" s="23" t="str">
        <f t="shared" si="6"/>
        <v>Fornecedores</v>
      </c>
      <c r="M11" s="23" t="str">
        <f t="shared" si="7"/>
        <v>Segmentos de Profissionais</v>
      </c>
      <c r="N11" s="23" t="str">
        <f t="shared" si="8"/>
        <v>Segmento de Estrutura</v>
      </c>
      <c r="O11" s="23" t="str">
        <f t="shared" si="9"/>
        <v>E Empresa Consultora</v>
      </c>
      <c r="P11" s="23" t="s">
        <v>138</v>
      </c>
      <c r="Q11" s="26" t="str">
        <f t="shared" si="10"/>
        <v>Proveedor del segmento de estructuras: es una empresa de consultoría</v>
      </c>
      <c r="R11" s="42" t="s">
        <v>9</v>
      </c>
      <c r="S11" s="43" t="str">
        <f t="shared" si="11"/>
        <v>Fornecedores</v>
      </c>
      <c r="T11" s="43" t="str">
        <f t="shared" si="12"/>
        <v>Segmentos de Profissionais</v>
      </c>
      <c r="U11" s="43" t="str">
        <f t="shared" si="13"/>
        <v>Segmento de Estrutura</v>
      </c>
      <c r="V11" s="41" t="s">
        <v>285</v>
      </c>
      <c r="W11" s="60" t="str">
        <f t="shared" si="14"/>
        <v>Key.Fab.11</v>
      </c>
      <c r="X11" s="41" t="s">
        <v>9</v>
      </c>
      <c r="Y11" s="41" t="s">
        <v>9</v>
      </c>
      <c r="Z11" s="41" t="s">
        <v>172</v>
      </c>
      <c r="AA11" s="45" t="str">
        <f t="shared" si="5"/>
        <v>Supplier of the structure segment: it is a consulting company</v>
      </c>
    </row>
    <row r="12" spans="1:27" ht="6.55" customHeight="1" x14ac:dyDescent="0.4">
      <c r="A12" s="51">
        <v>12</v>
      </c>
      <c r="B12" s="52" t="s">
        <v>75</v>
      </c>
      <c r="C12" s="56" t="s">
        <v>95</v>
      </c>
      <c r="D12" s="52" t="s">
        <v>256</v>
      </c>
      <c r="E12" s="52" t="s">
        <v>130</v>
      </c>
      <c r="F12" s="57" t="s">
        <v>103</v>
      </c>
      <c r="G12" s="28" t="s">
        <v>9</v>
      </c>
      <c r="H12" s="28" t="s">
        <v>9</v>
      </c>
      <c r="I12" s="28" t="s">
        <v>9</v>
      </c>
      <c r="J12" s="28" t="s">
        <v>9</v>
      </c>
      <c r="K12" s="28" t="s">
        <v>9</v>
      </c>
      <c r="L12" s="23" t="str">
        <f t="shared" si="6"/>
        <v>Fornecedores</v>
      </c>
      <c r="M12" s="23" t="str">
        <f t="shared" si="7"/>
        <v>Segmentos de Profissionais</v>
      </c>
      <c r="N12" s="23" t="str">
        <f t="shared" si="8"/>
        <v>Segmento de Estrutura</v>
      </c>
      <c r="O12" s="23" t="str">
        <f t="shared" si="9"/>
        <v>E Fabricante</v>
      </c>
      <c r="P12" s="23" t="s">
        <v>140</v>
      </c>
      <c r="Q12" s="26" t="str">
        <f t="shared" si="10"/>
        <v>Proveedor del segmento de estructuras: es un fabricante de productos</v>
      </c>
      <c r="R12" s="42" t="s">
        <v>9</v>
      </c>
      <c r="S12" s="43" t="str">
        <f t="shared" si="11"/>
        <v>Fornecedores</v>
      </c>
      <c r="T12" s="43" t="str">
        <f t="shared" si="12"/>
        <v>Segmentos de Profissionais</v>
      </c>
      <c r="U12" s="43" t="str">
        <f t="shared" si="13"/>
        <v>Segmento de Estrutura</v>
      </c>
      <c r="V12" s="41" t="s">
        <v>285</v>
      </c>
      <c r="W12" s="60" t="str">
        <f t="shared" si="14"/>
        <v>Key.Fab.12</v>
      </c>
      <c r="X12" s="41" t="s">
        <v>9</v>
      </c>
      <c r="Y12" s="41" t="s">
        <v>9</v>
      </c>
      <c r="Z12" s="41" t="s">
        <v>174</v>
      </c>
      <c r="AA12" s="45" t="str">
        <f t="shared" si="5"/>
        <v>Supplier of the structure segment: it is a manufacturer of products</v>
      </c>
    </row>
    <row r="13" spans="1:27" ht="6.55" customHeight="1" x14ac:dyDescent="0.4">
      <c r="A13" s="51">
        <v>13</v>
      </c>
      <c r="B13" s="52" t="s">
        <v>75</v>
      </c>
      <c r="C13" s="56" t="s">
        <v>95</v>
      </c>
      <c r="D13" s="52" t="s">
        <v>256</v>
      </c>
      <c r="E13" s="52" t="s">
        <v>130</v>
      </c>
      <c r="F13" s="57" t="s">
        <v>180</v>
      </c>
      <c r="G13" s="28" t="s">
        <v>9</v>
      </c>
      <c r="H13" s="28" t="s">
        <v>9</v>
      </c>
      <c r="I13" s="28" t="s">
        <v>9</v>
      </c>
      <c r="J13" s="28" t="s">
        <v>9</v>
      </c>
      <c r="K13" s="28" t="s">
        <v>9</v>
      </c>
      <c r="L13" s="23" t="str">
        <f t="shared" si="6"/>
        <v>Fornecedores</v>
      </c>
      <c r="M13" s="23" t="str">
        <f t="shared" si="7"/>
        <v>Segmentos de Profissionais</v>
      </c>
      <c r="N13" s="23" t="str">
        <f t="shared" si="8"/>
        <v>Segmento de Estrutura</v>
      </c>
      <c r="O13" s="23" t="str">
        <f t="shared" si="9"/>
        <v>E Fornecimento</v>
      </c>
      <c r="P13" s="23" t="s">
        <v>277</v>
      </c>
      <c r="Q13" s="26" t="str">
        <f t="shared" si="10"/>
        <v>Proveedor del segmento de estructura: es un proveedor</v>
      </c>
      <c r="R13" s="42" t="s">
        <v>9</v>
      </c>
      <c r="S13" s="43" t="str">
        <f t="shared" si="11"/>
        <v>Fornecedores</v>
      </c>
      <c r="T13" s="43" t="str">
        <f t="shared" si="12"/>
        <v>Segmentos de Profissionais</v>
      </c>
      <c r="U13" s="43" t="str">
        <f t="shared" si="13"/>
        <v>Segmento de Estrutura</v>
      </c>
      <c r="V13" s="41" t="s">
        <v>285</v>
      </c>
      <c r="W13" s="60" t="str">
        <f t="shared" si="14"/>
        <v>Key.Fab.13</v>
      </c>
      <c r="X13" s="41" t="s">
        <v>9</v>
      </c>
      <c r="Y13" s="41" t="s">
        <v>9</v>
      </c>
      <c r="Z13" s="41" t="s">
        <v>176</v>
      </c>
      <c r="AA13" s="45" t="str">
        <f t="shared" si="5"/>
        <v>Structure segment supplier: is a supplier</v>
      </c>
    </row>
    <row r="14" spans="1:27" ht="6.55" customHeight="1" x14ac:dyDescent="0.4">
      <c r="A14" s="51">
        <v>14</v>
      </c>
      <c r="B14" s="52" t="s">
        <v>75</v>
      </c>
      <c r="C14" s="56" t="s">
        <v>95</v>
      </c>
      <c r="D14" s="52" t="s">
        <v>256</v>
      </c>
      <c r="E14" s="52" t="s">
        <v>130</v>
      </c>
      <c r="F14" s="57" t="s">
        <v>333</v>
      </c>
      <c r="G14" s="28" t="s">
        <v>9</v>
      </c>
      <c r="H14" s="28" t="s">
        <v>9</v>
      </c>
      <c r="I14" s="28" t="s">
        <v>9</v>
      </c>
      <c r="J14" s="28" t="s">
        <v>9</v>
      </c>
      <c r="K14" s="28" t="s">
        <v>9</v>
      </c>
      <c r="L14" s="23" t="str">
        <f t="shared" si="6"/>
        <v>Fornecedores</v>
      </c>
      <c r="M14" s="23" t="str">
        <f t="shared" si="7"/>
        <v>Segmentos de Profissionais</v>
      </c>
      <c r="N14" s="23" t="str">
        <f t="shared" si="8"/>
        <v>Segmento de Estrutura</v>
      </c>
      <c r="O14" s="23" t="str">
        <f t="shared" si="9"/>
        <v>E Projetista</v>
      </c>
      <c r="P14" s="23" t="s">
        <v>343</v>
      </c>
      <c r="Q14" s="26" t="str">
        <f t="shared" si="10"/>
        <v>Proveedor en el segmento de estructuras: es un diseñador o empresa de diseño</v>
      </c>
      <c r="R14" s="42" t="s">
        <v>9</v>
      </c>
      <c r="S14" s="43" t="str">
        <f t="shared" si="11"/>
        <v>Fornecedores</v>
      </c>
      <c r="T14" s="43" t="str">
        <f t="shared" si="12"/>
        <v>Segmentos de Profissionais</v>
      </c>
      <c r="U14" s="43" t="str">
        <f t="shared" si="13"/>
        <v>Segmento de Estrutura</v>
      </c>
      <c r="V14" s="41" t="s">
        <v>285</v>
      </c>
      <c r="W14" s="60" t="str">
        <f t="shared" si="14"/>
        <v>Key.Fab.14</v>
      </c>
      <c r="X14" s="41" t="s">
        <v>9</v>
      </c>
      <c r="Y14" s="41" t="s">
        <v>9</v>
      </c>
      <c r="Z14" s="41" t="s">
        <v>173</v>
      </c>
      <c r="AA14" s="45" t="str">
        <f t="shared" si="5"/>
        <v>Supplier in the structure segment: is a Designer or Design Company</v>
      </c>
    </row>
    <row r="15" spans="1:27" ht="6.55" customHeight="1" x14ac:dyDescent="0.4">
      <c r="A15" s="51">
        <v>15</v>
      </c>
      <c r="B15" s="52" t="s">
        <v>75</v>
      </c>
      <c r="C15" s="56" t="s">
        <v>95</v>
      </c>
      <c r="D15" s="52" t="s">
        <v>256</v>
      </c>
      <c r="E15" s="52" t="s">
        <v>130</v>
      </c>
      <c r="F15" s="57" t="s">
        <v>100</v>
      </c>
      <c r="G15" s="28" t="s">
        <v>9</v>
      </c>
      <c r="H15" s="28" t="s">
        <v>9</v>
      </c>
      <c r="I15" s="28" t="s">
        <v>9</v>
      </c>
      <c r="J15" s="28" t="s">
        <v>9</v>
      </c>
      <c r="K15" s="28" t="s">
        <v>9</v>
      </c>
      <c r="L15" s="23" t="str">
        <f t="shared" si="6"/>
        <v>Fornecedores</v>
      </c>
      <c r="M15" s="23" t="str">
        <f t="shared" si="7"/>
        <v>Segmentos de Profissionais</v>
      </c>
      <c r="N15" s="23" t="str">
        <f t="shared" si="8"/>
        <v>Segmento de Estrutura</v>
      </c>
      <c r="O15" s="23" t="str">
        <f t="shared" si="9"/>
        <v>E Serviço</v>
      </c>
      <c r="P15" s="23" t="s">
        <v>136</v>
      </c>
      <c r="Q15" s="26" t="str">
        <f t="shared" si="10"/>
        <v>Proveedor de segmento estructural: es un servicio</v>
      </c>
      <c r="R15" s="42" t="s">
        <v>9</v>
      </c>
      <c r="S15" s="43" t="str">
        <f t="shared" si="11"/>
        <v>Fornecedores</v>
      </c>
      <c r="T15" s="43" t="str">
        <f t="shared" si="12"/>
        <v>Segmentos de Profissionais</v>
      </c>
      <c r="U15" s="43" t="str">
        <f t="shared" si="13"/>
        <v>Segmento de Estrutura</v>
      </c>
      <c r="V15" s="41" t="s">
        <v>285</v>
      </c>
      <c r="W15" s="60" t="str">
        <f t="shared" si="14"/>
        <v>Key.Fab.15</v>
      </c>
      <c r="X15" s="41" t="s">
        <v>9</v>
      </c>
      <c r="Y15" s="41" t="s">
        <v>9</v>
      </c>
      <c r="Z15" s="41" t="s">
        <v>171</v>
      </c>
      <c r="AA15" s="45" t="str">
        <f t="shared" si="5"/>
        <v>Structure segment supplier: it is a service</v>
      </c>
    </row>
    <row r="16" spans="1:27" ht="6.55" customHeight="1" x14ac:dyDescent="0.4">
      <c r="A16" s="51">
        <v>16</v>
      </c>
      <c r="B16" s="52" t="s">
        <v>75</v>
      </c>
      <c r="C16" s="56" t="s">
        <v>95</v>
      </c>
      <c r="D16" s="52" t="s">
        <v>256</v>
      </c>
      <c r="E16" s="52" t="s">
        <v>130</v>
      </c>
      <c r="F16" s="57" t="s">
        <v>102</v>
      </c>
      <c r="G16" s="28" t="s">
        <v>9</v>
      </c>
      <c r="H16" s="28" t="s">
        <v>9</v>
      </c>
      <c r="I16" s="28" t="s">
        <v>9</v>
      </c>
      <c r="J16" s="28" t="s">
        <v>9</v>
      </c>
      <c r="K16" s="28" t="s">
        <v>9</v>
      </c>
      <c r="L16" s="23" t="str">
        <f t="shared" si="6"/>
        <v>Fornecedores</v>
      </c>
      <c r="M16" s="23" t="str">
        <f t="shared" si="7"/>
        <v>Segmentos de Profissionais</v>
      </c>
      <c r="N16" s="23" t="str">
        <f t="shared" si="8"/>
        <v>Segmento de Estrutura</v>
      </c>
      <c r="O16" s="23" t="str">
        <f t="shared" si="9"/>
        <v>E Vendedor</v>
      </c>
      <c r="P16" s="23" t="s">
        <v>139</v>
      </c>
      <c r="Q16" s="26" t="str">
        <f t="shared" si="10"/>
        <v>Proveedor en el segmento de estructuras: es vendedor de productos</v>
      </c>
      <c r="R16" s="42" t="s">
        <v>9</v>
      </c>
      <c r="S16" s="43" t="str">
        <f t="shared" si="11"/>
        <v>Fornecedores</v>
      </c>
      <c r="T16" s="43" t="str">
        <f t="shared" si="12"/>
        <v>Segmentos de Profissionais</v>
      </c>
      <c r="U16" s="43" t="str">
        <f t="shared" si="13"/>
        <v>Segmento de Estrutura</v>
      </c>
      <c r="V16" s="41" t="s">
        <v>285</v>
      </c>
      <c r="W16" s="60" t="str">
        <f t="shared" si="14"/>
        <v>Key.Fab.16</v>
      </c>
      <c r="X16" s="41" t="s">
        <v>9</v>
      </c>
      <c r="Y16" s="41" t="s">
        <v>9</v>
      </c>
      <c r="Z16" s="41" t="s">
        <v>175</v>
      </c>
      <c r="AA16" s="45" t="str">
        <f t="shared" si="5"/>
        <v>Supplier in the structure segment: is a seller of products</v>
      </c>
    </row>
    <row r="17" spans="1:27" ht="6.55" customHeight="1" x14ac:dyDescent="0.4">
      <c r="A17" s="51">
        <v>17</v>
      </c>
      <c r="B17" s="52" t="s">
        <v>75</v>
      </c>
      <c r="C17" s="56" t="s">
        <v>95</v>
      </c>
      <c r="D17" s="52" t="s">
        <v>256</v>
      </c>
      <c r="E17" s="52" t="s">
        <v>292</v>
      </c>
      <c r="F17" s="57" t="s">
        <v>126</v>
      </c>
      <c r="G17" s="28" t="s">
        <v>9</v>
      </c>
      <c r="H17" s="28" t="s">
        <v>9</v>
      </c>
      <c r="I17" s="28" t="s">
        <v>9</v>
      </c>
      <c r="J17" s="28" t="s">
        <v>9</v>
      </c>
      <c r="K17" s="28" t="s">
        <v>9</v>
      </c>
      <c r="L17" s="23" t="str">
        <f t="shared" si="6"/>
        <v>Fornecedores</v>
      </c>
      <c r="M17" s="23" t="str">
        <f t="shared" si="7"/>
        <v>Segmentos de Profissionais</v>
      </c>
      <c r="N17" s="23" t="str">
        <f t="shared" si="8"/>
        <v>Segmento de Geotécnica</v>
      </c>
      <c r="O17" s="23" t="str">
        <f t="shared" si="9"/>
        <v>G Consultor</v>
      </c>
      <c r="P17" s="23" t="s">
        <v>162</v>
      </c>
      <c r="Q17" s="26" t="str">
        <f t="shared" si="10"/>
        <v>Proveedor geotécnico: es consultor autónomo</v>
      </c>
      <c r="R17" s="42" t="s">
        <v>9</v>
      </c>
      <c r="S17" s="43" t="str">
        <f t="shared" si="11"/>
        <v>Fornecedores</v>
      </c>
      <c r="T17" s="43" t="str">
        <f t="shared" si="12"/>
        <v>Segmentos de Profissionais</v>
      </c>
      <c r="U17" s="43" t="str">
        <f t="shared" si="13"/>
        <v>Segmento de Geotécnica</v>
      </c>
      <c r="V17" s="41" t="s">
        <v>285</v>
      </c>
      <c r="W17" s="60" t="str">
        <f t="shared" si="14"/>
        <v>Key.Fab.17</v>
      </c>
      <c r="X17" s="41" t="s">
        <v>9</v>
      </c>
      <c r="Y17" s="41" t="s">
        <v>9</v>
      </c>
      <c r="Z17" s="41" t="s">
        <v>172</v>
      </c>
      <c r="AA17" s="45" t="str">
        <f t="shared" si="5"/>
        <v>Geotechnical Supplier: is a self-employed consultant</v>
      </c>
    </row>
    <row r="18" spans="1:27" ht="6.55" customHeight="1" x14ac:dyDescent="0.4">
      <c r="A18" s="51">
        <v>18</v>
      </c>
      <c r="B18" s="52" t="s">
        <v>75</v>
      </c>
      <c r="C18" s="56" t="s">
        <v>95</v>
      </c>
      <c r="D18" s="52" t="s">
        <v>256</v>
      </c>
      <c r="E18" s="52" t="s">
        <v>292</v>
      </c>
      <c r="F18" s="57" t="s">
        <v>220</v>
      </c>
      <c r="G18" s="28" t="s">
        <v>9</v>
      </c>
      <c r="H18" s="28" t="s">
        <v>9</v>
      </c>
      <c r="I18" s="28" t="s">
        <v>9</v>
      </c>
      <c r="J18" s="28" t="s">
        <v>9</v>
      </c>
      <c r="K18" s="28" t="s">
        <v>9</v>
      </c>
      <c r="L18" s="23" t="str">
        <f t="shared" si="6"/>
        <v>Fornecedores</v>
      </c>
      <c r="M18" s="23" t="str">
        <f t="shared" si="7"/>
        <v>Segmentos de Profissionais</v>
      </c>
      <c r="N18" s="23" t="str">
        <f t="shared" si="8"/>
        <v>Segmento de Geotécnica</v>
      </c>
      <c r="O18" s="23" t="str">
        <f t="shared" si="9"/>
        <v>G Empresa Consultora</v>
      </c>
      <c r="P18" s="23" t="s">
        <v>163</v>
      </c>
      <c r="Q18" s="26" t="str">
        <f t="shared" si="10"/>
        <v>Proveedor en el segmento geotécnico: es una empresa de consultoría</v>
      </c>
      <c r="R18" s="42" t="s">
        <v>9</v>
      </c>
      <c r="S18" s="43" t="str">
        <f t="shared" si="11"/>
        <v>Fornecedores</v>
      </c>
      <c r="T18" s="43" t="str">
        <f t="shared" si="12"/>
        <v>Segmentos de Profissionais</v>
      </c>
      <c r="U18" s="43" t="str">
        <f t="shared" si="13"/>
        <v>Segmento de Geotécnica</v>
      </c>
      <c r="V18" s="41" t="s">
        <v>285</v>
      </c>
      <c r="W18" s="60" t="str">
        <f t="shared" si="14"/>
        <v>Key.Fab.18</v>
      </c>
      <c r="X18" s="41" t="s">
        <v>9</v>
      </c>
      <c r="Y18" s="41" t="s">
        <v>9</v>
      </c>
      <c r="Z18" s="41" t="s">
        <v>172</v>
      </c>
      <c r="AA18" s="45" t="str">
        <f t="shared" si="5"/>
        <v>Supplier in the geotechnical segment: it is a consulting company</v>
      </c>
    </row>
    <row r="19" spans="1:27" ht="6.55" customHeight="1" x14ac:dyDescent="0.4">
      <c r="A19" s="51">
        <v>19</v>
      </c>
      <c r="B19" s="52" t="s">
        <v>75</v>
      </c>
      <c r="C19" s="56" t="s">
        <v>95</v>
      </c>
      <c r="D19" s="52" t="s">
        <v>256</v>
      </c>
      <c r="E19" s="52" t="s">
        <v>292</v>
      </c>
      <c r="F19" s="57" t="s">
        <v>128</v>
      </c>
      <c r="G19" s="28" t="s">
        <v>9</v>
      </c>
      <c r="H19" s="28" t="s">
        <v>9</v>
      </c>
      <c r="I19" s="28" t="s">
        <v>9</v>
      </c>
      <c r="J19" s="28" t="s">
        <v>9</v>
      </c>
      <c r="K19" s="28" t="s">
        <v>9</v>
      </c>
      <c r="L19" s="23" t="str">
        <f t="shared" si="6"/>
        <v>Fornecedores</v>
      </c>
      <c r="M19" s="23" t="str">
        <f t="shared" si="7"/>
        <v>Segmentos de Profissionais</v>
      </c>
      <c r="N19" s="23" t="str">
        <f t="shared" si="8"/>
        <v>Segmento de Geotécnica</v>
      </c>
      <c r="O19" s="23" t="str">
        <f t="shared" si="9"/>
        <v>G Fabricante</v>
      </c>
      <c r="P19" s="23" t="s">
        <v>165</v>
      </c>
      <c r="Q19" s="26" t="str">
        <f t="shared" si="10"/>
        <v>Proveedor del segmento geotécnico: es fabricante de</v>
      </c>
      <c r="R19" s="42" t="s">
        <v>9</v>
      </c>
      <c r="S19" s="43" t="str">
        <f t="shared" si="11"/>
        <v>Fornecedores</v>
      </c>
      <c r="T19" s="43" t="str">
        <f t="shared" si="12"/>
        <v>Segmentos de Profissionais</v>
      </c>
      <c r="U19" s="43" t="str">
        <f t="shared" si="13"/>
        <v>Segmento de Geotécnica</v>
      </c>
      <c r="V19" s="41" t="s">
        <v>285</v>
      </c>
      <c r="W19" s="60" t="str">
        <f t="shared" si="14"/>
        <v>Key.Fab.19</v>
      </c>
      <c r="X19" s="41" t="s">
        <v>9</v>
      </c>
      <c r="Y19" s="41" t="s">
        <v>9</v>
      </c>
      <c r="Z19" s="41" t="s">
        <v>174</v>
      </c>
      <c r="AA19" s="45" t="str">
        <f t="shared" si="5"/>
        <v>Geotechnical Segment Supplier: is a manufacturer of</v>
      </c>
    </row>
    <row r="20" spans="1:27" ht="6.55" customHeight="1" x14ac:dyDescent="0.4">
      <c r="A20" s="51">
        <v>20</v>
      </c>
      <c r="B20" s="52" t="s">
        <v>75</v>
      </c>
      <c r="C20" s="56" t="s">
        <v>95</v>
      </c>
      <c r="D20" s="52" t="s">
        <v>256</v>
      </c>
      <c r="E20" s="52" t="s">
        <v>292</v>
      </c>
      <c r="F20" s="57" t="s">
        <v>177</v>
      </c>
      <c r="G20" s="28" t="s">
        <v>9</v>
      </c>
      <c r="H20" s="28" t="s">
        <v>9</v>
      </c>
      <c r="I20" s="28" t="s">
        <v>9</v>
      </c>
      <c r="J20" s="28" t="s">
        <v>9</v>
      </c>
      <c r="K20" s="28" t="s">
        <v>9</v>
      </c>
      <c r="L20" s="23" t="str">
        <f t="shared" si="6"/>
        <v>Fornecedores</v>
      </c>
      <c r="M20" s="23" t="str">
        <f t="shared" si="7"/>
        <v>Segmentos de Profissionais</v>
      </c>
      <c r="N20" s="23" t="str">
        <f t="shared" si="8"/>
        <v>Segmento de Geotécnica</v>
      </c>
      <c r="O20" s="23" t="str">
        <f t="shared" si="9"/>
        <v>G Fornecimento</v>
      </c>
      <c r="P20" s="23" t="s">
        <v>278</v>
      </c>
      <c r="Q20" s="26" t="str">
        <f t="shared" si="10"/>
        <v>Proveedor del segmento geotécnico: es un proveedor</v>
      </c>
      <c r="R20" s="42" t="s">
        <v>9</v>
      </c>
      <c r="S20" s="43" t="str">
        <f t="shared" si="11"/>
        <v>Fornecedores</v>
      </c>
      <c r="T20" s="43" t="str">
        <f t="shared" si="12"/>
        <v>Segmentos de Profissionais</v>
      </c>
      <c r="U20" s="43" t="str">
        <f t="shared" si="13"/>
        <v>Segmento de Geotécnica</v>
      </c>
      <c r="V20" s="41" t="s">
        <v>285</v>
      </c>
      <c r="W20" s="60" t="str">
        <f t="shared" si="14"/>
        <v>Key.Fab.20</v>
      </c>
      <c r="X20" s="41" t="s">
        <v>9</v>
      </c>
      <c r="Y20" s="41" t="s">
        <v>9</v>
      </c>
      <c r="Z20" s="41" t="s">
        <v>176</v>
      </c>
      <c r="AA20" s="45" t="str">
        <f t="shared" si="5"/>
        <v>Geotechnical Segment Supplier: is a supplier</v>
      </c>
    </row>
    <row r="21" spans="1:27" ht="6.55" customHeight="1" x14ac:dyDescent="0.4">
      <c r="A21" s="51">
        <v>21</v>
      </c>
      <c r="B21" s="52" t="s">
        <v>75</v>
      </c>
      <c r="C21" s="56" t="s">
        <v>95</v>
      </c>
      <c r="D21" s="52" t="s">
        <v>256</v>
      </c>
      <c r="E21" s="52" t="s">
        <v>292</v>
      </c>
      <c r="F21" s="57" t="s">
        <v>334</v>
      </c>
      <c r="G21" s="28" t="s">
        <v>9</v>
      </c>
      <c r="H21" s="28" t="s">
        <v>9</v>
      </c>
      <c r="I21" s="28" t="s">
        <v>9</v>
      </c>
      <c r="J21" s="28" t="s">
        <v>9</v>
      </c>
      <c r="K21" s="28" t="s">
        <v>9</v>
      </c>
      <c r="L21" s="23" t="str">
        <f t="shared" si="6"/>
        <v>Fornecedores</v>
      </c>
      <c r="M21" s="23" t="str">
        <f t="shared" si="7"/>
        <v>Segmentos de Profissionais</v>
      </c>
      <c r="N21" s="23" t="str">
        <f t="shared" si="8"/>
        <v>Segmento de Geotécnica</v>
      </c>
      <c r="O21" s="23" t="str">
        <f t="shared" si="9"/>
        <v>G Projetista</v>
      </c>
      <c r="P21" s="23" t="s">
        <v>344</v>
      </c>
      <c r="Q21" s="26" t="str">
        <f t="shared" si="10"/>
        <v>Proveedor del segmento geotécnico: es una empresa de diseño o diseñador</v>
      </c>
      <c r="R21" s="42" t="s">
        <v>9</v>
      </c>
      <c r="S21" s="43" t="str">
        <f t="shared" si="11"/>
        <v>Fornecedores</v>
      </c>
      <c r="T21" s="43" t="str">
        <f t="shared" si="12"/>
        <v>Segmentos de Profissionais</v>
      </c>
      <c r="U21" s="43" t="str">
        <f t="shared" si="13"/>
        <v>Segmento de Geotécnica</v>
      </c>
      <c r="V21" s="41" t="s">
        <v>285</v>
      </c>
      <c r="W21" s="60" t="str">
        <f t="shared" si="14"/>
        <v>Key.Fab.21</v>
      </c>
      <c r="X21" s="41" t="s">
        <v>9</v>
      </c>
      <c r="Y21" s="41" t="s">
        <v>9</v>
      </c>
      <c r="Z21" s="41" t="s">
        <v>173</v>
      </c>
      <c r="AA21" s="45" t="str">
        <f t="shared" si="5"/>
        <v>Geotechnical Segment Supplier: is a Designer or Design Company</v>
      </c>
    </row>
    <row r="22" spans="1:27" ht="6.55" customHeight="1" x14ac:dyDescent="0.4">
      <c r="A22" s="51">
        <v>22</v>
      </c>
      <c r="B22" s="52" t="s">
        <v>75</v>
      </c>
      <c r="C22" s="56" t="s">
        <v>95</v>
      </c>
      <c r="D22" s="52" t="s">
        <v>256</v>
      </c>
      <c r="E22" s="52" t="s">
        <v>292</v>
      </c>
      <c r="F22" s="57" t="s">
        <v>125</v>
      </c>
      <c r="G22" s="28" t="s">
        <v>9</v>
      </c>
      <c r="H22" s="28" t="s">
        <v>9</v>
      </c>
      <c r="I22" s="28" t="s">
        <v>9</v>
      </c>
      <c r="J22" s="28" t="s">
        <v>9</v>
      </c>
      <c r="K22" s="28" t="s">
        <v>9</v>
      </c>
      <c r="L22" s="23" t="str">
        <f t="shared" si="6"/>
        <v>Fornecedores</v>
      </c>
      <c r="M22" s="23" t="str">
        <f t="shared" si="7"/>
        <v>Segmentos de Profissionais</v>
      </c>
      <c r="N22" s="23" t="str">
        <f t="shared" si="8"/>
        <v>Segmento de Geotécnica</v>
      </c>
      <c r="O22" s="23" t="str">
        <f t="shared" si="9"/>
        <v>G Serviço</v>
      </c>
      <c r="P22" s="23" t="s">
        <v>161</v>
      </c>
      <c r="Q22" s="26" t="str">
        <f t="shared" si="10"/>
        <v>Proveedor geotécnico: es un servicio</v>
      </c>
      <c r="R22" s="42" t="s">
        <v>9</v>
      </c>
      <c r="S22" s="43" t="str">
        <f t="shared" si="11"/>
        <v>Fornecedores</v>
      </c>
      <c r="T22" s="43" t="str">
        <f t="shared" si="12"/>
        <v>Segmentos de Profissionais</v>
      </c>
      <c r="U22" s="43" t="str">
        <f t="shared" si="13"/>
        <v>Segmento de Geotécnica</v>
      </c>
      <c r="V22" s="41" t="s">
        <v>285</v>
      </c>
      <c r="W22" s="60" t="str">
        <f t="shared" si="14"/>
        <v>Key.Fab.22</v>
      </c>
      <c r="X22" s="41" t="s">
        <v>9</v>
      </c>
      <c r="Y22" s="41" t="s">
        <v>9</v>
      </c>
      <c r="Z22" s="41" t="s">
        <v>171</v>
      </c>
      <c r="AA22" s="45" t="str">
        <f t="shared" si="5"/>
        <v>Geotechnical Supplier: It's a Service</v>
      </c>
    </row>
    <row r="23" spans="1:27" ht="6.55" customHeight="1" x14ac:dyDescent="0.4">
      <c r="A23" s="51">
        <v>23</v>
      </c>
      <c r="B23" s="52" t="s">
        <v>75</v>
      </c>
      <c r="C23" s="56" t="s">
        <v>95</v>
      </c>
      <c r="D23" s="52" t="s">
        <v>256</v>
      </c>
      <c r="E23" s="52" t="s">
        <v>292</v>
      </c>
      <c r="F23" s="57" t="s">
        <v>127</v>
      </c>
      <c r="G23" s="28" t="s">
        <v>9</v>
      </c>
      <c r="H23" s="28" t="s">
        <v>9</v>
      </c>
      <c r="I23" s="28" t="s">
        <v>9</v>
      </c>
      <c r="J23" s="28" t="s">
        <v>9</v>
      </c>
      <c r="K23" s="28" t="s">
        <v>9</v>
      </c>
      <c r="L23" s="23" t="str">
        <f t="shared" si="6"/>
        <v>Fornecedores</v>
      </c>
      <c r="M23" s="23" t="str">
        <f t="shared" si="7"/>
        <v>Segmentos de Profissionais</v>
      </c>
      <c r="N23" s="23" t="str">
        <f t="shared" si="8"/>
        <v>Segmento de Geotécnica</v>
      </c>
      <c r="O23" s="23" t="str">
        <f t="shared" si="9"/>
        <v>G Vendedor</v>
      </c>
      <c r="P23" s="23" t="s">
        <v>164</v>
      </c>
      <c r="Q23" s="26" t="str">
        <f t="shared" si="10"/>
        <v>Proveedor del segmento geotécnico: es vendedor de productos</v>
      </c>
      <c r="R23" s="42" t="s">
        <v>9</v>
      </c>
      <c r="S23" s="43" t="str">
        <f t="shared" si="11"/>
        <v>Fornecedores</v>
      </c>
      <c r="T23" s="43" t="str">
        <f t="shared" si="12"/>
        <v>Segmentos de Profissionais</v>
      </c>
      <c r="U23" s="43" t="str">
        <f t="shared" si="13"/>
        <v>Segmento de Geotécnica</v>
      </c>
      <c r="V23" s="41" t="s">
        <v>285</v>
      </c>
      <c r="W23" s="60" t="str">
        <f t="shared" si="14"/>
        <v>Key.Fab.23</v>
      </c>
      <c r="X23" s="41" t="s">
        <v>9</v>
      </c>
      <c r="Y23" s="41" t="s">
        <v>9</v>
      </c>
      <c r="Z23" s="41" t="s">
        <v>175</v>
      </c>
      <c r="AA23" s="45" t="str">
        <f t="shared" si="5"/>
        <v>Geotechnical Segment Supplier: is a seller of products</v>
      </c>
    </row>
    <row r="24" spans="1:27" ht="6.55" customHeight="1" x14ac:dyDescent="0.4">
      <c r="A24" s="51">
        <v>24</v>
      </c>
      <c r="B24" s="52" t="s">
        <v>75</v>
      </c>
      <c r="C24" s="56" t="s">
        <v>95</v>
      </c>
      <c r="D24" s="52" t="s">
        <v>256</v>
      </c>
      <c r="E24" s="52" t="s">
        <v>134</v>
      </c>
      <c r="F24" s="57" t="s">
        <v>114</v>
      </c>
      <c r="G24" s="28" t="s">
        <v>9</v>
      </c>
      <c r="H24" s="28" t="s">
        <v>9</v>
      </c>
      <c r="I24" s="28" t="s">
        <v>9</v>
      </c>
      <c r="J24" s="28" t="s">
        <v>9</v>
      </c>
      <c r="K24" s="28" t="s">
        <v>9</v>
      </c>
      <c r="L24" s="23" t="str">
        <f t="shared" si="6"/>
        <v>Fornecedores</v>
      </c>
      <c r="M24" s="23" t="str">
        <f t="shared" si="7"/>
        <v>Segmentos de Profissionais</v>
      </c>
      <c r="N24" s="23" t="str">
        <f t="shared" si="8"/>
        <v>Segmento Hospitalar</v>
      </c>
      <c r="O24" s="23" t="str">
        <f t="shared" si="9"/>
        <v>H Consultor</v>
      </c>
      <c r="P24" s="23" t="s">
        <v>167</v>
      </c>
      <c r="Q24" s="26" t="str">
        <f t="shared" si="10"/>
        <v>Proveedor del segmento hospitalario: es consultor autónomo</v>
      </c>
      <c r="R24" s="42" t="s">
        <v>9</v>
      </c>
      <c r="S24" s="43" t="str">
        <f t="shared" si="11"/>
        <v>Fornecedores</v>
      </c>
      <c r="T24" s="43" t="str">
        <f t="shared" si="12"/>
        <v>Segmentos de Profissionais</v>
      </c>
      <c r="U24" s="43" t="str">
        <f t="shared" si="13"/>
        <v>Segmento Hospitalar</v>
      </c>
      <c r="V24" s="41" t="s">
        <v>285</v>
      </c>
      <c r="W24" s="60" t="str">
        <f t="shared" si="14"/>
        <v>Key.Fab.24</v>
      </c>
      <c r="X24" s="41" t="s">
        <v>9</v>
      </c>
      <c r="Y24" s="41" t="s">
        <v>9</v>
      </c>
      <c r="Z24" s="41" t="s">
        <v>172</v>
      </c>
      <c r="AA24" s="45" t="str">
        <f t="shared" si="5"/>
        <v>Hospital Segment Supplier: is a self-employed consultant</v>
      </c>
    </row>
    <row r="25" spans="1:27" ht="6.55" customHeight="1" x14ac:dyDescent="0.4">
      <c r="A25" s="51">
        <v>25</v>
      </c>
      <c r="B25" s="52" t="s">
        <v>75</v>
      </c>
      <c r="C25" s="56" t="s">
        <v>95</v>
      </c>
      <c r="D25" s="52" t="s">
        <v>256</v>
      </c>
      <c r="E25" s="52" t="s">
        <v>134</v>
      </c>
      <c r="F25" s="57" t="s">
        <v>217</v>
      </c>
      <c r="G25" s="28" t="s">
        <v>9</v>
      </c>
      <c r="H25" s="28" t="s">
        <v>9</v>
      </c>
      <c r="I25" s="28" t="s">
        <v>9</v>
      </c>
      <c r="J25" s="28" t="s">
        <v>9</v>
      </c>
      <c r="K25" s="28" t="s">
        <v>9</v>
      </c>
      <c r="L25" s="23" t="str">
        <f t="shared" si="6"/>
        <v>Fornecedores</v>
      </c>
      <c r="M25" s="23" t="str">
        <f t="shared" si="7"/>
        <v>Segmentos de Profissionais</v>
      </c>
      <c r="N25" s="23" t="str">
        <f t="shared" si="8"/>
        <v>Segmento Hospitalar</v>
      </c>
      <c r="O25" s="23" t="str">
        <f t="shared" si="9"/>
        <v>H Empresa Consultora</v>
      </c>
      <c r="P25" s="23" t="s">
        <v>168</v>
      </c>
      <c r="Q25" s="26" t="str">
        <f t="shared" si="10"/>
        <v>Proveedor en el segmento hospitalario: es una empresa de consultoría</v>
      </c>
      <c r="R25" s="42" t="s">
        <v>9</v>
      </c>
      <c r="S25" s="43" t="str">
        <f t="shared" si="11"/>
        <v>Fornecedores</v>
      </c>
      <c r="T25" s="43" t="str">
        <f t="shared" si="12"/>
        <v>Segmentos de Profissionais</v>
      </c>
      <c r="U25" s="43" t="str">
        <f t="shared" si="13"/>
        <v>Segmento Hospitalar</v>
      </c>
      <c r="V25" s="41" t="s">
        <v>285</v>
      </c>
      <c r="W25" s="60" t="str">
        <f t="shared" si="14"/>
        <v>Key.Fab.25</v>
      </c>
      <c r="X25" s="41" t="s">
        <v>9</v>
      </c>
      <c r="Y25" s="41" t="s">
        <v>9</v>
      </c>
      <c r="Z25" s="41" t="s">
        <v>172</v>
      </c>
      <c r="AA25" s="45" t="str">
        <f t="shared" si="5"/>
        <v>Supplier in the hospital segment: it is a consulting company</v>
      </c>
    </row>
    <row r="26" spans="1:27" ht="6.55" customHeight="1" x14ac:dyDescent="0.4">
      <c r="A26" s="51">
        <v>26</v>
      </c>
      <c r="B26" s="52" t="s">
        <v>75</v>
      </c>
      <c r="C26" s="56" t="s">
        <v>95</v>
      </c>
      <c r="D26" s="52" t="s">
        <v>256</v>
      </c>
      <c r="E26" s="52" t="s">
        <v>134</v>
      </c>
      <c r="F26" s="57" t="s">
        <v>116</v>
      </c>
      <c r="G26" s="28" t="s">
        <v>9</v>
      </c>
      <c r="H26" s="28" t="s">
        <v>9</v>
      </c>
      <c r="I26" s="28" t="s">
        <v>9</v>
      </c>
      <c r="J26" s="28" t="s">
        <v>9</v>
      </c>
      <c r="K26" s="28" t="s">
        <v>9</v>
      </c>
      <c r="L26" s="23" t="str">
        <f t="shared" si="6"/>
        <v>Fornecedores</v>
      </c>
      <c r="M26" s="23" t="str">
        <f t="shared" si="7"/>
        <v>Segmentos de Profissionais</v>
      </c>
      <c r="N26" s="23" t="str">
        <f t="shared" si="8"/>
        <v>Segmento Hospitalar</v>
      </c>
      <c r="O26" s="23" t="str">
        <f t="shared" si="9"/>
        <v>H Fabricante</v>
      </c>
      <c r="P26" s="23" t="s">
        <v>170</v>
      </c>
      <c r="Q26" s="26" t="str">
        <f t="shared" si="10"/>
        <v>Proveedor en el segmento hospitalario: es un fabricante de productos</v>
      </c>
      <c r="R26" s="42" t="s">
        <v>9</v>
      </c>
      <c r="S26" s="43" t="str">
        <f t="shared" si="11"/>
        <v>Fornecedores</v>
      </c>
      <c r="T26" s="43" t="str">
        <f t="shared" si="12"/>
        <v>Segmentos de Profissionais</v>
      </c>
      <c r="U26" s="43" t="str">
        <f t="shared" si="13"/>
        <v>Segmento Hospitalar</v>
      </c>
      <c r="V26" s="41" t="s">
        <v>285</v>
      </c>
      <c r="W26" s="60" t="str">
        <f t="shared" si="14"/>
        <v>Key.Fab.26</v>
      </c>
      <c r="X26" s="41" t="s">
        <v>9</v>
      </c>
      <c r="Y26" s="41" t="s">
        <v>9</v>
      </c>
      <c r="Z26" s="41" t="s">
        <v>174</v>
      </c>
      <c r="AA26" s="45" t="str">
        <f t="shared" si="5"/>
        <v>Supplier in the hospital segment: it is a manufacturer of products</v>
      </c>
    </row>
    <row r="27" spans="1:27" ht="6.55" customHeight="1" x14ac:dyDescent="0.4">
      <c r="A27" s="51">
        <v>27</v>
      </c>
      <c r="B27" s="52" t="s">
        <v>75</v>
      </c>
      <c r="C27" s="56" t="s">
        <v>95</v>
      </c>
      <c r="D27" s="52" t="s">
        <v>256</v>
      </c>
      <c r="E27" s="52" t="s">
        <v>134</v>
      </c>
      <c r="F27" s="57" t="s">
        <v>183</v>
      </c>
      <c r="G27" s="28" t="s">
        <v>9</v>
      </c>
      <c r="H27" s="28" t="s">
        <v>9</v>
      </c>
      <c r="I27" s="28" t="s">
        <v>9</v>
      </c>
      <c r="J27" s="28" t="s">
        <v>9</v>
      </c>
      <c r="K27" s="28" t="s">
        <v>9</v>
      </c>
      <c r="L27" s="23" t="str">
        <f t="shared" si="6"/>
        <v>Fornecedores</v>
      </c>
      <c r="M27" s="23" t="str">
        <f t="shared" si="7"/>
        <v>Segmentos de Profissionais</v>
      </c>
      <c r="N27" s="23" t="str">
        <f t="shared" si="8"/>
        <v>Segmento Hospitalar</v>
      </c>
      <c r="O27" s="23" t="str">
        <f t="shared" si="9"/>
        <v>H Fornecimento</v>
      </c>
      <c r="P27" s="23" t="s">
        <v>281</v>
      </c>
      <c r="Q27" s="26" t="str">
        <f t="shared" si="10"/>
        <v>Proveedor del segmento hospitalario: es un proveedor</v>
      </c>
      <c r="R27" s="42" t="s">
        <v>9</v>
      </c>
      <c r="S27" s="43" t="str">
        <f t="shared" si="11"/>
        <v>Fornecedores</v>
      </c>
      <c r="T27" s="43" t="str">
        <f t="shared" si="12"/>
        <v>Segmentos de Profissionais</v>
      </c>
      <c r="U27" s="43" t="str">
        <f t="shared" si="13"/>
        <v>Segmento Hospitalar</v>
      </c>
      <c r="V27" s="41" t="s">
        <v>285</v>
      </c>
      <c r="W27" s="60" t="str">
        <f t="shared" si="14"/>
        <v>Key.Fab.27</v>
      </c>
      <c r="X27" s="41" t="s">
        <v>9</v>
      </c>
      <c r="Y27" s="41" t="s">
        <v>9</v>
      </c>
      <c r="Z27" s="41" t="s">
        <v>176</v>
      </c>
      <c r="AA27" s="45" t="str">
        <f t="shared" si="5"/>
        <v>Hospital Segment Supplier: is a supplier</v>
      </c>
    </row>
    <row r="28" spans="1:27" ht="6.55" customHeight="1" x14ac:dyDescent="0.4">
      <c r="A28" s="51">
        <v>28</v>
      </c>
      <c r="B28" s="52" t="s">
        <v>75</v>
      </c>
      <c r="C28" s="56" t="s">
        <v>95</v>
      </c>
      <c r="D28" s="52" t="s">
        <v>256</v>
      </c>
      <c r="E28" s="52" t="s">
        <v>134</v>
      </c>
      <c r="F28" s="57" t="s">
        <v>335</v>
      </c>
      <c r="G28" s="28" t="s">
        <v>9</v>
      </c>
      <c r="H28" s="28" t="s">
        <v>9</v>
      </c>
      <c r="I28" s="28" t="s">
        <v>9</v>
      </c>
      <c r="J28" s="28" t="s">
        <v>9</v>
      </c>
      <c r="K28" s="28" t="s">
        <v>9</v>
      </c>
      <c r="L28" s="23" t="str">
        <f t="shared" si="6"/>
        <v>Fornecedores</v>
      </c>
      <c r="M28" s="23" t="str">
        <f t="shared" si="7"/>
        <v>Segmentos de Profissionais</v>
      </c>
      <c r="N28" s="23" t="str">
        <f t="shared" si="8"/>
        <v>Segmento Hospitalar</v>
      </c>
      <c r="O28" s="23" t="str">
        <f t="shared" si="9"/>
        <v>H Projetista</v>
      </c>
      <c r="P28" s="23" t="s">
        <v>345</v>
      </c>
      <c r="Q28" s="26" t="str">
        <f t="shared" si="10"/>
        <v>Proveedor en el segmento hospitalario: es una empresa de diseñador o diseño</v>
      </c>
      <c r="R28" s="42" t="s">
        <v>9</v>
      </c>
      <c r="S28" s="43" t="str">
        <f t="shared" si="11"/>
        <v>Fornecedores</v>
      </c>
      <c r="T28" s="43" t="str">
        <f t="shared" si="12"/>
        <v>Segmentos de Profissionais</v>
      </c>
      <c r="U28" s="43" t="str">
        <f t="shared" si="13"/>
        <v>Segmento Hospitalar</v>
      </c>
      <c r="V28" s="41" t="s">
        <v>285</v>
      </c>
      <c r="W28" s="60" t="str">
        <f t="shared" si="14"/>
        <v>Key.Fab.28</v>
      </c>
      <c r="X28" s="41" t="s">
        <v>9</v>
      </c>
      <c r="Y28" s="41" t="s">
        <v>9</v>
      </c>
      <c r="Z28" s="41" t="s">
        <v>173</v>
      </c>
      <c r="AA28" s="45" t="str">
        <f t="shared" si="5"/>
        <v>Supplier in the hospital segment: is a Designer or Design Company</v>
      </c>
    </row>
    <row r="29" spans="1:27" ht="6.55" customHeight="1" x14ac:dyDescent="0.4">
      <c r="A29" s="51">
        <v>29</v>
      </c>
      <c r="B29" s="52" t="s">
        <v>75</v>
      </c>
      <c r="C29" s="56" t="s">
        <v>95</v>
      </c>
      <c r="D29" s="52" t="s">
        <v>256</v>
      </c>
      <c r="E29" s="52" t="s">
        <v>134</v>
      </c>
      <c r="F29" s="57" t="s">
        <v>113</v>
      </c>
      <c r="G29" s="28" t="s">
        <v>9</v>
      </c>
      <c r="H29" s="28" t="s">
        <v>9</v>
      </c>
      <c r="I29" s="28" t="s">
        <v>9</v>
      </c>
      <c r="J29" s="28" t="s">
        <v>9</v>
      </c>
      <c r="K29" s="28" t="s">
        <v>9</v>
      </c>
      <c r="L29" s="23" t="str">
        <f t="shared" si="6"/>
        <v>Fornecedores</v>
      </c>
      <c r="M29" s="23" t="str">
        <f t="shared" si="7"/>
        <v>Segmentos de Profissionais</v>
      </c>
      <c r="N29" s="23" t="str">
        <f t="shared" si="8"/>
        <v>Segmento Hospitalar</v>
      </c>
      <c r="O29" s="23" t="str">
        <f t="shared" si="9"/>
        <v>H Serviço</v>
      </c>
      <c r="P29" s="23" t="s">
        <v>166</v>
      </c>
      <c r="Q29" s="26" t="str">
        <f t="shared" si="10"/>
        <v>Proveedor en el segmento hospitalario: es un servicio</v>
      </c>
      <c r="R29" s="42" t="s">
        <v>9</v>
      </c>
      <c r="S29" s="43" t="str">
        <f t="shared" si="11"/>
        <v>Fornecedores</v>
      </c>
      <c r="T29" s="43" t="str">
        <f t="shared" si="12"/>
        <v>Segmentos de Profissionais</v>
      </c>
      <c r="U29" s="43" t="str">
        <f t="shared" si="13"/>
        <v>Segmento Hospitalar</v>
      </c>
      <c r="V29" s="41" t="s">
        <v>285</v>
      </c>
      <c r="W29" s="60" t="str">
        <f t="shared" si="14"/>
        <v>Key.Fab.29</v>
      </c>
      <c r="X29" s="41" t="s">
        <v>9</v>
      </c>
      <c r="Y29" s="41" t="s">
        <v>9</v>
      </c>
      <c r="Z29" s="41" t="s">
        <v>171</v>
      </c>
      <c r="AA29" s="45" t="str">
        <f t="shared" si="5"/>
        <v>Supplier in the hospital segment: it is a service</v>
      </c>
    </row>
    <row r="30" spans="1:27" ht="6.55" customHeight="1" x14ac:dyDescent="0.4">
      <c r="A30" s="51">
        <v>30</v>
      </c>
      <c r="B30" s="52" t="s">
        <v>75</v>
      </c>
      <c r="C30" s="56" t="s">
        <v>95</v>
      </c>
      <c r="D30" s="52" t="s">
        <v>256</v>
      </c>
      <c r="E30" s="52" t="s">
        <v>134</v>
      </c>
      <c r="F30" s="57" t="s">
        <v>115</v>
      </c>
      <c r="G30" s="28" t="s">
        <v>9</v>
      </c>
      <c r="H30" s="28" t="s">
        <v>9</v>
      </c>
      <c r="I30" s="28" t="s">
        <v>9</v>
      </c>
      <c r="J30" s="28" t="s">
        <v>9</v>
      </c>
      <c r="K30" s="28" t="s">
        <v>9</v>
      </c>
      <c r="L30" s="23" t="str">
        <f t="shared" si="6"/>
        <v>Fornecedores</v>
      </c>
      <c r="M30" s="23" t="str">
        <f t="shared" si="7"/>
        <v>Segmentos de Profissionais</v>
      </c>
      <c r="N30" s="23" t="str">
        <f t="shared" si="8"/>
        <v>Segmento Hospitalar</v>
      </c>
      <c r="O30" s="23" t="str">
        <f t="shared" si="9"/>
        <v>H Vendedor</v>
      </c>
      <c r="P30" s="23" t="s">
        <v>169</v>
      </c>
      <c r="Q30" s="26" t="str">
        <f t="shared" si="10"/>
        <v>Proveedor en el segmento hospitalario: es un vendedor de productos</v>
      </c>
      <c r="R30" s="42" t="s">
        <v>9</v>
      </c>
      <c r="S30" s="43" t="str">
        <f t="shared" si="11"/>
        <v>Fornecedores</v>
      </c>
      <c r="T30" s="43" t="str">
        <f t="shared" si="12"/>
        <v>Segmentos de Profissionais</v>
      </c>
      <c r="U30" s="43" t="str">
        <f t="shared" si="13"/>
        <v>Segmento Hospitalar</v>
      </c>
      <c r="V30" s="41" t="s">
        <v>285</v>
      </c>
      <c r="W30" s="60" t="str">
        <f t="shared" si="14"/>
        <v>Key.Fab.30</v>
      </c>
      <c r="X30" s="41" t="s">
        <v>9</v>
      </c>
      <c r="Y30" s="41" t="s">
        <v>9</v>
      </c>
      <c r="Z30" s="41" t="s">
        <v>175</v>
      </c>
      <c r="AA30" s="45" t="str">
        <f t="shared" si="5"/>
        <v>Supplier in the hospital segment: is a seller of products</v>
      </c>
    </row>
    <row r="31" spans="1:27" ht="6.55" customHeight="1" x14ac:dyDescent="0.4">
      <c r="A31" s="51">
        <v>31</v>
      </c>
      <c r="B31" s="52" t="s">
        <v>75</v>
      </c>
      <c r="C31" s="56" t="s">
        <v>95</v>
      </c>
      <c r="D31" s="52" t="s">
        <v>256</v>
      </c>
      <c r="E31" s="52" t="s">
        <v>131</v>
      </c>
      <c r="F31" s="57" t="s">
        <v>105</v>
      </c>
      <c r="G31" s="28" t="s">
        <v>9</v>
      </c>
      <c r="H31" s="28" t="s">
        <v>9</v>
      </c>
      <c r="I31" s="28" t="s">
        <v>9</v>
      </c>
      <c r="J31" s="28" t="s">
        <v>9</v>
      </c>
      <c r="K31" s="28" t="s">
        <v>9</v>
      </c>
      <c r="L31" s="23" t="str">
        <f t="shared" si="6"/>
        <v>Fornecedores</v>
      </c>
      <c r="M31" s="23" t="str">
        <f t="shared" si="7"/>
        <v>Segmentos de Profissionais</v>
      </c>
      <c r="N31" s="23" t="str">
        <f t="shared" si="8"/>
        <v>Segmento de Instalações</v>
      </c>
      <c r="O31" s="23" t="str">
        <f t="shared" si="9"/>
        <v>I Consultor</v>
      </c>
      <c r="P31" s="23" t="s">
        <v>142</v>
      </c>
      <c r="Q31" s="26" t="str">
        <f t="shared" si="10"/>
        <v>Proveedor del segmento de instalaciones: es consultor autónomo</v>
      </c>
      <c r="R31" s="42" t="s">
        <v>9</v>
      </c>
      <c r="S31" s="43" t="str">
        <f t="shared" si="11"/>
        <v>Fornecedores</v>
      </c>
      <c r="T31" s="43" t="str">
        <f t="shared" si="12"/>
        <v>Segmentos de Profissionais</v>
      </c>
      <c r="U31" s="43" t="str">
        <f t="shared" si="13"/>
        <v>Segmento de Instalações</v>
      </c>
      <c r="V31" s="41" t="s">
        <v>285</v>
      </c>
      <c r="W31" s="60" t="str">
        <f t="shared" si="14"/>
        <v>Key.Fab.31</v>
      </c>
      <c r="X31" s="41" t="s">
        <v>9</v>
      </c>
      <c r="Y31" s="41" t="s">
        <v>9</v>
      </c>
      <c r="Z31" s="41" t="s">
        <v>172</v>
      </c>
      <c r="AA31" s="45" t="str">
        <f t="shared" si="5"/>
        <v>Facilities Segment Provider: is a self-employed consultant</v>
      </c>
    </row>
    <row r="32" spans="1:27" ht="6.55" customHeight="1" x14ac:dyDescent="0.4">
      <c r="A32" s="51">
        <v>32</v>
      </c>
      <c r="B32" s="52" t="s">
        <v>75</v>
      </c>
      <c r="C32" s="56" t="s">
        <v>95</v>
      </c>
      <c r="D32" s="52" t="s">
        <v>256</v>
      </c>
      <c r="E32" s="52" t="s">
        <v>131</v>
      </c>
      <c r="F32" s="57" t="s">
        <v>215</v>
      </c>
      <c r="G32" s="28" t="s">
        <v>9</v>
      </c>
      <c r="H32" s="28" t="s">
        <v>9</v>
      </c>
      <c r="I32" s="28" t="s">
        <v>9</v>
      </c>
      <c r="J32" s="28" t="s">
        <v>9</v>
      </c>
      <c r="K32" s="28" t="s">
        <v>9</v>
      </c>
      <c r="L32" s="23" t="str">
        <f t="shared" si="6"/>
        <v>Fornecedores</v>
      </c>
      <c r="M32" s="23" t="str">
        <f t="shared" si="7"/>
        <v>Segmentos de Profissionais</v>
      </c>
      <c r="N32" s="23" t="str">
        <f t="shared" si="8"/>
        <v>Segmento de Instalações</v>
      </c>
      <c r="O32" s="23" t="str">
        <f t="shared" si="9"/>
        <v>I Empresa Consultora</v>
      </c>
      <c r="P32" s="23" t="s">
        <v>143</v>
      </c>
      <c r="Q32" s="26" t="str">
        <f t="shared" si="10"/>
        <v>Proveedor en el segmento de instalaciones: es una empresa de consultoría</v>
      </c>
      <c r="R32" s="42" t="s">
        <v>9</v>
      </c>
      <c r="S32" s="43" t="str">
        <f t="shared" si="11"/>
        <v>Fornecedores</v>
      </c>
      <c r="T32" s="43" t="str">
        <f t="shared" si="12"/>
        <v>Segmentos de Profissionais</v>
      </c>
      <c r="U32" s="43" t="str">
        <f t="shared" si="13"/>
        <v>Segmento de Instalações</v>
      </c>
      <c r="V32" s="41" t="s">
        <v>285</v>
      </c>
      <c r="W32" s="60" t="str">
        <f t="shared" si="14"/>
        <v>Key.Fab.32</v>
      </c>
      <c r="X32" s="41" t="s">
        <v>9</v>
      </c>
      <c r="Y32" s="41" t="s">
        <v>9</v>
      </c>
      <c r="Z32" s="41" t="s">
        <v>172</v>
      </c>
      <c r="AA32" s="45" t="str">
        <f t="shared" si="5"/>
        <v>Supplier in the facilities segment: it is a consulting company</v>
      </c>
    </row>
    <row r="33" spans="1:27" ht="6.55" customHeight="1" x14ac:dyDescent="0.4">
      <c r="A33" s="51">
        <v>33</v>
      </c>
      <c r="B33" s="52" t="s">
        <v>75</v>
      </c>
      <c r="C33" s="56" t="s">
        <v>95</v>
      </c>
      <c r="D33" s="52" t="s">
        <v>256</v>
      </c>
      <c r="E33" s="52" t="s">
        <v>131</v>
      </c>
      <c r="F33" s="57" t="s">
        <v>107</v>
      </c>
      <c r="G33" s="28" t="s">
        <v>9</v>
      </c>
      <c r="H33" s="28" t="s">
        <v>9</v>
      </c>
      <c r="I33" s="28" t="s">
        <v>9</v>
      </c>
      <c r="J33" s="28" t="s">
        <v>9</v>
      </c>
      <c r="K33" s="28" t="s">
        <v>9</v>
      </c>
      <c r="L33" s="23" t="str">
        <f t="shared" si="6"/>
        <v>Fornecedores</v>
      </c>
      <c r="M33" s="23" t="str">
        <f t="shared" si="7"/>
        <v>Segmentos de Profissionais</v>
      </c>
      <c r="N33" s="23" t="str">
        <f t="shared" si="8"/>
        <v>Segmento de Instalações</v>
      </c>
      <c r="O33" s="23" t="str">
        <f t="shared" si="9"/>
        <v>I Fabricante</v>
      </c>
      <c r="P33" s="23" t="s">
        <v>145</v>
      </c>
      <c r="Q33" s="26" t="str">
        <f t="shared" si="10"/>
        <v>Proveedor en el segmento de instalación: es un fabricante de productos</v>
      </c>
      <c r="R33" s="42" t="s">
        <v>9</v>
      </c>
      <c r="S33" s="43" t="str">
        <f t="shared" si="11"/>
        <v>Fornecedores</v>
      </c>
      <c r="T33" s="43" t="str">
        <f t="shared" si="12"/>
        <v>Segmentos de Profissionais</v>
      </c>
      <c r="U33" s="43" t="str">
        <f t="shared" si="13"/>
        <v>Segmento de Instalações</v>
      </c>
      <c r="V33" s="41" t="s">
        <v>285</v>
      </c>
      <c r="W33" s="60" t="str">
        <f t="shared" si="14"/>
        <v>Key.Fab.33</v>
      </c>
      <c r="X33" s="41" t="s">
        <v>9</v>
      </c>
      <c r="Y33" s="41" t="s">
        <v>9</v>
      </c>
      <c r="Z33" s="41" t="s">
        <v>174</v>
      </c>
      <c r="AA33" s="45" t="str">
        <f t="shared" si="5"/>
        <v>Supplier in the installation segment: is a manufacturer of products</v>
      </c>
    </row>
    <row r="34" spans="1:27" ht="6.55" customHeight="1" x14ac:dyDescent="0.4">
      <c r="A34" s="51">
        <v>34</v>
      </c>
      <c r="B34" s="52" t="s">
        <v>75</v>
      </c>
      <c r="C34" s="56" t="s">
        <v>95</v>
      </c>
      <c r="D34" s="52" t="s">
        <v>256</v>
      </c>
      <c r="E34" s="52" t="s">
        <v>131</v>
      </c>
      <c r="F34" s="57" t="s">
        <v>181</v>
      </c>
      <c r="G34" s="28" t="s">
        <v>9</v>
      </c>
      <c r="H34" s="28" t="s">
        <v>9</v>
      </c>
      <c r="I34" s="28" t="s">
        <v>9</v>
      </c>
      <c r="J34" s="28" t="s">
        <v>9</v>
      </c>
      <c r="K34" s="28" t="s">
        <v>9</v>
      </c>
      <c r="L34" s="23" t="str">
        <f t="shared" si="6"/>
        <v>Fornecedores</v>
      </c>
      <c r="M34" s="23" t="str">
        <f t="shared" si="7"/>
        <v>Segmentos de Profissionais</v>
      </c>
      <c r="N34" s="23" t="str">
        <f t="shared" si="8"/>
        <v>Segmento de Instalações</v>
      </c>
      <c r="O34" s="23" t="str">
        <f t="shared" si="9"/>
        <v>I Fornecimento</v>
      </c>
      <c r="P34" s="23" t="s">
        <v>279</v>
      </c>
      <c r="Q34" s="26" t="str">
        <f t="shared" si="10"/>
        <v>Proveedor del segmento de instalaciones: es un proveedor</v>
      </c>
      <c r="R34" s="42" t="s">
        <v>9</v>
      </c>
      <c r="S34" s="43" t="str">
        <f t="shared" si="11"/>
        <v>Fornecedores</v>
      </c>
      <c r="T34" s="43" t="str">
        <f t="shared" si="12"/>
        <v>Segmentos de Profissionais</v>
      </c>
      <c r="U34" s="43" t="str">
        <f t="shared" si="13"/>
        <v>Segmento de Instalações</v>
      </c>
      <c r="V34" s="41" t="s">
        <v>285</v>
      </c>
      <c r="W34" s="60" t="str">
        <f t="shared" si="14"/>
        <v>Key.Fab.34</v>
      </c>
      <c r="X34" s="41" t="s">
        <v>9</v>
      </c>
      <c r="Y34" s="41" t="s">
        <v>9</v>
      </c>
      <c r="Z34" s="41" t="s">
        <v>176</v>
      </c>
      <c r="AA34" s="45" t="str">
        <f t="shared" ref="AA34:AA65" si="15">_xlfn.TRANSLATE(P34,"pt","en")</f>
        <v>Facilities Segment Supplier: is a supplier</v>
      </c>
    </row>
    <row r="35" spans="1:27" ht="6.55" customHeight="1" x14ac:dyDescent="0.4">
      <c r="A35" s="51">
        <v>35</v>
      </c>
      <c r="B35" s="52" t="s">
        <v>75</v>
      </c>
      <c r="C35" s="56" t="s">
        <v>95</v>
      </c>
      <c r="D35" s="52" t="s">
        <v>256</v>
      </c>
      <c r="E35" s="52" t="s">
        <v>131</v>
      </c>
      <c r="F35" s="57" t="s">
        <v>336</v>
      </c>
      <c r="G35" s="28" t="s">
        <v>9</v>
      </c>
      <c r="H35" s="28" t="s">
        <v>9</v>
      </c>
      <c r="I35" s="28" t="s">
        <v>9</v>
      </c>
      <c r="J35" s="28" t="s">
        <v>9</v>
      </c>
      <c r="K35" s="28" t="s">
        <v>9</v>
      </c>
      <c r="L35" s="23" t="str">
        <f t="shared" ref="L35:L66" si="16">_xlfn.CONCAT(SUBSTITUTE(C35,"1.",""))</f>
        <v>Fornecedores</v>
      </c>
      <c r="M35" s="23" t="str">
        <f t="shared" ref="M35:M66" si="17">_xlfn.CONCAT(SUBSTITUTE(D35,"."," "))</f>
        <v>Segmentos de Profissionais</v>
      </c>
      <c r="N35" s="23" t="str">
        <f t="shared" ref="N35:N66" si="18">_xlfn.CONCAT(SUBSTITUTE(E35,"."," "))</f>
        <v>Segmento de Instalações</v>
      </c>
      <c r="O35" s="23" t="str">
        <f t="shared" ref="O35:O66" si="19">_xlfn.CONCAT(SUBSTITUTE(F35,"."," "))</f>
        <v>I Projetista</v>
      </c>
      <c r="P35" s="23" t="s">
        <v>346</v>
      </c>
      <c r="Q35" s="26" t="str">
        <f t="shared" ref="Q35:Q66" si="20">_xlfn.TRANSLATE(P35,"pt","es")</f>
        <v>Proveedor del segmento de instalación: es un diseñador o empresa de diseño</v>
      </c>
      <c r="R35" s="42" t="s">
        <v>9</v>
      </c>
      <c r="S35" s="43" t="str">
        <f t="shared" ref="S35:S66" si="21">SUBSTITUTE(C35, ".", " ")</f>
        <v>Fornecedores</v>
      </c>
      <c r="T35" s="43" t="str">
        <f t="shared" ref="T35:T66" si="22">SUBSTITUTE(D35, ".", " ")</f>
        <v>Segmentos de Profissionais</v>
      </c>
      <c r="U35" s="43" t="str">
        <f t="shared" ref="U35:U66" si="23">SUBSTITUTE(E35, ".", " ")</f>
        <v>Segmento de Instalações</v>
      </c>
      <c r="V35" s="41" t="s">
        <v>285</v>
      </c>
      <c r="W35" s="60" t="str">
        <f t="shared" ref="W35:W66" si="24">CONCATENATE("Key.Fab.",A35)</f>
        <v>Key.Fab.35</v>
      </c>
      <c r="X35" s="41" t="s">
        <v>9</v>
      </c>
      <c r="Y35" s="41" t="s">
        <v>9</v>
      </c>
      <c r="Z35" s="41" t="s">
        <v>173</v>
      </c>
      <c r="AA35" s="45" t="str">
        <f t="shared" si="15"/>
        <v>Installation Segment Supplier: is a Designer or Design Company</v>
      </c>
    </row>
    <row r="36" spans="1:27" ht="6.55" customHeight="1" x14ac:dyDescent="0.4">
      <c r="A36" s="51">
        <v>36</v>
      </c>
      <c r="B36" s="52" t="s">
        <v>75</v>
      </c>
      <c r="C36" s="56" t="s">
        <v>95</v>
      </c>
      <c r="D36" s="52" t="s">
        <v>256</v>
      </c>
      <c r="E36" s="52" t="s">
        <v>131</v>
      </c>
      <c r="F36" s="57" t="s">
        <v>104</v>
      </c>
      <c r="G36" s="28" t="s">
        <v>9</v>
      </c>
      <c r="H36" s="28" t="s">
        <v>9</v>
      </c>
      <c r="I36" s="28" t="s">
        <v>9</v>
      </c>
      <c r="J36" s="28" t="s">
        <v>9</v>
      </c>
      <c r="K36" s="28" t="s">
        <v>9</v>
      </c>
      <c r="L36" s="23" t="str">
        <f t="shared" si="16"/>
        <v>Fornecedores</v>
      </c>
      <c r="M36" s="23" t="str">
        <f t="shared" si="17"/>
        <v>Segmentos de Profissionais</v>
      </c>
      <c r="N36" s="23" t="str">
        <f t="shared" si="18"/>
        <v>Segmento de Instalações</v>
      </c>
      <c r="O36" s="23" t="str">
        <f t="shared" si="19"/>
        <v>I Serviço</v>
      </c>
      <c r="P36" s="23" t="s">
        <v>141</v>
      </c>
      <c r="Q36" s="26" t="str">
        <f t="shared" si="20"/>
        <v>Proveedor de Segmento de Instalaciones: Es un Servicio</v>
      </c>
      <c r="R36" s="42" t="s">
        <v>9</v>
      </c>
      <c r="S36" s="43" t="str">
        <f t="shared" si="21"/>
        <v>Fornecedores</v>
      </c>
      <c r="T36" s="43" t="str">
        <f t="shared" si="22"/>
        <v>Segmentos de Profissionais</v>
      </c>
      <c r="U36" s="43" t="str">
        <f t="shared" si="23"/>
        <v>Segmento de Instalações</v>
      </c>
      <c r="V36" s="41" t="s">
        <v>285</v>
      </c>
      <c r="W36" s="60" t="str">
        <f t="shared" si="24"/>
        <v>Key.Fab.36</v>
      </c>
      <c r="X36" s="41" t="s">
        <v>9</v>
      </c>
      <c r="Y36" s="41" t="s">
        <v>9</v>
      </c>
      <c r="Z36" s="41" t="s">
        <v>171</v>
      </c>
      <c r="AA36" s="45" t="str">
        <f t="shared" si="15"/>
        <v>Facilities Segment Provider: It's a Service</v>
      </c>
    </row>
    <row r="37" spans="1:27" ht="6.55" customHeight="1" x14ac:dyDescent="0.4">
      <c r="A37" s="51">
        <v>37</v>
      </c>
      <c r="B37" s="52" t="s">
        <v>75</v>
      </c>
      <c r="C37" s="56" t="s">
        <v>95</v>
      </c>
      <c r="D37" s="52" t="s">
        <v>256</v>
      </c>
      <c r="E37" s="52" t="s">
        <v>131</v>
      </c>
      <c r="F37" s="57" t="s">
        <v>106</v>
      </c>
      <c r="G37" s="28" t="s">
        <v>9</v>
      </c>
      <c r="H37" s="28" t="s">
        <v>9</v>
      </c>
      <c r="I37" s="28" t="s">
        <v>9</v>
      </c>
      <c r="J37" s="28" t="s">
        <v>9</v>
      </c>
      <c r="K37" s="28" t="s">
        <v>9</v>
      </c>
      <c r="L37" s="23" t="str">
        <f t="shared" si="16"/>
        <v>Fornecedores</v>
      </c>
      <c r="M37" s="23" t="str">
        <f t="shared" si="17"/>
        <v>Segmentos de Profissionais</v>
      </c>
      <c r="N37" s="23" t="str">
        <f t="shared" si="18"/>
        <v>Segmento de Instalações</v>
      </c>
      <c r="O37" s="23" t="str">
        <f t="shared" si="19"/>
        <v>I Vendedor</v>
      </c>
      <c r="P37" s="23" t="s">
        <v>144</v>
      </c>
      <c r="Q37" s="26" t="str">
        <f t="shared" si="20"/>
        <v>Proveedor del segmento de instalaciones: es vendedor de productos</v>
      </c>
      <c r="R37" s="42" t="s">
        <v>9</v>
      </c>
      <c r="S37" s="43" t="str">
        <f t="shared" si="21"/>
        <v>Fornecedores</v>
      </c>
      <c r="T37" s="43" t="str">
        <f t="shared" si="22"/>
        <v>Segmentos de Profissionais</v>
      </c>
      <c r="U37" s="43" t="str">
        <f t="shared" si="23"/>
        <v>Segmento de Instalações</v>
      </c>
      <c r="V37" s="41" t="s">
        <v>285</v>
      </c>
      <c r="W37" s="60" t="str">
        <f t="shared" si="24"/>
        <v>Key.Fab.37</v>
      </c>
      <c r="X37" s="41" t="s">
        <v>9</v>
      </c>
      <c r="Y37" s="41" t="s">
        <v>9</v>
      </c>
      <c r="Z37" s="41" t="s">
        <v>175</v>
      </c>
      <c r="AA37" s="45" t="str">
        <f t="shared" si="15"/>
        <v>Facilities segment supplier: is a product seller</v>
      </c>
    </row>
    <row r="38" spans="1:27" ht="6.55" customHeight="1" x14ac:dyDescent="0.4">
      <c r="A38" s="51">
        <v>38</v>
      </c>
      <c r="B38" s="52" t="s">
        <v>75</v>
      </c>
      <c r="C38" s="56" t="s">
        <v>95</v>
      </c>
      <c r="D38" s="52" t="s">
        <v>256</v>
      </c>
      <c r="E38" s="52" t="s">
        <v>135</v>
      </c>
      <c r="F38" s="57" t="s">
        <v>118</v>
      </c>
      <c r="G38" s="28" t="s">
        <v>9</v>
      </c>
      <c r="H38" s="28" t="s">
        <v>9</v>
      </c>
      <c r="I38" s="28" t="s">
        <v>9</v>
      </c>
      <c r="J38" s="28" t="s">
        <v>9</v>
      </c>
      <c r="K38" s="28" t="s">
        <v>9</v>
      </c>
      <c r="L38" s="23" t="str">
        <f t="shared" si="16"/>
        <v>Fornecedores</v>
      </c>
      <c r="M38" s="23" t="str">
        <f t="shared" si="17"/>
        <v>Segmentos de Profissionais</v>
      </c>
      <c r="N38" s="23" t="str">
        <f t="shared" si="18"/>
        <v>Segmento Laboratorial</v>
      </c>
      <c r="O38" s="23" t="str">
        <f t="shared" si="19"/>
        <v>L Consultor</v>
      </c>
      <c r="P38" s="23" t="s">
        <v>152</v>
      </c>
      <c r="Q38" s="26" t="str">
        <f t="shared" si="20"/>
        <v>Proveedor de segmento de laboratorio: es consultor autónomo</v>
      </c>
      <c r="R38" s="42" t="s">
        <v>9</v>
      </c>
      <c r="S38" s="43" t="str">
        <f t="shared" si="21"/>
        <v>Fornecedores</v>
      </c>
      <c r="T38" s="43" t="str">
        <f t="shared" si="22"/>
        <v>Segmentos de Profissionais</v>
      </c>
      <c r="U38" s="43" t="str">
        <f t="shared" si="23"/>
        <v>Segmento Laboratorial</v>
      </c>
      <c r="V38" s="41" t="s">
        <v>285</v>
      </c>
      <c r="W38" s="60" t="str">
        <f t="shared" si="24"/>
        <v>Key.Fab.38</v>
      </c>
      <c r="X38" s="41" t="s">
        <v>9</v>
      </c>
      <c r="Y38" s="41" t="s">
        <v>9</v>
      </c>
      <c r="Z38" s="41" t="s">
        <v>172</v>
      </c>
      <c r="AA38" s="45" t="str">
        <f t="shared" si="15"/>
        <v>Laboratory Segment Supplier: is a self-employed consultant</v>
      </c>
    </row>
    <row r="39" spans="1:27" ht="6.55" customHeight="1" x14ac:dyDescent="0.4">
      <c r="A39" s="51">
        <v>39</v>
      </c>
      <c r="B39" s="52" t="s">
        <v>75</v>
      </c>
      <c r="C39" s="56" t="s">
        <v>95</v>
      </c>
      <c r="D39" s="52" t="s">
        <v>256</v>
      </c>
      <c r="E39" s="52" t="s">
        <v>135</v>
      </c>
      <c r="F39" s="57" t="s">
        <v>218</v>
      </c>
      <c r="G39" s="28" t="s">
        <v>9</v>
      </c>
      <c r="H39" s="28" t="s">
        <v>9</v>
      </c>
      <c r="I39" s="28" t="s">
        <v>9</v>
      </c>
      <c r="J39" s="28" t="s">
        <v>9</v>
      </c>
      <c r="K39" s="28" t="s">
        <v>9</v>
      </c>
      <c r="L39" s="23" t="str">
        <f t="shared" si="16"/>
        <v>Fornecedores</v>
      </c>
      <c r="M39" s="23" t="str">
        <f t="shared" si="17"/>
        <v>Segmentos de Profissionais</v>
      </c>
      <c r="N39" s="23" t="str">
        <f t="shared" si="18"/>
        <v>Segmento Laboratorial</v>
      </c>
      <c r="O39" s="23" t="str">
        <f t="shared" si="19"/>
        <v>L Empresa Consultora</v>
      </c>
      <c r="P39" s="23" t="s">
        <v>153</v>
      </c>
      <c r="Q39" s="26" t="str">
        <f t="shared" si="20"/>
        <v>Proveedor en el segmento de laboratorios: es una empresa de consultoría</v>
      </c>
      <c r="R39" s="42" t="s">
        <v>9</v>
      </c>
      <c r="S39" s="43" t="str">
        <f t="shared" si="21"/>
        <v>Fornecedores</v>
      </c>
      <c r="T39" s="43" t="str">
        <f t="shared" si="22"/>
        <v>Segmentos de Profissionais</v>
      </c>
      <c r="U39" s="43" t="str">
        <f t="shared" si="23"/>
        <v>Segmento Laboratorial</v>
      </c>
      <c r="V39" s="41" t="s">
        <v>285</v>
      </c>
      <c r="W39" s="60" t="str">
        <f t="shared" si="24"/>
        <v>Key.Fab.39</v>
      </c>
      <c r="X39" s="41" t="s">
        <v>9</v>
      </c>
      <c r="Y39" s="41" t="s">
        <v>9</v>
      </c>
      <c r="Z39" s="41" t="s">
        <v>172</v>
      </c>
      <c r="AA39" s="45" t="str">
        <f t="shared" si="15"/>
        <v>Supplier in the laboratory segment: it is a consulting company</v>
      </c>
    </row>
    <row r="40" spans="1:27" ht="6.55" customHeight="1" x14ac:dyDescent="0.4">
      <c r="A40" s="51">
        <v>40</v>
      </c>
      <c r="B40" s="52" t="s">
        <v>75</v>
      </c>
      <c r="C40" s="56" t="s">
        <v>95</v>
      </c>
      <c r="D40" s="52" t="s">
        <v>256</v>
      </c>
      <c r="E40" s="52" t="s">
        <v>135</v>
      </c>
      <c r="F40" s="57" t="s">
        <v>120</v>
      </c>
      <c r="G40" s="28" t="s">
        <v>9</v>
      </c>
      <c r="H40" s="28" t="s">
        <v>9</v>
      </c>
      <c r="I40" s="28" t="s">
        <v>9</v>
      </c>
      <c r="J40" s="28" t="s">
        <v>9</v>
      </c>
      <c r="K40" s="28" t="s">
        <v>9</v>
      </c>
      <c r="L40" s="23" t="str">
        <f t="shared" si="16"/>
        <v>Fornecedores</v>
      </c>
      <c r="M40" s="23" t="str">
        <f t="shared" si="17"/>
        <v>Segmentos de Profissionais</v>
      </c>
      <c r="N40" s="23" t="str">
        <f t="shared" si="18"/>
        <v>Segmento Laboratorial</v>
      </c>
      <c r="O40" s="23" t="str">
        <f t="shared" si="19"/>
        <v>L Fabricante</v>
      </c>
      <c r="P40" s="23" t="s">
        <v>155</v>
      </c>
      <c r="Q40" s="26" t="str">
        <f t="shared" si="20"/>
        <v>Proveedor del segmento de laboratorio: es un fabricante de productos</v>
      </c>
      <c r="R40" s="42" t="s">
        <v>9</v>
      </c>
      <c r="S40" s="43" t="str">
        <f t="shared" si="21"/>
        <v>Fornecedores</v>
      </c>
      <c r="T40" s="43" t="str">
        <f t="shared" si="22"/>
        <v>Segmentos de Profissionais</v>
      </c>
      <c r="U40" s="43" t="str">
        <f t="shared" si="23"/>
        <v>Segmento Laboratorial</v>
      </c>
      <c r="V40" s="41" t="s">
        <v>285</v>
      </c>
      <c r="W40" s="60" t="str">
        <f t="shared" si="24"/>
        <v>Key.Fab.40</v>
      </c>
      <c r="X40" s="41" t="s">
        <v>9</v>
      </c>
      <c r="Y40" s="41" t="s">
        <v>9</v>
      </c>
      <c r="Z40" s="41" t="s">
        <v>174</v>
      </c>
      <c r="AA40" s="45" t="str">
        <f t="shared" si="15"/>
        <v>Supplier of the laboratory segment: it is a manufacturer of products</v>
      </c>
    </row>
    <row r="41" spans="1:27" ht="6.55" customHeight="1" x14ac:dyDescent="0.4">
      <c r="A41" s="51">
        <v>41</v>
      </c>
      <c r="B41" s="52" t="s">
        <v>75</v>
      </c>
      <c r="C41" s="56" t="s">
        <v>95</v>
      </c>
      <c r="D41" s="52" t="s">
        <v>256</v>
      </c>
      <c r="E41" s="52" t="s">
        <v>135</v>
      </c>
      <c r="F41" s="57" t="s">
        <v>184</v>
      </c>
      <c r="G41" s="28" t="s">
        <v>9</v>
      </c>
      <c r="H41" s="28" t="s">
        <v>9</v>
      </c>
      <c r="I41" s="28" t="s">
        <v>9</v>
      </c>
      <c r="J41" s="28" t="s">
        <v>9</v>
      </c>
      <c r="K41" s="28" t="s">
        <v>9</v>
      </c>
      <c r="L41" s="23" t="str">
        <f t="shared" si="16"/>
        <v>Fornecedores</v>
      </c>
      <c r="M41" s="23" t="str">
        <f t="shared" si="17"/>
        <v>Segmentos de Profissionais</v>
      </c>
      <c r="N41" s="23" t="str">
        <f t="shared" si="18"/>
        <v>Segmento Laboratorial</v>
      </c>
      <c r="O41" s="23" t="str">
        <f t="shared" si="19"/>
        <v>L Fornecimento</v>
      </c>
      <c r="P41" s="23" t="s">
        <v>282</v>
      </c>
      <c r="Q41" s="26" t="str">
        <f t="shared" si="20"/>
        <v>Proveedor en el segmento de laboratorio: es un proveedor</v>
      </c>
      <c r="R41" s="42" t="s">
        <v>9</v>
      </c>
      <c r="S41" s="43" t="str">
        <f t="shared" si="21"/>
        <v>Fornecedores</v>
      </c>
      <c r="T41" s="43" t="str">
        <f t="shared" si="22"/>
        <v>Segmentos de Profissionais</v>
      </c>
      <c r="U41" s="43" t="str">
        <f t="shared" si="23"/>
        <v>Segmento Laboratorial</v>
      </c>
      <c r="V41" s="41" t="s">
        <v>285</v>
      </c>
      <c r="W41" s="60" t="str">
        <f t="shared" si="24"/>
        <v>Key.Fab.41</v>
      </c>
      <c r="X41" s="41" t="s">
        <v>9</v>
      </c>
      <c r="Y41" s="41" t="s">
        <v>9</v>
      </c>
      <c r="Z41" s="41" t="s">
        <v>176</v>
      </c>
      <c r="AA41" s="45" t="str">
        <f t="shared" si="15"/>
        <v>Supplier in the laboratory segment: is a supplier</v>
      </c>
    </row>
    <row r="42" spans="1:27" ht="6.55" customHeight="1" x14ac:dyDescent="0.4">
      <c r="A42" s="51">
        <v>42</v>
      </c>
      <c r="B42" s="52" t="s">
        <v>75</v>
      </c>
      <c r="C42" s="56" t="s">
        <v>95</v>
      </c>
      <c r="D42" s="52" t="s">
        <v>256</v>
      </c>
      <c r="E42" s="52" t="s">
        <v>135</v>
      </c>
      <c r="F42" s="57" t="s">
        <v>337</v>
      </c>
      <c r="G42" s="28" t="s">
        <v>9</v>
      </c>
      <c r="H42" s="28" t="s">
        <v>9</v>
      </c>
      <c r="I42" s="28" t="s">
        <v>9</v>
      </c>
      <c r="J42" s="28" t="s">
        <v>9</v>
      </c>
      <c r="K42" s="28" t="s">
        <v>9</v>
      </c>
      <c r="L42" s="23" t="str">
        <f t="shared" si="16"/>
        <v>Fornecedores</v>
      </c>
      <c r="M42" s="23" t="str">
        <f t="shared" si="17"/>
        <v>Segmentos de Profissionais</v>
      </c>
      <c r="N42" s="23" t="str">
        <f t="shared" si="18"/>
        <v>Segmento Laboratorial</v>
      </c>
      <c r="O42" s="23" t="str">
        <f t="shared" si="19"/>
        <v>L Projetista</v>
      </c>
      <c r="P42" s="23" t="s">
        <v>347</v>
      </c>
      <c r="Q42" s="26" t="str">
        <f t="shared" si="20"/>
        <v>Proveedor del segmento de laboratorio: es una empresa de diseño o diseñador</v>
      </c>
      <c r="R42" s="42" t="s">
        <v>9</v>
      </c>
      <c r="S42" s="43" t="str">
        <f t="shared" si="21"/>
        <v>Fornecedores</v>
      </c>
      <c r="T42" s="43" t="str">
        <f t="shared" si="22"/>
        <v>Segmentos de Profissionais</v>
      </c>
      <c r="U42" s="43" t="str">
        <f t="shared" si="23"/>
        <v>Segmento Laboratorial</v>
      </c>
      <c r="V42" s="41" t="s">
        <v>285</v>
      </c>
      <c r="W42" s="60" t="str">
        <f t="shared" si="24"/>
        <v>Key.Fab.42</v>
      </c>
      <c r="X42" s="41" t="s">
        <v>9</v>
      </c>
      <c r="Y42" s="41" t="s">
        <v>9</v>
      </c>
      <c r="Z42" s="41" t="s">
        <v>173</v>
      </c>
      <c r="AA42" s="45" t="str">
        <f t="shared" si="15"/>
        <v>Laboratory Segment Supplier: is a Designer or Design Company</v>
      </c>
    </row>
    <row r="43" spans="1:27" ht="6.55" customHeight="1" x14ac:dyDescent="0.4">
      <c r="A43" s="51">
        <v>43</v>
      </c>
      <c r="B43" s="52" t="s">
        <v>75</v>
      </c>
      <c r="C43" s="56" t="s">
        <v>95</v>
      </c>
      <c r="D43" s="52" t="s">
        <v>256</v>
      </c>
      <c r="E43" s="52" t="s">
        <v>135</v>
      </c>
      <c r="F43" s="57" t="s">
        <v>117</v>
      </c>
      <c r="G43" s="28" t="s">
        <v>9</v>
      </c>
      <c r="H43" s="28" t="s">
        <v>9</v>
      </c>
      <c r="I43" s="28" t="s">
        <v>9</v>
      </c>
      <c r="J43" s="28" t="s">
        <v>9</v>
      </c>
      <c r="K43" s="28" t="s">
        <v>9</v>
      </c>
      <c r="L43" s="23" t="str">
        <f t="shared" si="16"/>
        <v>Fornecedores</v>
      </c>
      <c r="M43" s="23" t="str">
        <f t="shared" si="17"/>
        <v>Segmentos de Profissionais</v>
      </c>
      <c r="N43" s="23" t="str">
        <f t="shared" si="18"/>
        <v>Segmento Laboratorial</v>
      </c>
      <c r="O43" s="23" t="str">
        <f t="shared" si="19"/>
        <v>L Serviço</v>
      </c>
      <c r="P43" s="23" t="s">
        <v>151</v>
      </c>
      <c r="Q43" s="26" t="str">
        <f t="shared" si="20"/>
        <v>Proveedor en el segmento de laboratorio: es un servicio</v>
      </c>
      <c r="R43" s="42" t="s">
        <v>9</v>
      </c>
      <c r="S43" s="43" t="str">
        <f t="shared" si="21"/>
        <v>Fornecedores</v>
      </c>
      <c r="T43" s="43" t="str">
        <f t="shared" si="22"/>
        <v>Segmentos de Profissionais</v>
      </c>
      <c r="U43" s="43" t="str">
        <f t="shared" si="23"/>
        <v>Segmento Laboratorial</v>
      </c>
      <c r="V43" s="41" t="s">
        <v>285</v>
      </c>
      <c r="W43" s="60" t="str">
        <f t="shared" si="24"/>
        <v>Key.Fab.43</v>
      </c>
      <c r="X43" s="41" t="s">
        <v>9</v>
      </c>
      <c r="Y43" s="41" t="s">
        <v>9</v>
      </c>
      <c r="Z43" s="41" t="s">
        <v>171</v>
      </c>
      <c r="AA43" s="45" t="str">
        <f t="shared" si="15"/>
        <v>Supplier in the laboratory segment: it is a service</v>
      </c>
    </row>
    <row r="44" spans="1:27" ht="6.55" customHeight="1" x14ac:dyDescent="0.4">
      <c r="A44" s="51">
        <v>44</v>
      </c>
      <c r="B44" s="52" t="s">
        <v>75</v>
      </c>
      <c r="C44" s="56" t="s">
        <v>95</v>
      </c>
      <c r="D44" s="52" t="s">
        <v>256</v>
      </c>
      <c r="E44" s="52" t="s">
        <v>135</v>
      </c>
      <c r="F44" s="57" t="s">
        <v>119</v>
      </c>
      <c r="G44" s="28" t="s">
        <v>9</v>
      </c>
      <c r="H44" s="28" t="s">
        <v>9</v>
      </c>
      <c r="I44" s="28" t="s">
        <v>9</v>
      </c>
      <c r="J44" s="28" t="s">
        <v>9</v>
      </c>
      <c r="K44" s="28" t="s">
        <v>9</v>
      </c>
      <c r="L44" s="23" t="str">
        <f t="shared" si="16"/>
        <v>Fornecedores</v>
      </c>
      <c r="M44" s="23" t="str">
        <f t="shared" si="17"/>
        <v>Segmentos de Profissionais</v>
      </c>
      <c r="N44" s="23" t="str">
        <f t="shared" si="18"/>
        <v>Segmento Laboratorial</v>
      </c>
      <c r="O44" s="23" t="str">
        <f t="shared" si="19"/>
        <v>L Vendedor</v>
      </c>
      <c r="P44" s="23" t="s">
        <v>154</v>
      </c>
      <c r="Q44" s="26" t="str">
        <f t="shared" si="20"/>
        <v>Proveedor en el segmento de laboratorio: es un vendedor de productos</v>
      </c>
      <c r="R44" s="42" t="s">
        <v>9</v>
      </c>
      <c r="S44" s="43" t="str">
        <f t="shared" si="21"/>
        <v>Fornecedores</v>
      </c>
      <c r="T44" s="43" t="str">
        <f t="shared" si="22"/>
        <v>Segmentos de Profissionais</v>
      </c>
      <c r="U44" s="43" t="str">
        <f t="shared" si="23"/>
        <v>Segmento Laboratorial</v>
      </c>
      <c r="V44" s="41" t="s">
        <v>285</v>
      </c>
      <c r="W44" s="60" t="str">
        <f t="shared" si="24"/>
        <v>Key.Fab.44</v>
      </c>
      <c r="X44" s="41" t="s">
        <v>9</v>
      </c>
      <c r="Y44" s="41" t="s">
        <v>9</v>
      </c>
      <c r="Z44" s="41" t="s">
        <v>175</v>
      </c>
      <c r="AA44" s="45" t="str">
        <f t="shared" si="15"/>
        <v>Supplier in the laboratory segment: is a seller of products</v>
      </c>
    </row>
    <row r="45" spans="1:27" ht="6.55" customHeight="1" x14ac:dyDescent="0.4">
      <c r="A45" s="51">
        <v>45</v>
      </c>
      <c r="B45" s="52" t="s">
        <v>75</v>
      </c>
      <c r="C45" s="56" t="s">
        <v>95</v>
      </c>
      <c r="D45" s="52" t="s">
        <v>256</v>
      </c>
      <c r="E45" s="52" t="s">
        <v>133</v>
      </c>
      <c r="F45" s="57" t="s">
        <v>110</v>
      </c>
      <c r="G45" s="28" t="s">
        <v>9</v>
      </c>
      <c r="H45" s="28" t="s">
        <v>9</v>
      </c>
      <c r="I45" s="28" t="s">
        <v>9</v>
      </c>
      <c r="J45" s="28" t="s">
        <v>9</v>
      </c>
      <c r="K45" s="28" t="s">
        <v>9</v>
      </c>
      <c r="L45" s="23" t="str">
        <f t="shared" si="16"/>
        <v>Fornecedores</v>
      </c>
      <c r="M45" s="23" t="str">
        <f t="shared" si="17"/>
        <v>Segmentos de Profissionais</v>
      </c>
      <c r="N45" s="23" t="str">
        <f t="shared" si="18"/>
        <v>Segmento de Mobiliário</v>
      </c>
      <c r="O45" s="23" t="str">
        <f t="shared" si="19"/>
        <v>M Consultor</v>
      </c>
      <c r="P45" s="23" t="s">
        <v>147</v>
      </c>
      <c r="Q45" s="26" t="str">
        <f t="shared" si="20"/>
        <v>Proveedor de muebles: es un consultor autónomo</v>
      </c>
      <c r="R45" s="42" t="s">
        <v>9</v>
      </c>
      <c r="S45" s="43" t="str">
        <f t="shared" si="21"/>
        <v>Fornecedores</v>
      </c>
      <c r="T45" s="43" t="str">
        <f t="shared" si="22"/>
        <v>Segmentos de Profissionais</v>
      </c>
      <c r="U45" s="43" t="str">
        <f t="shared" si="23"/>
        <v>Segmento de Mobiliário</v>
      </c>
      <c r="V45" s="41" t="s">
        <v>285</v>
      </c>
      <c r="W45" s="60" t="str">
        <f t="shared" si="24"/>
        <v>Key.Fab.45</v>
      </c>
      <c r="X45" s="41" t="s">
        <v>9</v>
      </c>
      <c r="Y45" s="41" t="s">
        <v>9</v>
      </c>
      <c r="Z45" s="41" t="s">
        <v>172</v>
      </c>
      <c r="AA45" s="45" t="str">
        <f t="shared" si="15"/>
        <v>Furniture supplier: is a self-employed consultant</v>
      </c>
    </row>
    <row r="46" spans="1:27" ht="6.55" customHeight="1" x14ac:dyDescent="0.4">
      <c r="A46" s="51">
        <v>46</v>
      </c>
      <c r="B46" s="52" t="s">
        <v>75</v>
      </c>
      <c r="C46" s="56" t="s">
        <v>95</v>
      </c>
      <c r="D46" s="52" t="s">
        <v>256</v>
      </c>
      <c r="E46" s="52" t="s">
        <v>133</v>
      </c>
      <c r="F46" s="57" t="s">
        <v>216</v>
      </c>
      <c r="G46" s="28" t="s">
        <v>9</v>
      </c>
      <c r="H46" s="28" t="s">
        <v>9</v>
      </c>
      <c r="I46" s="28" t="s">
        <v>9</v>
      </c>
      <c r="J46" s="28" t="s">
        <v>9</v>
      </c>
      <c r="K46" s="28" t="s">
        <v>9</v>
      </c>
      <c r="L46" s="23" t="str">
        <f t="shared" si="16"/>
        <v>Fornecedores</v>
      </c>
      <c r="M46" s="23" t="str">
        <f t="shared" si="17"/>
        <v>Segmentos de Profissionais</v>
      </c>
      <c r="N46" s="23" t="str">
        <f t="shared" si="18"/>
        <v>Segmento de Mobiliário</v>
      </c>
      <c r="O46" s="23" t="str">
        <f t="shared" si="19"/>
        <v>M Empresa Consultora</v>
      </c>
      <c r="P46" s="23" t="s">
        <v>148</v>
      </c>
      <c r="Q46" s="26" t="str">
        <f t="shared" si="20"/>
        <v>Proveedor del segmento de muebles: es una empresa de consultoría</v>
      </c>
      <c r="R46" s="42" t="s">
        <v>9</v>
      </c>
      <c r="S46" s="43" t="str">
        <f t="shared" si="21"/>
        <v>Fornecedores</v>
      </c>
      <c r="T46" s="43" t="str">
        <f t="shared" si="22"/>
        <v>Segmentos de Profissionais</v>
      </c>
      <c r="U46" s="43" t="str">
        <f t="shared" si="23"/>
        <v>Segmento de Mobiliário</v>
      </c>
      <c r="V46" s="41" t="s">
        <v>285</v>
      </c>
      <c r="W46" s="60" t="str">
        <f t="shared" si="24"/>
        <v>Key.Fab.46</v>
      </c>
      <c r="X46" s="41" t="s">
        <v>9</v>
      </c>
      <c r="Y46" s="41" t="s">
        <v>9</v>
      </c>
      <c r="Z46" s="41" t="s">
        <v>172</v>
      </c>
      <c r="AA46" s="45" t="str">
        <f t="shared" si="15"/>
        <v>Supplier of the furniture segment: it is a consulting company</v>
      </c>
    </row>
    <row r="47" spans="1:27" ht="6.55" customHeight="1" x14ac:dyDescent="0.4">
      <c r="A47" s="51">
        <v>47</v>
      </c>
      <c r="B47" s="52" t="s">
        <v>75</v>
      </c>
      <c r="C47" s="56" t="s">
        <v>95</v>
      </c>
      <c r="D47" s="52" t="s">
        <v>256</v>
      </c>
      <c r="E47" s="52" t="s">
        <v>133</v>
      </c>
      <c r="F47" s="57" t="s">
        <v>112</v>
      </c>
      <c r="G47" s="28" t="s">
        <v>9</v>
      </c>
      <c r="H47" s="28" t="s">
        <v>9</v>
      </c>
      <c r="I47" s="28" t="s">
        <v>9</v>
      </c>
      <c r="J47" s="28" t="s">
        <v>9</v>
      </c>
      <c r="K47" s="28" t="s">
        <v>9</v>
      </c>
      <c r="L47" s="23" t="str">
        <f t="shared" si="16"/>
        <v>Fornecedores</v>
      </c>
      <c r="M47" s="23" t="str">
        <f t="shared" si="17"/>
        <v>Segmentos de Profissionais</v>
      </c>
      <c r="N47" s="23" t="str">
        <f t="shared" si="18"/>
        <v>Segmento de Mobiliário</v>
      </c>
      <c r="O47" s="23" t="str">
        <f t="shared" si="19"/>
        <v>M Fabricante</v>
      </c>
      <c r="P47" s="23" t="s">
        <v>150</v>
      </c>
      <c r="Q47" s="26" t="str">
        <f t="shared" si="20"/>
        <v>Proveedor del segmento de muebles: es un fabricante de productos</v>
      </c>
      <c r="R47" s="42" t="s">
        <v>9</v>
      </c>
      <c r="S47" s="43" t="str">
        <f t="shared" si="21"/>
        <v>Fornecedores</v>
      </c>
      <c r="T47" s="43" t="str">
        <f t="shared" si="22"/>
        <v>Segmentos de Profissionais</v>
      </c>
      <c r="U47" s="43" t="str">
        <f t="shared" si="23"/>
        <v>Segmento de Mobiliário</v>
      </c>
      <c r="V47" s="41" t="s">
        <v>285</v>
      </c>
      <c r="W47" s="60" t="str">
        <f t="shared" si="24"/>
        <v>Key.Fab.47</v>
      </c>
      <c r="X47" s="41" t="s">
        <v>9</v>
      </c>
      <c r="Y47" s="41" t="s">
        <v>9</v>
      </c>
      <c r="Z47" s="41" t="s">
        <v>174</v>
      </c>
      <c r="AA47" s="45" t="str">
        <f t="shared" si="15"/>
        <v>Furniture segment supplier: is a manufacturer of products</v>
      </c>
    </row>
    <row r="48" spans="1:27" ht="6.55" customHeight="1" x14ac:dyDescent="0.4">
      <c r="A48" s="51">
        <v>48</v>
      </c>
      <c r="B48" s="52" t="s">
        <v>75</v>
      </c>
      <c r="C48" s="56" t="s">
        <v>95</v>
      </c>
      <c r="D48" s="52" t="s">
        <v>256</v>
      </c>
      <c r="E48" s="52" t="s">
        <v>133</v>
      </c>
      <c r="F48" s="57" t="s">
        <v>182</v>
      </c>
      <c r="G48" s="28" t="s">
        <v>9</v>
      </c>
      <c r="H48" s="28" t="s">
        <v>9</v>
      </c>
      <c r="I48" s="28" t="s">
        <v>9</v>
      </c>
      <c r="J48" s="28" t="s">
        <v>9</v>
      </c>
      <c r="K48" s="28" t="s">
        <v>9</v>
      </c>
      <c r="L48" s="23" t="str">
        <f t="shared" si="16"/>
        <v>Fornecedores</v>
      </c>
      <c r="M48" s="23" t="str">
        <f t="shared" si="17"/>
        <v>Segmentos de Profissionais</v>
      </c>
      <c r="N48" s="23" t="str">
        <f t="shared" si="18"/>
        <v>Segmento de Mobiliário</v>
      </c>
      <c r="O48" s="23" t="str">
        <f t="shared" si="19"/>
        <v>M Fornecimento</v>
      </c>
      <c r="P48" s="23" t="s">
        <v>280</v>
      </c>
      <c r="Q48" s="26" t="str">
        <f t="shared" si="20"/>
        <v>Proveedor de muebles: es un proveedor</v>
      </c>
      <c r="R48" s="42" t="s">
        <v>9</v>
      </c>
      <c r="S48" s="43" t="str">
        <f t="shared" si="21"/>
        <v>Fornecedores</v>
      </c>
      <c r="T48" s="43" t="str">
        <f t="shared" si="22"/>
        <v>Segmentos de Profissionais</v>
      </c>
      <c r="U48" s="43" t="str">
        <f t="shared" si="23"/>
        <v>Segmento de Mobiliário</v>
      </c>
      <c r="V48" s="41" t="s">
        <v>285</v>
      </c>
      <c r="W48" s="60" t="str">
        <f t="shared" si="24"/>
        <v>Key.Fab.48</v>
      </c>
      <c r="X48" s="41" t="s">
        <v>9</v>
      </c>
      <c r="Y48" s="41" t="s">
        <v>9</v>
      </c>
      <c r="Z48" s="41" t="s">
        <v>176</v>
      </c>
      <c r="AA48" s="45" t="str">
        <f t="shared" si="15"/>
        <v>Furniture Supplier: is a supplier</v>
      </c>
    </row>
    <row r="49" spans="1:27" ht="6.55" customHeight="1" x14ac:dyDescent="0.4">
      <c r="A49" s="51">
        <v>49</v>
      </c>
      <c r="B49" s="52" t="s">
        <v>75</v>
      </c>
      <c r="C49" s="56" t="s">
        <v>95</v>
      </c>
      <c r="D49" s="52" t="s">
        <v>256</v>
      </c>
      <c r="E49" s="52" t="s">
        <v>133</v>
      </c>
      <c r="F49" s="57" t="s">
        <v>338</v>
      </c>
      <c r="G49" s="28" t="s">
        <v>9</v>
      </c>
      <c r="H49" s="28" t="s">
        <v>9</v>
      </c>
      <c r="I49" s="28" t="s">
        <v>9</v>
      </c>
      <c r="J49" s="28" t="s">
        <v>9</v>
      </c>
      <c r="K49" s="28" t="s">
        <v>9</v>
      </c>
      <c r="L49" s="23" t="str">
        <f t="shared" si="16"/>
        <v>Fornecedores</v>
      </c>
      <c r="M49" s="23" t="str">
        <f t="shared" si="17"/>
        <v>Segmentos de Profissionais</v>
      </c>
      <c r="N49" s="23" t="str">
        <f t="shared" si="18"/>
        <v>Segmento de Mobiliário</v>
      </c>
      <c r="O49" s="23" t="str">
        <f t="shared" si="19"/>
        <v>M Projetista</v>
      </c>
      <c r="P49" s="23" t="s">
        <v>348</v>
      </c>
      <c r="Q49" s="26" t="str">
        <f t="shared" si="20"/>
        <v>Proveedor de muebles: es una empresa de diseñador o diseño</v>
      </c>
      <c r="R49" s="42" t="s">
        <v>9</v>
      </c>
      <c r="S49" s="43" t="str">
        <f t="shared" si="21"/>
        <v>Fornecedores</v>
      </c>
      <c r="T49" s="43" t="str">
        <f t="shared" si="22"/>
        <v>Segmentos de Profissionais</v>
      </c>
      <c r="U49" s="43" t="str">
        <f t="shared" si="23"/>
        <v>Segmento de Mobiliário</v>
      </c>
      <c r="V49" s="41" t="s">
        <v>285</v>
      </c>
      <c r="W49" s="60" t="str">
        <f t="shared" si="24"/>
        <v>Key.Fab.49</v>
      </c>
      <c r="X49" s="41" t="s">
        <v>9</v>
      </c>
      <c r="Y49" s="41" t="s">
        <v>9</v>
      </c>
      <c r="Z49" s="41" t="s">
        <v>173</v>
      </c>
      <c r="AA49" s="45" t="str">
        <f t="shared" si="15"/>
        <v>Furniture Supplier: is a Designer or Design Company</v>
      </c>
    </row>
    <row r="50" spans="1:27" ht="6.55" customHeight="1" x14ac:dyDescent="0.4">
      <c r="A50" s="51">
        <v>50</v>
      </c>
      <c r="B50" s="52" t="s">
        <v>75</v>
      </c>
      <c r="C50" s="56" t="s">
        <v>95</v>
      </c>
      <c r="D50" s="52" t="s">
        <v>256</v>
      </c>
      <c r="E50" s="52" t="s">
        <v>133</v>
      </c>
      <c r="F50" s="57" t="s">
        <v>109</v>
      </c>
      <c r="G50" s="28" t="s">
        <v>9</v>
      </c>
      <c r="H50" s="28" t="s">
        <v>9</v>
      </c>
      <c r="I50" s="28" t="s">
        <v>9</v>
      </c>
      <c r="J50" s="28" t="s">
        <v>9</v>
      </c>
      <c r="K50" s="28" t="s">
        <v>9</v>
      </c>
      <c r="L50" s="23" t="str">
        <f t="shared" si="16"/>
        <v>Fornecedores</v>
      </c>
      <c r="M50" s="23" t="str">
        <f t="shared" si="17"/>
        <v>Segmentos de Profissionais</v>
      </c>
      <c r="N50" s="23" t="str">
        <f t="shared" si="18"/>
        <v>Segmento de Mobiliário</v>
      </c>
      <c r="O50" s="23" t="str">
        <f t="shared" si="19"/>
        <v>M Serviço</v>
      </c>
      <c r="P50" s="23" t="s">
        <v>146</v>
      </c>
      <c r="Q50" s="26" t="str">
        <f t="shared" si="20"/>
        <v>Proveedor de muebles: es un servicio</v>
      </c>
      <c r="R50" s="42" t="s">
        <v>9</v>
      </c>
      <c r="S50" s="43" t="str">
        <f t="shared" si="21"/>
        <v>Fornecedores</v>
      </c>
      <c r="T50" s="43" t="str">
        <f t="shared" si="22"/>
        <v>Segmentos de Profissionais</v>
      </c>
      <c r="U50" s="43" t="str">
        <f t="shared" si="23"/>
        <v>Segmento de Mobiliário</v>
      </c>
      <c r="V50" s="41" t="s">
        <v>285</v>
      </c>
      <c r="W50" s="60" t="str">
        <f t="shared" si="24"/>
        <v>Key.Fab.50</v>
      </c>
      <c r="X50" s="41" t="s">
        <v>9</v>
      </c>
      <c r="Y50" s="41" t="s">
        <v>9</v>
      </c>
      <c r="Z50" s="41" t="s">
        <v>171</v>
      </c>
      <c r="AA50" s="45" t="str">
        <f t="shared" si="15"/>
        <v>Furniture supplier: it is a service</v>
      </c>
    </row>
    <row r="51" spans="1:27" ht="6.55" customHeight="1" x14ac:dyDescent="0.4">
      <c r="A51" s="51">
        <v>51</v>
      </c>
      <c r="B51" s="52" t="s">
        <v>75</v>
      </c>
      <c r="C51" s="56" t="s">
        <v>95</v>
      </c>
      <c r="D51" s="52" t="s">
        <v>256</v>
      </c>
      <c r="E51" s="52" t="s">
        <v>133</v>
      </c>
      <c r="F51" s="57" t="s">
        <v>111</v>
      </c>
      <c r="G51" s="28" t="s">
        <v>9</v>
      </c>
      <c r="H51" s="28" t="s">
        <v>9</v>
      </c>
      <c r="I51" s="28" t="s">
        <v>9</v>
      </c>
      <c r="J51" s="28" t="s">
        <v>9</v>
      </c>
      <c r="K51" s="28" t="s">
        <v>9</v>
      </c>
      <c r="L51" s="23" t="str">
        <f t="shared" si="16"/>
        <v>Fornecedores</v>
      </c>
      <c r="M51" s="23" t="str">
        <f t="shared" si="17"/>
        <v>Segmentos de Profissionais</v>
      </c>
      <c r="N51" s="23" t="str">
        <f t="shared" si="18"/>
        <v>Segmento de Mobiliário</v>
      </c>
      <c r="O51" s="23" t="str">
        <f t="shared" si="19"/>
        <v>M Vendedor</v>
      </c>
      <c r="P51" s="23" t="s">
        <v>149</v>
      </c>
      <c r="Q51" s="26" t="str">
        <f t="shared" si="20"/>
        <v>Proveedor de muebles: es un vendedor de productos</v>
      </c>
      <c r="R51" s="42" t="s">
        <v>9</v>
      </c>
      <c r="S51" s="43" t="str">
        <f t="shared" si="21"/>
        <v>Fornecedores</v>
      </c>
      <c r="T51" s="43" t="str">
        <f t="shared" si="22"/>
        <v>Segmentos de Profissionais</v>
      </c>
      <c r="U51" s="43" t="str">
        <f t="shared" si="23"/>
        <v>Segmento de Mobiliário</v>
      </c>
      <c r="V51" s="41" t="s">
        <v>285</v>
      </c>
      <c r="W51" s="60" t="str">
        <f t="shared" si="24"/>
        <v>Key.Fab.51</v>
      </c>
      <c r="X51" s="41" t="s">
        <v>9</v>
      </c>
      <c r="Y51" s="41" t="s">
        <v>9</v>
      </c>
      <c r="Z51" s="41" t="s">
        <v>175</v>
      </c>
      <c r="AA51" s="45" t="str">
        <f t="shared" si="15"/>
        <v>Furniture supplier: is a seller of products</v>
      </c>
    </row>
    <row r="52" spans="1:27" ht="6.55" customHeight="1" x14ac:dyDescent="0.4">
      <c r="A52" s="51">
        <v>52</v>
      </c>
      <c r="B52" s="52" t="s">
        <v>75</v>
      </c>
      <c r="C52" s="56" t="s">
        <v>95</v>
      </c>
      <c r="D52" s="52" t="s">
        <v>256</v>
      </c>
      <c r="E52" s="52" t="s">
        <v>132</v>
      </c>
      <c r="F52" s="57" t="s">
        <v>122</v>
      </c>
      <c r="G52" s="28" t="s">
        <v>9</v>
      </c>
      <c r="H52" s="28" t="s">
        <v>9</v>
      </c>
      <c r="I52" s="28" t="s">
        <v>9</v>
      </c>
      <c r="J52" s="28" t="s">
        <v>9</v>
      </c>
      <c r="K52" s="28" t="s">
        <v>9</v>
      </c>
      <c r="L52" s="23" t="str">
        <f t="shared" si="16"/>
        <v>Fornecedores</v>
      </c>
      <c r="M52" s="23" t="str">
        <f t="shared" si="17"/>
        <v>Segmentos de Profissionais</v>
      </c>
      <c r="N52" s="23" t="str">
        <f t="shared" si="18"/>
        <v>Segmento de Inovação</v>
      </c>
      <c r="O52" s="23" t="str">
        <f t="shared" si="19"/>
        <v>N Consultor</v>
      </c>
      <c r="P52" s="23" t="s">
        <v>157</v>
      </c>
      <c r="Q52" s="26" t="str">
        <f t="shared" si="20"/>
        <v>Proveedor de segmento de innovación: es consultor autónomo</v>
      </c>
      <c r="R52" s="42" t="s">
        <v>9</v>
      </c>
      <c r="S52" s="43" t="str">
        <f t="shared" si="21"/>
        <v>Fornecedores</v>
      </c>
      <c r="T52" s="43" t="str">
        <f t="shared" si="22"/>
        <v>Segmentos de Profissionais</v>
      </c>
      <c r="U52" s="43" t="str">
        <f t="shared" si="23"/>
        <v>Segmento de Inovação</v>
      </c>
      <c r="V52" s="41" t="s">
        <v>285</v>
      </c>
      <c r="W52" s="60" t="str">
        <f t="shared" si="24"/>
        <v>Key.Fab.52</v>
      </c>
      <c r="X52" s="41" t="s">
        <v>9</v>
      </c>
      <c r="Y52" s="41" t="s">
        <v>9</v>
      </c>
      <c r="Z52" s="41" t="s">
        <v>172</v>
      </c>
      <c r="AA52" s="45" t="str">
        <f t="shared" si="15"/>
        <v>Innovation Segment Provider: is a self-employed consultant</v>
      </c>
    </row>
    <row r="53" spans="1:27" ht="6.55" customHeight="1" x14ac:dyDescent="0.4">
      <c r="A53" s="51">
        <v>53</v>
      </c>
      <c r="B53" s="52" t="s">
        <v>75</v>
      </c>
      <c r="C53" s="56" t="s">
        <v>95</v>
      </c>
      <c r="D53" s="52" t="s">
        <v>256</v>
      </c>
      <c r="E53" s="52" t="s">
        <v>132</v>
      </c>
      <c r="F53" s="57" t="s">
        <v>219</v>
      </c>
      <c r="G53" s="28" t="s">
        <v>9</v>
      </c>
      <c r="H53" s="28" t="s">
        <v>9</v>
      </c>
      <c r="I53" s="28" t="s">
        <v>9</v>
      </c>
      <c r="J53" s="28" t="s">
        <v>9</v>
      </c>
      <c r="K53" s="28" t="s">
        <v>9</v>
      </c>
      <c r="L53" s="23" t="str">
        <f t="shared" si="16"/>
        <v>Fornecedores</v>
      </c>
      <c r="M53" s="23" t="str">
        <f t="shared" si="17"/>
        <v>Segmentos de Profissionais</v>
      </c>
      <c r="N53" s="23" t="str">
        <f t="shared" si="18"/>
        <v>Segmento de Inovação</v>
      </c>
      <c r="O53" s="23" t="str">
        <f t="shared" si="19"/>
        <v>N Empresa Consultora</v>
      </c>
      <c r="P53" s="23" t="s">
        <v>158</v>
      </c>
      <c r="Q53" s="26" t="str">
        <f t="shared" si="20"/>
        <v>Proveedor del segmento de innovación: es una empresa de consultoría</v>
      </c>
      <c r="R53" s="42" t="s">
        <v>9</v>
      </c>
      <c r="S53" s="43" t="str">
        <f t="shared" si="21"/>
        <v>Fornecedores</v>
      </c>
      <c r="T53" s="43" t="str">
        <f t="shared" si="22"/>
        <v>Segmentos de Profissionais</v>
      </c>
      <c r="U53" s="43" t="str">
        <f t="shared" si="23"/>
        <v>Segmento de Inovação</v>
      </c>
      <c r="V53" s="41" t="s">
        <v>285</v>
      </c>
      <c r="W53" s="60" t="str">
        <f t="shared" si="24"/>
        <v>Key.Fab.53</v>
      </c>
      <c r="X53" s="41" t="s">
        <v>9</v>
      </c>
      <c r="Y53" s="41" t="s">
        <v>9</v>
      </c>
      <c r="Z53" s="41" t="s">
        <v>172</v>
      </c>
      <c r="AA53" s="45" t="str">
        <f t="shared" si="15"/>
        <v>Supplier of the innovation segment: it is a consulting company</v>
      </c>
    </row>
    <row r="54" spans="1:27" ht="6.55" customHeight="1" x14ac:dyDescent="0.4">
      <c r="A54" s="51">
        <v>54</v>
      </c>
      <c r="B54" s="52" t="s">
        <v>75</v>
      </c>
      <c r="C54" s="56" t="s">
        <v>95</v>
      </c>
      <c r="D54" s="52" t="s">
        <v>256</v>
      </c>
      <c r="E54" s="52" t="s">
        <v>132</v>
      </c>
      <c r="F54" s="57" t="s">
        <v>124</v>
      </c>
      <c r="G54" s="28" t="s">
        <v>9</v>
      </c>
      <c r="H54" s="28" t="s">
        <v>9</v>
      </c>
      <c r="I54" s="28" t="s">
        <v>9</v>
      </c>
      <c r="J54" s="28" t="s">
        <v>9</v>
      </c>
      <c r="K54" s="28" t="s">
        <v>9</v>
      </c>
      <c r="L54" s="23" t="str">
        <f t="shared" si="16"/>
        <v>Fornecedores</v>
      </c>
      <c r="M54" s="23" t="str">
        <f t="shared" si="17"/>
        <v>Segmentos de Profissionais</v>
      </c>
      <c r="N54" s="23" t="str">
        <f t="shared" si="18"/>
        <v>Segmento de Inovação</v>
      </c>
      <c r="O54" s="23" t="str">
        <f t="shared" si="19"/>
        <v>N Fabricante</v>
      </c>
      <c r="P54" s="23" t="s">
        <v>160</v>
      </c>
      <c r="Q54" s="26" t="str">
        <f t="shared" si="20"/>
        <v>Proveedor del segmento de innovación: es un fabricante de productos</v>
      </c>
      <c r="R54" s="42" t="s">
        <v>9</v>
      </c>
      <c r="S54" s="43" t="str">
        <f t="shared" si="21"/>
        <v>Fornecedores</v>
      </c>
      <c r="T54" s="43" t="str">
        <f t="shared" si="22"/>
        <v>Segmentos de Profissionais</v>
      </c>
      <c r="U54" s="43" t="str">
        <f t="shared" si="23"/>
        <v>Segmento de Inovação</v>
      </c>
      <c r="V54" s="41" t="s">
        <v>285</v>
      </c>
      <c r="W54" s="60" t="str">
        <f t="shared" si="24"/>
        <v>Key.Fab.54</v>
      </c>
      <c r="X54" s="41" t="s">
        <v>9</v>
      </c>
      <c r="Y54" s="41" t="s">
        <v>9</v>
      </c>
      <c r="Z54" s="41" t="s">
        <v>174</v>
      </c>
      <c r="AA54" s="45" t="str">
        <f t="shared" si="15"/>
        <v>Innovation Segment Supplier: is a manufacturer of products</v>
      </c>
    </row>
    <row r="55" spans="1:27" ht="6.55" customHeight="1" x14ac:dyDescent="0.4">
      <c r="A55" s="51">
        <v>55</v>
      </c>
      <c r="B55" s="52" t="s">
        <v>75</v>
      </c>
      <c r="C55" s="56" t="s">
        <v>95</v>
      </c>
      <c r="D55" s="52" t="s">
        <v>256</v>
      </c>
      <c r="E55" s="52" t="s">
        <v>132</v>
      </c>
      <c r="F55" s="57" t="s">
        <v>178</v>
      </c>
      <c r="G55" s="28" t="s">
        <v>9</v>
      </c>
      <c r="H55" s="28" t="s">
        <v>9</v>
      </c>
      <c r="I55" s="28" t="s">
        <v>9</v>
      </c>
      <c r="J55" s="28" t="s">
        <v>9</v>
      </c>
      <c r="K55" s="28" t="s">
        <v>9</v>
      </c>
      <c r="L55" s="23" t="str">
        <f t="shared" si="16"/>
        <v>Fornecedores</v>
      </c>
      <c r="M55" s="23" t="str">
        <f t="shared" si="17"/>
        <v>Segmentos de Profissionais</v>
      </c>
      <c r="N55" s="23" t="str">
        <f t="shared" si="18"/>
        <v>Segmento de Inovação</v>
      </c>
      <c r="O55" s="23" t="str">
        <f t="shared" si="19"/>
        <v>N Fornecimento</v>
      </c>
      <c r="P55" s="23" t="s">
        <v>283</v>
      </c>
      <c r="Q55" s="26" t="str">
        <f t="shared" si="20"/>
        <v>Proveedor del segmento de innovación: es un proveedor</v>
      </c>
      <c r="R55" s="42" t="s">
        <v>9</v>
      </c>
      <c r="S55" s="43" t="str">
        <f t="shared" si="21"/>
        <v>Fornecedores</v>
      </c>
      <c r="T55" s="43" t="str">
        <f t="shared" si="22"/>
        <v>Segmentos de Profissionais</v>
      </c>
      <c r="U55" s="43" t="str">
        <f t="shared" si="23"/>
        <v>Segmento de Inovação</v>
      </c>
      <c r="V55" s="41" t="s">
        <v>285</v>
      </c>
      <c r="W55" s="60" t="str">
        <f t="shared" si="24"/>
        <v>Key.Fab.55</v>
      </c>
      <c r="X55" s="41" t="s">
        <v>9</v>
      </c>
      <c r="Y55" s="41" t="s">
        <v>9</v>
      </c>
      <c r="Z55" s="41" t="s">
        <v>176</v>
      </c>
      <c r="AA55" s="45" t="str">
        <f t="shared" si="15"/>
        <v>Innovation Segment Supplier: is a supplier</v>
      </c>
    </row>
    <row r="56" spans="1:27" ht="6.55" customHeight="1" x14ac:dyDescent="0.4">
      <c r="A56" s="51">
        <v>56</v>
      </c>
      <c r="B56" s="52" t="s">
        <v>75</v>
      </c>
      <c r="C56" s="56" t="s">
        <v>95</v>
      </c>
      <c r="D56" s="52" t="s">
        <v>256</v>
      </c>
      <c r="E56" s="52" t="s">
        <v>132</v>
      </c>
      <c r="F56" s="57" t="s">
        <v>339</v>
      </c>
      <c r="G56" s="28" t="s">
        <v>9</v>
      </c>
      <c r="H56" s="28" t="s">
        <v>9</v>
      </c>
      <c r="I56" s="28" t="s">
        <v>9</v>
      </c>
      <c r="J56" s="28" t="s">
        <v>9</v>
      </c>
      <c r="K56" s="28" t="s">
        <v>9</v>
      </c>
      <c r="L56" s="23" t="str">
        <f t="shared" si="16"/>
        <v>Fornecedores</v>
      </c>
      <c r="M56" s="23" t="str">
        <f t="shared" si="17"/>
        <v>Segmentos de Profissionais</v>
      </c>
      <c r="N56" s="23" t="str">
        <f t="shared" si="18"/>
        <v>Segmento de Inovação</v>
      </c>
      <c r="O56" s="23" t="str">
        <f t="shared" si="19"/>
        <v>N Projetista</v>
      </c>
      <c r="P56" s="23" t="s">
        <v>349</v>
      </c>
      <c r="Q56" s="26" t="str">
        <f t="shared" si="20"/>
        <v>Proveedor del segmento de innovación: es una empresa de diseño o diseñador</v>
      </c>
      <c r="R56" s="42" t="s">
        <v>9</v>
      </c>
      <c r="S56" s="43" t="str">
        <f t="shared" si="21"/>
        <v>Fornecedores</v>
      </c>
      <c r="T56" s="43" t="str">
        <f t="shared" si="22"/>
        <v>Segmentos de Profissionais</v>
      </c>
      <c r="U56" s="43" t="str">
        <f t="shared" si="23"/>
        <v>Segmento de Inovação</v>
      </c>
      <c r="V56" s="41" t="s">
        <v>285</v>
      </c>
      <c r="W56" s="60" t="str">
        <f t="shared" si="24"/>
        <v>Key.Fab.56</v>
      </c>
      <c r="X56" s="41" t="s">
        <v>9</v>
      </c>
      <c r="Y56" s="41" t="s">
        <v>9</v>
      </c>
      <c r="Z56" s="41" t="s">
        <v>173</v>
      </c>
      <c r="AA56" s="45" t="str">
        <f t="shared" si="15"/>
        <v>Innovation Segment Supplier: is a Designer or Design Company</v>
      </c>
    </row>
    <row r="57" spans="1:27" ht="6.55" customHeight="1" x14ac:dyDescent="0.4">
      <c r="A57" s="51">
        <v>57</v>
      </c>
      <c r="B57" s="52" t="s">
        <v>75</v>
      </c>
      <c r="C57" s="56" t="s">
        <v>95</v>
      </c>
      <c r="D57" s="52" t="s">
        <v>256</v>
      </c>
      <c r="E57" s="52" t="s">
        <v>132</v>
      </c>
      <c r="F57" s="57" t="s">
        <v>121</v>
      </c>
      <c r="G57" s="28" t="s">
        <v>9</v>
      </c>
      <c r="H57" s="28" t="s">
        <v>9</v>
      </c>
      <c r="I57" s="28" t="s">
        <v>9</v>
      </c>
      <c r="J57" s="28" t="s">
        <v>9</v>
      </c>
      <c r="K57" s="28" t="s">
        <v>9</v>
      </c>
      <c r="L57" s="23" t="str">
        <f t="shared" si="16"/>
        <v>Fornecedores</v>
      </c>
      <c r="M57" s="23" t="str">
        <f t="shared" si="17"/>
        <v>Segmentos de Profissionais</v>
      </c>
      <c r="N57" s="23" t="str">
        <f t="shared" si="18"/>
        <v>Segmento de Inovação</v>
      </c>
      <c r="O57" s="23" t="str">
        <f t="shared" si="19"/>
        <v>N Serviço</v>
      </c>
      <c r="P57" s="23" t="s">
        <v>156</v>
      </c>
      <c r="Q57" s="26" t="str">
        <f t="shared" si="20"/>
        <v>Proveedor de Innovación: Es un Servicio</v>
      </c>
      <c r="R57" s="42" t="s">
        <v>9</v>
      </c>
      <c r="S57" s="43" t="str">
        <f t="shared" si="21"/>
        <v>Fornecedores</v>
      </c>
      <c r="T57" s="43" t="str">
        <f t="shared" si="22"/>
        <v>Segmentos de Profissionais</v>
      </c>
      <c r="U57" s="43" t="str">
        <f t="shared" si="23"/>
        <v>Segmento de Inovação</v>
      </c>
      <c r="V57" s="41" t="s">
        <v>285</v>
      </c>
      <c r="W57" s="60" t="str">
        <f t="shared" si="24"/>
        <v>Key.Fab.57</v>
      </c>
      <c r="X57" s="41" t="s">
        <v>9</v>
      </c>
      <c r="Y57" s="41" t="s">
        <v>9</v>
      </c>
      <c r="Z57" s="41" t="s">
        <v>171</v>
      </c>
      <c r="AA57" s="45" t="str">
        <f t="shared" si="15"/>
        <v>Innovation Supplier: It's a Service</v>
      </c>
    </row>
    <row r="58" spans="1:27" ht="6.55" customHeight="1" x14ac:dyDescent="0.4">
      <c r="A58" s="51">
        <v>58</v>
      </c>
      <c r="B58" s="52" t="s">
        <v>75</v>
      </c>
      <c r="C58" s="56" t="s">
        <v>95</v>
      </c>
      <c r="D58" s="52" t="s">
        <v>256</v>
      </c>
      <c r="E58" s="52" t="s">
        <v>132</v>
      </c>
      <c r="F58" s="57" t="s">
        <v>123</v>
      </c>
      <c r="G58" s="28" t="s">
        <v>9</v>
      </c>
      <c r="H58" s="28" t="s">
        <v>9</v>
      </c>
      <c r="I58" s="28" t="s">
        <v>9</v>
      </c>
      <c r="J58" s="28" t="s">
        <v>9</v>
      </c>
      <c r="K58" s="28" t="s">
        <v>9</v>
      </c>
      <c r="L58" s="23" t="str">
        <f t="shared" si="16"/>
        <v>Fornecedores</v>
      </c>
      <c r="M58" s="23" t="str">
        <f t="shared" si="17"/>
        <v>Segmentos de Profissionais</v>
      </c>
      <c r="N58" s="23" t="str">
        <f t="shared" si="18"/>
        <v>Segmento de Inovação</v>
      </c>
      <c r="O58" s="23" t="str">
        <f t="shared" si="19"/>
        <v>N Vendedor</v>
      </c>
      <c r="P58" s="23" t="s">
        <v>159</v>
      </c>
      <c r="Q58" s="26" t="str">
        <f t="shared" si="20"/>
        <v>Proveedor del segmento de innovación: es un vendedor de productos</v>
      </c>
      <c r="R58" s="42" t="s">
        <v>9</v>
      </c>
      <c r="S58" s="43" t="str">
        <f t="shared" si="21"/>
        <v>Fornecedores</v>
      </c>
      <c r="T58" s="43" t="str">
        <f t="shared" si="22"/>
        <v>Segmentos de Profissionais</v>
      </c>
      <c r="U58" s="43" t="str">
        <f t="shared" si="23"/>
        <v>Segmento de Inovação</v>
      </c>
      <c r="V58" s="41" t="s">
        <v>285</v>
      </c>
      <c r="W58" s="60" t="str">
        <f t="shared" si="24"/>
        <v>Key.Fab.58</v>
      </c>
      <c r="X58" s="41" t="s">
        <v>9</v>
      </c>
      <c r="Y58" s="41" t="s">
        <v>9</v>
      </c>
      <c r="Z58" s="41" t="s">
        <v>175</v>
      </c>
      <c r="AA58" s="45" t="str">
        <f t="shared" si="15"/>
        <v>Innovation Segment Supplier: is a product seller</v>
      </c>
    </row>
    <row r="59" spans="1:27" ht="6.55" customHeight="1" x14ac:dyDescent="0.4">
      <c r="A59" s="51">
        <v>59</v>
      </c>
      <c r="B59" s="52" t="s">
        <v>75</v>
      </c>
      <c r="C59" s="56" t="s">
        <v>95</v>
      </c>
      <c r="D59" s="52" t="s">
        <v>256</v>
      </c>
      <c r="E59" s="52" t="s">
        <v>258</v>
      </c>
      <c r="F59" s="57" t="s">
        <v>260</v>
      </c>
      <c r="G59" s="28" t="s">
        <v>9</v>
      </c>
      <c r="H59" s="28" t="s">
        <v>9</v>
      </c>
      <c r="I59" s="28" t="s">
        <v>9</v>
      </c>
      <c r="J59" s="28" t="s">
        <v>9</v>
      </c>
      <c r="K59" s="28" t="s">
        <v>9</v>
      </c>
      <c r="L59" s="23" t="str">
        <f t="shared" si="16"/>
        <v>Fornecedores</v>
      </c>
      <c r="M59" s="23" t="str">
        <f t="shared" si="17"/>
        <v>Segmentos de Profissionais</v>
      </c>
      <c r="N59" s="23" t="str">
        <f t="shared" si="18"/>
        <v>Segmento de Acústica</v>
      </c>
      <c r="O59" s="23" t="str">
        <f t="shared" si="19"/>
        <v>S Consultor</v>
      </c>
      <c r="P59" s="23" t="s">
        <v>271</v>
      </c>
      <c r="Q59" s="26" t="str">
        <f t="shared" si="20"/>
        <v>Proveedor de acústica: es consultor autónomo</v>
      </c>
      <c r="R59" s="42" t="s">
        <v>9</v>
      </c>
      <c r="S59" s="43" t="str">
        <f t="shared" si="21"/>
        <v>Fornecedores</v>
      </c>
      <c r="T59" s="43" t="str">
        <f t="shared" si="22"/>
        <v>Segmentos de Profissionais</v>
      </c>
      <c r="U59" s="43" t="str">
        <f t="shared" si="23"/>
        <v>Segmento de Acústica</v>
      </c>
      <c r="V59" s="41" t="s">
        <v>285</v>
      </c>
      <c r="W59" s="60" t="str">
        <f t="shared" si="24"/>
        <v>Key.Fab.59</v>
      </c>
      <c r="X59" s="41" t="s">
        <v>9</v>
      </c>
      <c r="Y59" s="41" t="s">
        <v>9</v>
      </c>
      <c r="Z59" s="41" t="s">
        <v>172</v>
      </c>
      <c r="AA59" s="45" t="str">
        <f t="shared" si="15"/>
        <v>Acoustics Supplier: is a self-employed consultant</v>
      </c>
    </row>
    <row r="60" spans="1:27" ht="6.55" customHeight="1" x14ac:dyDescent="0.4">
      <c r="A60" s="51">
        <v>60</v>
      </c>
      <c r="B60" s="52" t="s">
        <v>75</v>
      </c>
      <c r="C60" s="56" t="s">
        <v>95</v>
      </c>
      <c r="D60" s="52" t="s">
        <v>256</v>
      </c>
      <c r="E60" s="52" t="s">
        <v>258</v>
      </c>
      <c r="F60" s="57" t="s">
        <v>261</v>
      </c>
      <c r="G60" s="28" t="s">
        <v>9</v>
      </c>
      <c r="H60" s="28" t="s">
        <v>9</v>
      </c>
      <c r="I60" s="28" t="s">
        <v>9</v>
      </c>
      <c r="J60" s="28" t="s">
        <v>9</v>
      </c>
      <c r="K60" s="28" t="s">
        <v>9</v>
      </c>
      <c r="L60" s="23" t="str">
        <f t="shared" si="16"/>
        <v>Fornecedores</v>
      </c>
      <c r="M60" s="23" t="str">
        <f t="shared" si="17"/>
        <v>Segmentos de Profissionais</v>
      </c>
      <c r="N60" s="23" t="str">
        <f t="shared" si="18"/>
        <v>Segmento de Acústica</v>
      </c>
      <c r="O60" s="23" t="str">
        <f t="shared" si="19"/>
        <v>S EmpresS Consultora</v>
      </c>
      <c r="P60" s="23" t="s">
        <v>272</v>
      </c>
      <c r="Q60" s="26" t="str">
        <f t="shared" si="20"/>
        <v>Proveedor en el segmento de acústica: es una empresa de consultoría</v>
      </c>
      <c r="R60" s="42" t="s">
        <v>9</v>
      </c>
      <c r="S60" s="43" t="str">
        <f t="shared" si="21"/>
        <v>Fornecedores</v>
      </c>
      <c r="T60" s="43" t="str">
        <f t="shared" si="22"/>
        <v>Segmentos de Profissionais</v>
      </c>
      <c r="U60" s="43" t="str">
        <f t="shared" si="23"/>
        <v>Segmento de Acústica</v>
      </c>
      <c r="V60" s="41" t="s">
        <v>285</v>
      </c>
      <c r="W60" s="60" t="str">
        <f t="shared" si="24"/>
        <v>Key.Fab.60</v>
      </c>
      <c r="X60" s="41" t="s">
        <v>9</v>
      </c>
      <c r="Y60" s="41" t="s">
        <v>9</v>
      </c>
      <c r="Z60" s="41" t="s">
        <v>172</v>
      </c>
      <c r="AA60" s="45" t="str">
        <f t="shared" si="15"/>
        <v>Supplier in the acoustics segment: it is a consulting company</v>
      </c>
    </row>
    <row r="61" spans="1:27" ht="6.55" customHeight="1" x14ac:dyDescent="0.4">
      <c r="A61" s="51">
        <v>61</v>
      </c>
      <c r="B61" s="52" t="s">
        <v>75</v>
      </c>
      <c r="C61" s="56" t="s">
        <v>95</v>
      </c>
      <c r="D61" s="52" t="s">
        <v>256</v>
      </c>
      <c r="E61" s="52" t="s">
        <v>258</v>
      </c>
      <c r="F61" s="57" t="s">
        <v>263</v>
      </c>
      <c r="G61" s="28" t="s">
        <v>9</v>
      </c>
      <c r="H61" s="28" t="s">
        <v>9</v>
      </c>
      <c r="I61" s="28" t="s">
        <v>9</v>
      </c>
      <c r="J61" s="28" t="s">
        <v>9</v>
      </c>
      <c r="K61" s="28" t="s">
        <v>9</v>
      </c>
      <c r="L61" s="23" t="str">
        <f t="shared" si="16"/>
        <v>Fornecedores</v>
      </c>
      <c r="M61" s="23" t="str">
        <f t="shared" si="17"/>
        <v>Segmentos de Profissionais</v>
      </c>
      <c r="N61" s="23" t="str">
        <f t="shared" si="18"/>
        <v>Segmento de Acústica</v>
      </c>
      <c r="O61" s="23" t="str">
        <f t="shared" si="19"/>
        <v>S Fabricante</v>
      </c>
      <c r="P61" s="23" t="s">
        <v>274</v>
      </c>
      <c r="Q61" s="26" t="str">
        <f t="shared" si="20"/>
        <v>Proveedor del segmento de acústica: es un fabricante de productos</v>
      </c>
      <c r="R61" s="42" t="s">
        <v>9</v>
      </c>
      <c r="S61" s="43" t="str">
        <f t="shared" si="21"/>
        <v>Fornecedores</v>
      </c>
      <c r="T61" s="43" t="str">
        <f t="shared" si="22"/>
        <v>Segmentos de Profissionais</v>
      </c>
      <c r="U61" s="43" t="str">
        <f t="shared" si="23"/>
        <v>Segmento de Acústica</v>
      </c>
      <c r="V61" s="41" t="s">
        <v>285</v>
      </c>
      <c r="W61" s="60" t="str">
        <f t="shared" si="24"/>
        <v>Key.Fab.61</v>
      </c>
      <c r="X61" s="41" t="s">
        <v>9</v>
      </c>
      <c r="Y61" s="41" t="s">
        <v>9</v>
      </c>
      <c r="Z61" s="41" t="s">
        <v>174</v>
      </c>
      <c r="AA61" s="45" t="str">
        <f t="shared" si="15"/>
        <v>Acoustics Segment Supplier: is a manufacturer of products</v>
      </c>
    </row>
    <row r="62" spans="1:27" ht="6.55" customHeight="1" x14ac:dyDescent="0.4">
      <c r="A62" s="51">
        <v>62</v>
      </c>
      <c r="B62" s="52" t="s">
        <v>75</v>
      </c>
      <c r="C62" s="56" t="s">
        <v>95</v>
      </c>
      <c r="D62" s="52" t="s">
        <v>256</v>
      </c>
      <c r="E62" s="52" t="s">
        <v>258</v>
      </c>
      <c r="F62" s="57" t="s">
        <v>264</v>
      </c>
      <c r="G62" s="28" t="s">
        <v>9</v>
      </c>
      <c r="H62" s="28" t="s">
        <v>9</v>
      </c>
      <c r="I62" s="28" t="s">
        <v>9</v>
      </c>
      <c r="J62" s="28" t="s">
        <v>9</v>
      </c>
      <c r="K62" s="28" t="s">
        <v>9</v>
      </c>
      <c r="L62" s="23" t="str">
        <f t="shared" si="16"/>
        <v>Fornecedores</v>
      </c>
      <c r="M62" s="23" t="str">
        <f t="shared" si="17"/>
        <v>Segmentos de Profissionais</v>
      </c>
      <c r="N62" s="23" t="str">
        <f t="shared" si="18"/>
        <v>Segmento de Acústica</v>
      </c>
      <c r="O62" s="23" t="str">
        <f t="shared" si="19"/>
        <v>S Fornecimento</v>
      </c>
      <c r="P62" s="23" t="s">
        <v>276</v>
      </c>
      <c r="Q62" s="26" t="str">
        <f t="shared" si="20"/>
        <v>Proveedor del segmento acústico: es un proveedor</v>
      </c>
      <c r="R62" s="42" t="s">
        <v>9</v>
      </c>
      <c r="S62" s="43" t="str">
        <f t="shared" si="21"/>
        <v>Fornecedores</v>
      </c>
      <c r="T62" s="43" t="str">
        <f t="shared" si="22"/>
        <v>Segmentos de Profissionais</v>
      </c>
      <c r="U62" s="43" t="str">
        <f t="shared" si="23"/>
        <v>Segmento de Acústica</v>
      </c>
      <c r="V62" s="41" t="s">
        <v>285</v>
      </c>
      <c r="W62" s="60" t="str">
        <f t="shared" si="24"/>
        <v>Key.Fab.62</v>
      </c>
      <c r="X62" s="41" t="s">
        <v>9</v>
      </c>
      <c r="Y62" s="41" t="s">
        <v>9</v>
      </c>
      <c r="Z62" s="41" t="s">
        <v>176</v>
      </c>
      <c r="AA62" s="45" t="str">
        <f t="shared" si="15"/>
        <v>Acoustics segment supplier: is a supplier</v>
      </c>
    </row>
    <row r="63" spans="1:27" ht="6.55" customHeight="1" x14ac:dyDescent="0.4">
      <c r="A63" s="51">
        <v>63</v>
      </c>
      <c r="B63" s="52" t="s">
        <v>75</v>
      </c>
      <c r="C63" s="56" t="s">
        <v>95</v>
      </c>
      <c r="D63" s="52" t="s">
        <v>256</v>
      </c>
      <c r="E63" s="52" t="s">
        <v>258</v>
      </c>
      <c r="F63" s="57" t="s">
        <v>340</v>
      </c>
      <c r="G63" s="28" t="s">
        <v>9</v>
      </c>
      <c r="H63" s="28" t="s">
        <v>9</v>
      </c>
      <c r="I63" s="28" t="s">
        <v>9</v>
      </c>
      <c r="J63" s="28" t="s">
        <v>9</v>
      </c>
      <c r="K63" s="28" t="s">
        <v>9</v>
      </c>
      <c r="L63" s="23" t="str">
        <f t="shared" si="16"/>
        <v>Fornecedores</v>
      </c>
      <c r="M63" s="23" t="str">
        <f t="shared" si="17"/>
        <v>Segmentos de Profissionais</v>
      </c>
      <c r="N63" s="23" t="str">
        <f t="shared" si="18"/>
        <v>Segmento de Acústica</v>
      </c>
      <c r="O63" s="23" t="str">
        <f t="shared" si="19"/>
        <v>S Projetista</v>
      </c>
      <c r="P63" s="23" t="s">
        <v>350</v>
      </c>
      <c r="Q63" s="26" t="str">
        <f t="shared" si="20"/>
        <v>Proveedor de acústica: es una empresa de diseño o diseño</v>
      </c>
      <c r="R63" s="42" t="s">
        <v>9</v>
      </c>
      <c r="S63" s="43" t="str">
        <f t="shared" si="21"/>
        <v>Fornecedores</v>
      </c>
      <c r="T63" s="43" t="str">
        <f t="shared" si="22"/>
        <v>Segmentos de Profissionais</v>
      </c>
      <c r="U63" s="43" t="str">
        <f t="shared" si="23"/>
        <v>Segmento de Acústica</v>
      </c>
      <c r="V63" s="41" t="s">
        <v>285</v>
      </c>
      <c r="W63" s="60" t="str">
        <f t="shared" si="24"/>
        <v>Key.Fab.63</v>
      </c>
      <c r="X63" s="41" t="s">
        <v>9</v>
      </c>
      <c r="Y63" s="41" t="s">
        <v>9</v>
      </c>
      <c r="Z63" s="41" t="s">
        <v>173</v>
      </c>
      <c r="AA63" s="45" t="str">
        <f t="shared" si="15"/>
        <v>Acoustics Supplier: is a Designer or Design Company</v>
      </c>
    </row>
    <row r="64" spans="1:27" ht="6.55" customHeight="1" x14ac:dyDescent="0.4">
      <c r="A64" s="51">
        <v>64</v>
      </c>
      <c r="B64" s="52" t="s">
        <v>75</v>
      </c>
      <c r="C64" s="56" t="s">
        <v>95</v>
      </c>
      <c r="D64" s="52" t="s">
        <v>256</v>
      </c>
      <c r="E64" s="52" t="s">
        <v>258</v>
      </c>
      <c r="F64" s="57" t="s">
        <v>259</v>
      </c>
      <c r="G64" s="28" t="s">
        <v>9</v>
      </c>
      <c r="H64" s="28" t="s">
        <v>9</v>
      </c>
      <c r="I64" s="28" t="s">
        <v>9</v>
      </c>
      <c r="J64" s="28" t="s">
        <v>9</v>
      </c>
      <c r="K64" s="28" t="s">
        <v>9</v>
      </c>
      <c r="L64" s="23" t="str">
        <f t="shared" si="16"/>
        <v>Fornecedores</v>
      </c>
      <c r="M64" s="23" t="str">
        <f t="shared" si="17"/>
        <v>Segmentos de Profissionais</v>
      </c>
      <c r="N64" s="23" t="str">
        <f t="shared" si="18"/>
        <v>Segmento de Acústica</v>
      </c>
      <c r="O64" s="23" t="str">
        <f t="shared" si="19"/>
        <v>S Serviço</v>
      </c>
      <c r="P64" s="23" t="s">
        <v>270</v>
      </c>
      <c r="Q64" s="26" t="str">
        <f t="shared" si="20"/>
        <v>Proveedor de acústica: Es un servicio</v>
      </c>
      <c r="R64" s="42" t="s">
        <v>9</v>
      </c>
      <c r="S64" s="43" t="str">
        <f t="shared" si="21"/>
        <v>Fornecedores</v>
      </c>
      <c r="T64" s="43" t="str">
        <f t="shared" si="22"/>
        <v>Segmentos de Profissionais</v>
      </c>
      <c r="U64" s="43" t="str">
        <f t="shared" si="23"/>
        <v>Segmento de Acústica</v>
      </c>
      <c r="V64" s="41" t="s">
        <v>285</v>
      </c>
      <c r="W64" s="60" t="str">
        <f t="shared" si="24"/>
        <v>Key.Fab.64</v>
      </c>
      <c r="X64" s="41" t="s">
        <v>9</v>
      </c>
      <c r="Y64" s="41" t="s">
        <v>9</v>
      </c>
      <c r="Z64" s="41" t="s">
        <v>171</v>
      </c>
      <c r="AA64" s="45" t="str">
        <f t="shared" si="15"/>
        <v>Acoustics Supplier: It's a Service</v>
      </c>
    </row>
    <row r="65" spans="1:27" ht="6.55" customHeight="1" x14ac:dyDescent="0.4">
      <c r="A65" s="51">
        <v>65</v>
      </c>
      <c r="B65" s="52" t="s">
        <v>75</v>
      </c>
      <c r="C65" s="56" t="s">
        <v>95</v>
      </c>
      <c r="D65" s="52" t="s">
        <v>256</v>
      </c>
      <c r="E65" s="52" t="s">
        <v>258</v>
      </c>
      <c r="F65" s="57" t="s">
        <v>262</v>
      </c>
      <c r="G65" s="28" t="s">
        <v>9</v>
      </c>
      <c r="H65" s="28" t="s">
        <v>9</v>
      </c>
      <c r="I65" s="28" t="s">
        <v>9</v>
      </c>
      <c r="J65" s="28" t="s">
        <v>9</v>
      </c>
      <c r="K65" s="28" t="s">
        <v>9</v>
      </c>
      <c r="L65" s="23" t="str">
        <f t="shared" si="16"/>
        <v>Fornecedores</v>
      </c>
      <c r="M65" s="23" t="str">
        <f t="shared" si="17"/>
        <v>Segmentos de Profissionais</v>
      </c>
      <c r="N65" s="23" t="str">
        <f t="shared" si="18"/>
        <v>Segmento de Acústica</v>
      </c>
      <c r="O65" s="23" t="str">
        <f t="shared" si="19"/>
        <v>S Vendedor</v>
      </c>
      <c r="P65" s="23" t="s">
        <v>273</v>
      </c>
      <c r="Q65" s="26" t="str">
        <f t="shared" si="20"/>
        <v>Proveedor de acústica: es vendedor de productos</v>
      </c>
      <c r="R65" s="42" t="s">
        <v>9</v>
      </c>
      <c r="S65" s="43" t="str">
        <f t="shared" si="21"/>
        <v>Fornecedores</v>
      </c>
      <c r="T65" s="43" t="str">
        <f t="shared" si="22"/>
        <v>Segmentos de Profissionais</v>
      </c>
      <c r="U65" s="43" t="str">
        <f t="shared" si="23"/>
        <v>Segmento de Acústica</v>
      </c>
      <c r="V65" s="41" t="s">
        <v>285</v>
      </c>
      <c r="W65" s="60" t="str">
        <f t="shared" si="24"/>
        <v>Key.Fab.65</v>
      </c>
      <c r="X65" s="41" t="s">
        <v>9</v>
      </c>
      <c r="Y65" s="41" t="s">
        <v>9</v>
      </c>
      <c r="Z65" s="41" t="s">
        <v>175</v>
      </c>
      <c r="AA65" s="45" t="str">
        <f t="shared" si="15"/>
        <v>Acoustics supplier: is a seller of products</v>
      </c>
    </row>
    <row r="66" spans="1:27" ht="6.55" customHeight="1" x14ac:dyDescent="0.4">
      <c r="A66" s="51">
        <v>66</v>
      </c>
      <c r="B66" s="52" t="s">
        <v>75</v>
      </c>
      <c r="C66" s="56" t="s">
        <v>95</v>
      </c>
      <c r="D66" s="52" t="s">
        <v>256</v>
      </c>
      <c r="E66" s="52" t="s">
        <v>329</v>
      </c>
      <c r="F66" s="57" t="s">
        <v>286</v>
      </c>
      <c r="G66" s="28" t="s">
        <v>9</v>
      </c>
      <c r="H66" s="28" t="s">
        <v>9</v>
      </c>
      <c r="I66" s="28" t="s">
        <v>9</v>
      </c>
      <c r="J66" s="28" t="s">
        <v>9</v>
      </c>
      <c r="K66" s="28" t="s">
        <v>9</v>
      </c>
      <c r="L66" s="23" t="str">
        <f t="shared" si="16"/>
        <v>Fornecedores</v>
      </c>
      <c r="M66" s="23" t="str">
        <f t="shared" si="17"/>
        <v>Segmentos de Profissionais</v>
      </c>
      <c r="N66" s="23" t="str">
        <f t="shared" si="18"/>
        <v>Segmento Geral</v>
      </c>
      <c r="O66" s="23" t="str">
        <f t="shared" si="19"/>
        <v>X Consultor</v>
      </c>
      <c r="P66" s="23" t="s">
        <v>293</v>
      </c>
      <c r="Q66" s="26" t="str">
        <f t="shared" si="20"/>
        <v>Proveedor del segmento general: es un consultor autónomo</v>
      </c>
      <c r="R66" s="42" t="s">
        <v>9</v>
      </c>
      <c r="S66" s="43" t="str">
        <f t="shared" si="21"/>
        <v>Fornecedores</v>
      </c>
      <c r="T66" s="43" t="str">
        <f t="shared" si="22"/>
        <v>Segmentos de Profissionais</v>
      </c>
      <c r="U66" s="43" t="str">
        <f t="shared" si="23"/>
        <v>Segmento Geral</v>
      </c>
      <c r="V66" s="41" t="s">
        <v>285</v>
      </c>
      <c r="W66" s="60" t="str">
        <f t="shared" si="24"/>
        <v>Key.Fab.66</v>
      </c>
      <c r="X66" s="41" t="s">
        <v>9</v>
      </c>
      <c r="Y66" s="41" t="s">
        <v>9</v>
      </c>
      <c r="Z66" s="41" t="s">
        <v>172</v>
      </c>
      <c r="AA66" s="45" t="str">
        <f t="shared" ref="AA66:AA73" si="25">_xlfn.TRANSLATE(P66,"pt","en")</f>
        <v>General segment supplier: is a self-employed consultant</v>
      </c>
    </row>
    <row r="67" spans="1:27" ht="6.55" customHeight="1" x14ac:dyDescent="0.4">
      <c r="A67" s="51">
        <v>67</v>
      </c>
      <c r="B67" s="52" t="s">
        <v>75</v>
      </c>
      <c r="C67" s="56" t="s">
        <v>95</v>
      </c>
      <c r="D67" s="52" t="s">
        <v>256</v>
      </c>
      <c r="E67" s="52" t="s">
        <v>329</v>
      </c>
      <c r="F67" s="57" t="s">
        <v>287</v>
      </c>
      <c r="G67" s="28" t="s">
        <v>9</v>
      </c>
      <c r="H67" s="28" t="s">
        <v>9</v>
      </c>
      <c r="I67" s="28" t="s">
        <v>9</v>
      </c>
      <c r="J67" s="28" t="s">
        <v>9</v>
      </c>
      <c r="K67" s="28" t="s">
        <v>9</v>
      </c>
      <c r="L67" s="23" t="str">
        <f t="shared" ref="L67:L73" si="26">_xlfn.CONCAT(SUBSTITUTE(C67,"1.",""))</f>
        <v>Fornecedores</v>
      </c>
      <c r="M67" s="23" t="str">
        <f t="shared" ref="M67:M72" si="27">_xlfn.CONCAT(SUBSTITUTE(D67,"."," "))</f>
        <v>Segmentos de Profissionais</v>
      </c>
      <c r="N67" s="23" t="str">
        <f t="shared" ref="N67:N72" si="28">_xlfn.CONCAT(SUBSTITUTE(E67,"."," "))</f>
        <v>Segmento Geral</v>
      </c>
      <c r="O67" s="23" t="str">
        <f t="shared" ref="O67:O72" si="29">_xlfn.CONCAT(SUBSTITUTE(F67,"."," "))</f>
        <v>X Empresa Consultora</v>
      </c>
      <c r="P67" s="23" t="s">
        <v>294</v>
      </c>
      <c r="Q67" s="26" t="str">
        <f t="shared" ref="Q67:Q72" si="30">_xlfn.TRANSLATE(P67,"pt","es")</f>
        <v>Proveedor de segmento general: es una empresa de consultoría</v>
      </c>
      <c r="R67" s="42" t="s">
        <v>9</v>
      </c>
      <c r="S67" s="43" t="str">
        <f t="shared" ref="S67:S72" si="31">SUBSTITUTE(C67, ".", " ")</f>
        <v>Fornecedores</v>
      </c>
      <c r="T67" s="43" t="str">
        <f t="shared" ref="T67:T72" si="32">SUBSTITUTE(D67, ".", " ")</f>
        <v>Segmentos de Profissionais</v>
      </c>
      <c r="U67" s="43" t="str">
        <f t="shared" ref="U67:U72" si="33">SUBSTITUTE(E67, ".", " ")</f>
        <v>Segmento Geral</v>
      </c>
      <c r="V67" s="41" t="s">
        <v>285</v>
      </c>
      <c r="W67" s="60" t="str">
        <f t="shared" ref="W67:W72" si="34">CONCATENATE("Key.Fab.",A67)</f>
        <v>Key.Fab.67</v>
      </c>
      <c r="X67" s="41" t="s">
        <v>9</v>
      </c>
      <c r="Y67" s="41" t="s">
        <v>9</v>
      </c>
      <c r="Z67" s="41" t="s">
        <v>172</v>
      </c>
      <c r="AA67" s="45" t="str">
        <f t="shared" si="25"/>
        <v>General segment supplier: it is a consulting company</v>
      </c>
    </row>
    <row r="68" spans="1:27" ht="6.55" customHeight="1" x14ac:dyDescent="0.4">
      <c r="A68" s="51">
        <v>68</v>
      </c>
      <c r="B68" s="52" t="s">
        <v>75</v>
      </c>
      <c r="C68" s="56" t="s">
        <v>95</v>
      </c>
      <c r="D68" s="52" t="s">
        <v>256</v>
      </c>
      <c r="E68" s="52" t="s">
        <v>329</v>
      </c>
      <c r="F68" s="57" t="s">
        <v>288</v>
      </c>
      <c r="G68" s="28" t="s">
        <v>9</v>
      </c>
      <c r="H68" s="28" t="s">
        <v>9</v>
      </c>
      <c r="I68" s="28" t="s">
        <v>9</v>
      </c>
      <c r="J68" s="28" t="s">
        <v>9</v>
      </c>
      <c r="K68" s="28" t="s">
        <v>9</v>
      </c>
      <c r="L68" s="23" t="str">
        <f t="shared" si="26"/>
        <v>Fornecedores</v>
      </c>
      <c r="M68" s="23" t="str">
        <f t="shared" si="27"/>
        <v>Segmentos de Profissionais</v>
      </c>
      <c r="N68" s="23" t="str">
        <f t="shared" si="28"/>
        <v>Segmento Geral</v>
      </c>
      <c r="O68" s="23" t="str">
        <f t="shared" si="29"/>
        <v>X Fabricante</v>
      </c>
      <c r="P68" s="23" t="s">
        <v>295</v>
      </c>
      <c r="Q68" s="26" t="str">
        <f t="shared" si="30"/>
        <v>Proveedor del segmento general: es un fabricante de productos</v>
      </c>
      <c r="R68" s="42" t="s">
        <v>9</v>
      </c>
      <c r="S68" s="43" t="str">
        <f t="shared" si="31"/>
        <v>Fornecedores</v>
      </c>
      <c r="T68" s="43" t="str">
        <f t="shared" si="32"/>
        <v>Segmentos de Profissionais</v>
      </c>
      <c r="U68" s="43" t="str">
        <f t="shared" si="33"/>
        <v>Segmento Geral</v>
      </c>
      <c r="V68" s="41" t="s">
        <v>285</v>
      </c>
      <c r="W68" s="60" t="str">
        <f t="shared" si="34"/>
        <v>Key.Fab.68</v>
      </c>
      <c r="X68" s="41" t="s">
        <v>9</v>
      </c>
      <c r="Y68" s="41" t="s">
        <v>9</v>
      </c>
      <c r="Z68" s="41" t="s">
        <v>174</v>
      </c>
      <c r="AA68" s="45" t="str">
        <f t="shared" si="25"/>
        <v>General segment supplier: is a manufacturer of products</v>
      </c>
    </row>
    <row r="69" spans="1:27" ht="6.55" customHeight="1" x14ac:dyDescent="0.4">
      <c r="A69" s="51">
        <v>69</v>
      </c>
      <c r="B69" s="52" t="s">
        <v>75</v>
      </c>
      <c r="C69" s="56" t="s">
        <v>95</v>
      </c>
      <c r="D69" s="52" t="s">
        <v>256</v>
      </c>
      <c r="E69" s="52" t="s">
        <v>329</v>
      </c>
      <c r="F69" s="57" t="s">
        <v>289</v>
      </c>
      <c r="G69" s="28" t="s">
        <v>9</v>
      </c>
      <c r="H69" s="28" t="s">
        <v>9</v>
      </c>
      <c r="I69" s="28" t="s">
        <v>9</v>
      </c>
      <c r="J69" s="28" t="s">
        <v>9</v>
      </c>
      <c r="K69" s="28" t="s">
        <v>9</v>
      </c>
      <c r="L69" s="23" t="str">
        <f t="shared" si="26"/>
        <v>Fornecedores</v>
      </c>
      <c r="M69" s="23" t="str">
        <f t="shared" si="27"/>
        <v>Segmentos de Profissionais</v>
      </c>
      <c r="N69" s="23" t="str">
        <f t="shared" si="28"/>
        <v>Segmento Geral</v>
      </c>
      <c r="O69" s="23" t="str">
        <f t="shared" si="29"/>
        <v>X Fornecimento</v>
      </c>
      <c r="P69" s="23" t="s">
        <v>296</v>
      </c>
      <c r="Q69" s="26" t="str">
        <f t="shared" si="30"/>
        <v>Proveedor del segmento general: es un proveedor</v>
      </c>
      <c r="R69" s="42" t="s">
        <v>9</v>
      </c>
      <c r="S69" s="43" t="str">
        <f t="shared" si="31"/>
        <v>Fornecedores</v>
      </c>
      <c r="T69" s="43" t="str">
        <f t="shared" si="32"/>
        <v>Segmentos de Profissionais</v>
      </c>
      <c r="U69" s="43" t="str">
        <f t="shared" si="33"/>
        <v>Segmento Geral</v>
      </c>
      <c r="V69" s="41" t="s">
        <v>285</v>
      </c>
      <c r="W69" s="60" t="str">
        <f t="shared" si="34"/>
        <v>Key.Fab.69</v>
      </c>
      <c r="X69" s="41" t="s">
        <v>9</v>
      </c>
      <c r="Y69" s="41" t="s">
        <v>9</v>
      </c>
      <c r="Z69" s="41" t="s">
        <v>176</v>
      </c>
      <c r="AA69" s="45" t="str">
        <f t="shared" si="25"/>
        <v>General segment supplier: is a supplier</v>
      </c>
    </row>
    <row r="70" spans="1:27" ht="6.55" customHeight="1" x14ac:dyDescent="0.4">
      <c r="A70" s="51">
        <v>70</v>
      </c>
      <c r="B70" s="52" t="s">
        <v>75</v>
      </c>
      <c r="C70" s="56" t="s">
        <v>95</v>
      </c>
      <c r="D70" s="52" t="s">
        <v>256</v>
      </c>
      <c r="E70" s="52" t="s">
        <v>329</v>
      </c>
      <c r="F70" s="57" t="s">
        <v>341</v>
      </c>
      <c r="G70" s="28" t="s">
        <v>9</v>
      </c>
      <c r="H70" s="28" t="s">
        <v>9</v>
      </c>
      <c r="I70" s="28" t="s">
        <v>9</v>
      </c>
      <c r="J70" s="28" t="s">
        <v>9</v>
      </c>
      <c r="K70" s="28" t="s">
        <v>9</v>
      </c>
      <c r="L70" s="23" t="str">
        <f t="shared" si="26"/>
        <v>Fornecedores</v>
      </c>
      <c r="M70" s="23" t="str">
        <f t="shared" si="27"/>
        <v>Segmentos de Profissionais</v>
      </c>
      <c r="N70" s="23" t="str">
        <f t="shared" si="28"/>
        <v>Segmento Geral</v>
      </c>
      <c r="O70" s="23" t="str">
        <f t="shared" si="29"/>
        <v>X Projetista</v>
      </c>
      <c r="P70" s="23" t="s">
        <v>351</v>
      </c>
      <c r="Q70" s="26" t="str">
        <f t="shared" si="30"/>
        <v>Proveedor del segmento general: es una empresa de diseño o diseñador</v>
      </c>
      <c r="R70" s="42" t="s">
        <v>9</v>
      </c>
      <c r="S70" s="43" t="str">
        <f t="shared" si="31"/>
        <v>Fornecedores</v>
      </c>
      <c r="T70" s="43" t="str">
        <f t="shared" si="32"/>
        <v>Segmentos de Profissionais</v>
      </c>
      <c r="U70" s="43" t="str">
        <f t="shared" si="33"/>
        <v>Segmento Geral</v>
      </c>
      <c r="V70" s="41" t="s">
        <v>285</v>
      </c>
      <c r="W70" s="60" t="str">
        <f t="shared" si="34"/>
        <v>Key.Fab.70</v>
      </c>
      <c r="X70" s="41" t="s">
        <v>9</v>
      </c>
      <c r="Y70" s="41" t="s">
        <v>9</v>
      </c>
      <c r="Z70" s="41" t="s">
        <v>173</v>
      </c>
      <c r="AA70" s="45" t="str">
        <f t="shared" si="25"/>
        <v>General Segment Supplier: is a Designer or Design Company</v>
      </c>
    </row>
    <row r="71" spans="1:27" ht="6.55" customHeight="1" x14ac:dyDescent="0.4">
      <c r="A71" s="51">
        <v>71</v>
      </c>
      <c r="B71" s="52" t="s">
        <v>75</v>
      </c>
      <c r="C71" s="56" t="s">
        <v>95</v>
      </c>
      <c r="D71" s="52" t="s">
        <v>256</v>
      </c>
      <c r="E71" s="52" t="s">
        <v>329</v>
      </c>
      <c r="F71" s="57" t="s">
        <v>290</v>
      </c>
      <c r="G71" s="28" t="s">
        <v>9</v>
      </c>
      <c r="H71" s="28" t="s">
        <v>9</v>
      </c>
      <c r="I71" s="28" t="s">
        <v>9</v>
      </c>
      <c r="J71" s="28" t="s">
        <v>9</v>
      </c>
      <c r="K71" s="28" t="s">
        <v>9</v>
      </c>
      <c r="L71" s="23" t="str">
        <f t="shared" si="26"/>
        <v>Fornecedores</v>
      </c>
      <c r="M71" s="23" t="str">
        <f t="shared" si="27"/>
        <v>Segmentos de Profissionais</v>
      </c>
      <c r="N71" s="23" t="str">
        <f t="shared" si="28"/>
        <v>Segmento Geral</v>
      </c>
      <c r="O71" s="23" t="str">
        <f t="shared" si="29"/>
        <v>X Serviço</v>
      </c>
      <c r="P71" s="23" t="s">
        <v>297</v>
      </c>
      <c r="Q71" s="26" t="str">
        <f t="shared" si="30"/>
        <v>Proveedor del segmento general: Es un servicio</v>
      </c>
      <c r="R71" s="42" t="s">
        <v>9</v>
      </c>
      <c r="S71" s="43" t="str">
        <f t="shared" si="31"/>
        <v>Fornecedores</v>
      </c>
      <c r="T71" s="43" t="str">
        <f t="shared" si="32"/>
        <v>Segmentos de Profissionais</v>
      </c>
      <c r="U71" s="43" t="str">
        <f t="shared" si="33"/>
        <v>Segmento Geral</v>
      </c>
      <c r="V71" s="41" t="s">
        <v>285</v>
      </c>
      <c r="W71" s="60" t="str">
        <f t="shared" si="34"/>
        <v>Key.Fab.71</v>
      </c>
      <c r="X71" s="41" t="s">
        <v>9</v>
      </c>
      <c r="Y71" s="41" t="s">
        <v>9</v>
      </c>
      <c r="Z71" s="41" t="s">
        <v>171</v>
      </c>
      <c r="AA71" s="45" t="str">
        <f t="shared" si="25"/>
        <v>General Segment Supplier: It is a service</v>
      </c>
    </row>
    <row r="72" spans="1:27" ht="6.55" customHeight="1" x14ac:dyDescent="0.4">
      <c r="A72" s="51">
        <v>72</v>
      </c>
      <c r="B72" s="52" t="s">
        <v>75</v>
      </c>
      <c r="C72" s="56" t="s">
        <v>95</v>
      </c>
      <c r="D72" s="52" t="s">
        <v>256</v>
      </c>
      <c r="E72" s="52" t="s">
        <v>329</v>
      </c>
      <c r="F72" s="57" t="s">
        <v>291</v>
      </c>
      <c r="G72" s="28" t="s">
        <v>9</v>
      </c>
      <c r="H72" s="28" t="s">
        <v>9</v>
      </c>
      <c r="I72" s="28" t="s">
        <v>9</v>
      </c>
      <c r="J72" s="28" t="s">
        <v>9</v>
      </c>
      <c r="K72" s="28" t="s">
        <v>9</v>
      </c>
      <c r="L72" s="23" t="str">
        <f t="shared" si="26"/>
        <v>Fornecedores</v>
      </c>
      <c r="M72" s="23" t="str">
        <f t="shared" si="27"/>
        <v>Segmentos de Profissionais</v>
      </c>
      <c r="N72" s="23" t="str">
        <f t="shared" si="28"/>
        <v>Segmento Geral</v>
      </c>
      <c r="O72" s="23" t="str">
        <f t="shared" si="29"/>
        <v>X Vendedor</v>
      </c>
      <c r="P72" s="23" t="s">
        <v>298</v>
      </c>
      <c r="Q72" s="26" t="str">
        <f t="shared" si="30"/>
        <v>Proveedor del segmento general: es un vendedor de productos</v>
      </c>
      <c r="R72" s="42" t="s">
        <v>9</v>
      </c>
      <c r="S72" s="43" t="str">
        <f t="shared" si="31"/>
        <v>Fornecedores</v>
      </c>
      <c r="T72" s="43" t="str">
        <f t="shared" si="32"/>
        <v>Segmentos de Profissionais</v>
      </c>
      <c r="U72" s="43" t="str">
        <f t="shared" si="33"/>
        <v>Segmento Geral</v>
      </c>
      <c r="V72" s="41" t="s">
        <v>285</v>
      </c>
      <c r="W72" s="60" t="str">
        <f t="shared" si="34"/>
        <v>Key.Fab.72</v>
      </c>
      <c r="X72" s="41" t="s">
        <v>9</v>
      </c>
      <c r="Y72" s="41" t="s">
        <v>9</v>
      </c>
      <c r="Z72" s="41" t="s">
        <v>175</v>
      </c>
      <c r="AA72" s="45" t="str">
        <f t="shared" si="25"/>
        <v>General segment supplier: is a seller of products</v>
      </c>
    </row>
    <row r="73" spans="1:27" ht="6.55" customHeight="1" x14ac:dyDescent="0.4">
      <c r="A73" s="51">
        <v>73</v>
      </c>
      <c r="B73" s="52" t="s">
        <v>75</v>
      </c>
      <c r="C73" s="56" t="s">
        <v>248</v>
      </c>
      <c r="D73" s="52" t="s">
        <v>255</v>
      </c>
      <c r="E73" s="52" t="s">
        <v>254</v>
      </c>
      <c r="F73" s="52" t="s">
        <v>249</v>
      </c>
      <c r="G73" s="28" t="s">
        <v>9</v>
      </c>
      <c r="H73" s="28" t="s">
        <v>9</v>
      </c>
      <c r="I73" s="28" t="s">
        <v>9</v>
      </c>
      <c r="J73" s="28" t="s">
        <v>9</v>
      </c>
      <c r="K73" s="28" t="s">
        <v>9</v>
      </c>
      <c r="L73" s="23" t="str">
        <f t="shared" si="26"/>
        <v>Fornecidos</v>
      </c>
      <c r="M73" s="23" t="str">
        <f>_xlfn.CONCAT(SUBSTITUTE(D73,"."," "))</f>
        <v>Segmentos de Produto</v>
      </c>
      <c r="N73" s="23" t="str">
        <f t="shared" ref="N73" si="35">_xlfn.CONCAT(SUBSTITUTE(E73,"."," "))</f>
        <v>Segmento de Produto</v>
      </c>
      <c r="O73" s="23" t="str">
        <f t="shared" ref="O73" si="36">_xlfn.CONCAT(SUBSTITUTE(F73,"."," "))</f>
        <v>Produto de Geotécnica</v>
      </c>
      <c r="P73" s="23" t="s">
        <v>300</v>
      </c>
      <c r="Q73" s="26" t="str">
        <f t="shared" ref="Q73:Q101" si="37">_xlfn.TRANSLATE(P73,"pt","es")</f>
        <v>Es un producto o elemento del segmento geotécnico</v>
      </c>
      <c r="R73" s="42" t="s">
        <v>9</v>
      </c>
      <c r="S73" s="43" t="str">
        <f>SUBSTITUTE(C73, ".", " ")</f>
        <v>Fornecidos</v>
      </c>
      <c r="T73" s="43" t="str">
        <f>SUBSTITUTE(D73, ".", " ")</f>
        <v>Segmentos de Produto</v>
      </c>
      <c r="U73" s="43" t="str">
        <f t="shared" ref="U73" si="38">SUBSTITUTE(E73, ".", " ")</f>
        <v>Segmento de Produto</v>
      </c>
      <c r="V73" s="41" t="s">
        <v>285</v>
      </c>
      <c r="W73" s="60" t="str">
        <f t="shared" ref="W73:W81" si="39">CONCATENATE("Key.Fab.",A73)</f>
        <v>Key.Fab.73</v>
      </c>
      <c r="X73" s="41" t="s">
        <v>9</v>
      </c>
      <c r="Y73" s="41" t="s">
        <v>9</v>
      </c>
      <c r="Z73" s="50" t="s">
        <v>185</v>
      </c>
      <c r="AA73" s="45" t="str">
        <f t="shared" si="25"/>
        <v>It is a product or element of the geotechnical segment</v>
      </c>
    </row>
    <row r="74" spans="1:27" ht="6.55" customHeight="1" x14ac:dyDescent="0.4">
      <c r="A74" s="51">
        <v>74</v>
      </c>
      <c r="B74" s="52" t="s">
        <v>75</v>
      </c>
      <c r="C74" s="56" t="s">
        <v>248</v>
      </c>
      <c r="D74" s="52" t="s">
        <v>255</v>
      </c>
      <c r="E74" s="52" t="s">
        <v>254</v>
      </c>
      <c r="F74" s="52" t="s">
        <v>221</v>
      </c>
      <c r="G74" s="28" t="s">
        <v>9</v>
      </c>
      <c r="H74" s="28" t="s">
        <v>9</v>
      </c>
      <c r="I74" s="28" t="s">
        <v>9</v>
      </c>
      <c r="J74" s="28" t="s">
        <v>9</v>
      </c>
      <c r="K74" s="28" t="s">
        <v>9</v>
      </c>
      <c r="L74" s="23" t="str">
        <f t="shared" ref="L74:L101" si="40">_xlfn.CONCAT(SUBSTITUTE(C74,"1.",""))</f>
        <v>Fornecidos</v>
      </c>
      <c r="M74" s="23" t="str">
        <f t="shared" ref="M74:M101" si="41">_xlfn.CONCAT(SUBSTITUTE(D74,"."," "))</f>
        <v>Segmentos de Produto</v>
      </c>
      <c r="N74" s="23" t="str">
        <f t="shared" ref="N74:N101" si="42">_xlfn.CONCAT(SUBSTITUTE(E74,"."," "))</f>
        <v>Segmento de Produto</v>
      </c>
      <c r="O74" s="23" t="str">
        <f t="shared" ref="O74:O101" si="43">_xlfn.CONCAT(SUBSTITUTE(F74,"."," "))</f>
        <v>Produto de Obra</v>
      </c>
      <c r="P74" s="23" t="s">
        <v>326</v>
      </c>
      <c r="Q74" s="26" t="str">
        <f t="shared" si="37"/>
        <v>Es un producto o elemento del segmento de obra</v>
      </c>
      <c r="R74" s="42" t="s">
        <v>9</v>
      </c>
      <c r="S74" s="43" t="str">
        <f t="shared" ref="S74:S101" si="44">SUBSTITUTE(C74, ".", " ")</f>
        <v>Fornecidos</v>
      </c>
      <c r="T74" s="43" t="str">
        <f t="shared" ref="T74:T101" si="45">SUBSTITUTE(D74, ".", " ")</f>
        <v>Segmentos de Produto</v>
      </c>
      <c r="U74" s="43" t="str">
        <f t="shared" ref="U74:U101" si="46">SUBSTITUTE(E74, ".", " ")</f>
        <v>Segmento de Produto</v>
      </c>
      <c r="V74" s="41" t="s">
        <v>285</v>
      </c>
      <c r="W74" s="60" t="str">
        <f t="shared" si="39"/>
        <v>Key.Fab.74</v>
      </c>
      <c r="X74" s="41" t="s">
        <v>9</v>
      </c>
      <c r="Y74" s="41" t="s">
        <v>9</v>
      </c>
      <c r="Z74" s="50" t="s">
        <v>186</v>
      </c>
      <c r="AA74" s="45" t="str">
        <f t="shared" ref="AA74:AA101" si="47">_xlfn.TRANSLATE(P74,"pt","en")</f>
        <v>It is a product or element of the construction site segment</v>
      </c>
    </row>
    <row r="75" spans="1:27" ht="6.55" customHeight="1" x14ac:dyDescent="0.4">
      <c r="A75" s="51">
        <v>75</v>
      </c>
      <c r="B75" s="52" t="s">
        <v>75</v>
      </c>
      <c r="C75" s="56" t="s">
        <v>248</v>
      </c>
      <c r="D75" s="52" t="s">
        <v>255</v>
      </c>
      <c r="E75" s="52" t="s">
        <v>254</v>
      </c>
      <c r="F75" s="52" t="s">
        <v>222</v>
      </c>
      <c r="G75" s="28" t="s">
        <v>9</v>
      </c>
      <c r="H75" s="28" t="s">
        <v>9</v>
      </c>
      <c r="I75" s="28" t="s">
        <v>9</v>
      </c>
      <c r="J75" s="28" t="s">
        <v>9</v>
      </c>
      <c r="K75" s="28" t="s">
        <v>9</v>
      </c>
      <c r="L75" s="23" t="str">
        <f t="shared" si="40"/>
        <v>Fornecidos</v>
      </c>
      <c r="M75" s="23" t="str">
        <f t="shared" si="41"/>
        <v>Segmentos de Produto</v>
      </c>
      <c r="N75" s="23" t="str">
        <f t="shared" si="42"/>
        <v>Segmento de Produto</v>
      </c>
      <c r="O75" s="23" t="str">
        <f t="shared" si="43"/>
        <v>Produto de Drenagem</v>
      </c>
      <c r="P75" s="23" t="s">
        <v>301</v>
      </c>
      <c r="Q75" s="26" t="str">
        <f t="shared" si="37"/>
        <v>Es un producto o elemento del segmento de drenaje</v>
      </c>
      <c r="R75" s="42" t="s">
        <v>9</v>
      </c>
      <c r="S75" s="43" t="str">
        <f t="shared" si="44"/>
        <v>Fornecidos</v>
      </c>
      <c r="T75" s="43" t="str">
        <f t="shared" si="45"/>
        <v>Segmentos de Produto</v>
      </c>
      <c r="U75" s="43" t="str">
        <f t="shared" si="46"/>
        <v>Segmento de Produto</v>
      </c>
      <c r="V75" s="41" t="s">
        <v>285</v>
      </c>
      <c r="W75" s="60" t="str">
        <f t="shared" si="39"/>
        <v>Key.Fab.75</v>
      </c>
      <c r="X75" s="41" t="s">
        <v>9</v>
      </c>
      <c r="Y75" s="41" t="s">
        <v>9</v>
      </c>
      <c r="Z75" s="50" t="s">
        <v>187</v>
      </c>
      <c r="AA75" s="45" t="str">
        <f t="shared" si="47"/>
        <v>It is a product or element of the drainage segment</v>
      </c>
    </row>
    <row r="76" spans="1:27" ht="6.55" customHeight="1" x14ac:dyDescent="0.4">
      <c r="A76" s="51">
        <v>76</v>
      </c>
      <c r="B76" s="52" t="s">
        <v>75</v>
      </c>
      <c r="C76" s="56" t="s">
        <v>248</v>
      </c>
      <c r="D76" s="52" t="s">
        <v>255</v>
      </c>
      <c r="E76" s="52" t="s">
        <v>254</v>
      </c>
      <c r="F76" s="52" t="s">
        <v>223</v>
      </c>
      <c r="G76" s="28" t="s">
        <v>9</v>
      </c>
      <c r="H76" s="28" t="s">
        <v>9</v>
      </c>
      <c r="I76" s="28" t="s">
        <v>9</v>
      </c>
      <c r="J76" s="28" t="s">
        <v>9</v>
      </c>
      <c r="K76" s="28" t="s">
        <v>9</v>
      </c>
      <c r="L76" s="23" t="str">
        <f t="shared" si="40"/>
        <v>Fornecidos</v>
      </c>
      <c r="M76" s="23" t="str">
        <f t="shared" si="41"/>
        <v>Segmentos de Produto</v>
      </c>
      <c r="N76" s="23" t="str">
        <f t="shared" si="42"/>
        <v>Segmento de Produto</v>
      </c>
      <c r="O76" s="23" t="str">
        <f t="shared" si="43"/>
        <v>Produto de Tráfego</v>
      </c>
      <c r="P76" s="23" t="s">
        <v>325</v>
      </c>
      <c r="Q76" s="26" t="str">
        <f t="shared" si="37"/>
        <v>Es un producto o elemento del segmento de tráfico y pavimentación</v>
      </c>
      <c r="R76" s="42" t="s">
        <v>9</v>
      </c>
      <c r="S76" s="43" t="str">
        <f t="shared" si="44"/>
        <v>Fornecidos</v>
      </c>
      <c r="T76" s="43" t="str">
        <f t="shared" si="45"/>
        <v>Segmentos de Produto</v>
      </c>
      <c r="U76" s="43" t="str">
        <f t="shared" si="46"/>
        <v>Segmento de Produto</v>
      </c>
      <c r="V76" s="41" t="s">
        <v>285</v>
      </c>
      <c r="W76" s="60" t="str">
        <f t="shared" si="39"/>
        <v>Key.Fab.76</v>
      </c>
      <c r="X76" s="41" t="s">
        <v>9</v>
      </c>
      <c r="Y76" s="41" t="s">
        <v>9</v>
      </c>
      <c r="Z76" s="50" t="s">
        <v>188</v>
      </c>
      <c r="AA76" s="45" t="str">
        <f t="shared" si="47"/>
        <v>It is a product or element of the traffic and paving segment</v>
      </c>
    </row>
    <row r="77" spans="1:27" ht="6.55" customHeight="1" x14ac:dyDescent="0.4">
      <c r="A77" s="51">
        <v>77</v>
      </c>
      <c r="B77" s="52" t="s">
        <v>75</v>
      </c>
      <c r="C77" s="56" t="s">
        <v>248</v>
      </c>
      <c r="D77" s="52" t="s">
        <v>255</v>
      </c>
      <c r="E77" s="52" t="s">
        <v>254</v>
      </c>
      <c r="F77" s="52" t="s">
        <v>224</v>
      </c>
      <c r="G77" s="28" t="s">
        <v>9</v>
      </c>
      <c r="H77" s="28" t="s">
        <v>9</v>
      </c>
      <c r="I77" s="28" t="s">
        <v>9</v>
      </c>
      <c r="J77" s="28" t="s">
        <v>9</v>
      </c>
      <c r="K77" s="28" t="s">
        <v>9</v>
      </c>
      <c r="L77" s="23" t="str">
        <f t="shared" si="40"/>
        <v>Fornecidos</v>
      </c>
      <c r="M77" s="23" t="str">
        <f t="shared" si="41"/>
        <v>Segmentos de Produto</v>
      </c>
      <c r="N77" s="23" t="str">
        <f t="shared" si="42"/>
        <v>Segmento de Produto</v>
      </c>
      <c r="O77" s="23" t="str">
        <f t="shared" si="43"/>
        <v>Produto de Fundação</v>
      </c>
      <c r="P77" s="23" t="s">
        <v>299</v>
      </c>
      <c r="Q77" s="26" t="str">
        <f t="shared" si="37"/>
        <v>Es un producto o elemento del segmento de estructura de la cimentación</v>
      </c>
      <c r="R77" s="42" t="s">
        <v>9</v>
      </c>
      <c r="S77" s="43" t="str">
        <f t="shared" si="44"/>
        <v>Fornecidos</v>
      </c>
      <c r="T77" s="43" t="str">
        <f t="shared" si="45"/>
        <v>Segmentos de Produto</v>
      </c>
      <c r="U77" s="43" t="str">
        <f t="shared" si="46"/>
        <v>Segmento de Produto</v>
      </c>
      <c r="V77" s="41" t="s">
        <v>285</v>
      </c>
      <c r="W77" s="60" t="str">
        <f t="shared" si="39"/>
        <v>Key.Fab.77</v>
      </c>
      <c r="X77" s="41" t="s">
        <v>9</v>
      </c>
      <c r="Y77" s="41" t="s">
        <v>9</v>
      </c>
      <c r="Z77" s="50" t="s">
        <v>189</v>
      </c>
      <c r="AA77" s="45" t="str">
        <f t="shared" si="47"/>
        <v>It is a product or element of the foundation structure segment</v>
      </c>
    </row>
    <row r="78" spans="1:27" ht="6.55" customHeight="1" x14ac:dyDescent="0.4">
      <c r="A78" s="51">
        <v>78</v>
      </c>
      <c r="B78" s="52" t="s">
        <v>75</v>
      </c>
      <c r="C78" s="56" t="s">
        <v>248</v>
      </c>
      <c r="D78" s="52" t="s">
        <v>255</v>
      </c>
      <c r="E78" s="52" t="s">
        <v>254</v>
      </c>
      <c r="F78" s="52" t="s">
        <v>225</v>
      </c>
      <c r="G78" s="28" t="s">
        <v>9</v>
      </c>
      <c r="H78" s="28" t="s">
        <v>9</v>
      </c>
      <c r="I78" s="28" t="s">
        <v>9</v>
      </c>
      <c r="J78" s="28" t="s">
        <v>9</v>
      </c>
      <c r="K78" s="28" t="s">
        <v>9</v>
      </c>
      <c r="L78" s="23" t="str">
        <f t="shared" si="40"/>
        <v>Fornecidos</v>
      </c>
      <c r="M78" s="23" t="str">
        <f t="shared" si="41"/>
        <v>Segmentos de Produto</v>
      </c>
      <c r="N78" s="23" t="str">
        <f t="shared" si="42"/>
        <v>Segmento de Produto</v>
      </c>
      <c r="O78" s="23" t="str">
        <f t="shared" si="43"/>
        <v>Produto de Estrutura</v>
      </c>
      <c r="P78" s="23" t="s">
        <v>302</v>
      </c>
      <c r="Q78" s="26" t="str">
        <f t="shared" si="37"/>
        <v>Es un producto o elemento del segmento de estructura</v>
      </c>
      <c r="R78" s="42" t="s">
        <v>9</v>
      </c>
      <c r="S78" s="43" t="str">
        <f t="shared" si="44"/>
        <v>Fornecidos</v>
      </c>
      <c r="T78" s="43" t="str">
        <f t="shared" si="45"/>
        <v>Segmentos de Produto</v>
      </c>
      <c r="U78" s="43" t="str">
        <f t="shared" si="46"/>
        <v>Segmento de Produto</v>
      </c>
      <c r="V78" s="41" t="s">
        <v>285</v>
      </c>
      <c r="W78" s="60" t="str">
        <f t="shared" si="39"/>
        <v>Key.Fab.78</v>
      </c>
      <c r="X78" s="41" t="s">
        <v>9</v>
      </c>
      <c r="Y78" s="41" t="s">
        <v>9</v>
      </c>
      <c r="Z78" s="50" t="s">
        <v>190</v>
      </c>
      <c r="AA78" s="45" t="str">
        <f t="shared" si="47"/>
        <v>It is a product or element of the structure segment</v>
      </c>
    </row>
    <row r="79" spans="1:27" ht="6.55" customHeight="1" x14ac:dyDescent="0.4">
      <c r="A79" s="51">
        <v>79</v>
      </c>
      <c r="B79" s="52" t="s">
        <v>75</v>
      </c>
      <c r="C79" s="56" t="s">
        <v>248</v>
      </c>
      <c r="D79" s="52" t="s">
        <v>255</v>
      </c>
      <c r="E79" s="52" t="s">
        <v>254</v>
      </c>
      <c r="F79" s="52" t="s">
        <v>226</v>
      </c>
      <c r="G79" s="28" t="s">
        <v>9</v>
      </c>
      <c r="H79" s="28" t="s">
        <v>9</v>
      </c>
      <c r="I79" s="28" t="s">
        <v>9</v>
      </c>
      <c r="J79" s="28" t="s">
        <v>9</v>
      </c>
      <c r="K79" s="28" t="s">
        <v>9</v>
      </c>
      <c r="L79" s="23" t="str">
        <f t="shared" si="40"/>
        <v>Fornecidos</v>
      </c>
      <c r="M79" s="23" t="str">
        <f t="shared" si="41"/>
        <v>Segmentos de Produto</v>
      </c>
      <c r="N79" s="23" t="str">
        <f t="shared" si="42"/>
        <v>Segmento de Produto</v>
      </c>
      <c r="O79" s="23" t="str">
        <f t="shared" si="43"/>
        <v>Produto de Vedação</v>
      </c>
      <c r="P79" s="23" t="s">
        <v>324</v>
      </c>
      <c r="Q79" s="26" t="str">
        <f t="shared" si="37"/>
        <v>Es un producto o elemento del segmento de sellado, paredes y tejados</v>
      </c>
      <c r="R79" s="42" t="s">
        <v>9</v>
      </c>
      <c r="S79" s="43" t="str">
        <f t="shared" si="44"/>
        <v>Fornecidos</v>
      </c>
      <c r="T79" s="43" t="str">
        <f t="shared" si="45"/>
        <v>Segmentos de Produto</v>
      </c>
      <c r="U79" s="43" t="str">
        <f t="shared" si="46"/>
        <v>Segmento de Produto</v>
      </c>
      <c r="V79" s="41" t="s">
        <v>285</v>
      </c>
      <c r="W79" s="60" t="str">
        <f t="shared" si="39"/>
        <v>Key.Fab.79</v>
      </c>
      <c r="X79" s="41" t="s">
        <v>9</v>
      </c>
      <c r="Y79" s="41" t="s">
        <v>9</v>
      </c>
      <c r="Z79" s="50" t="s">
        <v>191</v>
      </c>
      <c r="AA79" s="45" t="str">
        <f t="shared" si="47"/>
        <v>It is a product or element of the sealing, walls and roofs segment</v>
      </c>
    </row>
    <row r="80" spans="1:27" ht="6.55" customHeight="1" x14ac:dyDescent="0.4">
      <c r="A80" s="51">
        <v>80</v>
      </c>
      <c r="B80" s="52" t="s">
        <v>75</v>
      </c>
      <c r="C80" s="56" t="s">
        <v>248</v>
      </c>
      <c r="D80" s="52" t="s">
        <v>255</v>
      </c>
      <c r="E80" s="52" t="s">
        <v>254</v>
      </c>
      <c r="F80" s="52" t="s">
        <v>227</v>
      </c>
      <c r="G80" s="28" t="s">
        <v>9</v>
      </c>
      <c r="H80" s="28" t="s">
        <v>9</v>
      </c>
      <c r="I80" s="28" t="s">
        <v>9</v>
      </c>
      <c r="J80" s="28" t="s">
        <v>9</v>
      </c>
      <c r="K80" s="28" t="s">
        <v>9</v>
      </c>
      <c r="L80" s="23" t="str">
        <f t="shared" si="40"/>
        <v>Fornecidos</v>
      </c>
      <c r="M80" s="23" t="str">
        <f t="shared" si="41"/>
        <v>Segmentos de Produto</v>
      </c>
      <c r="N80" s="23" t="str">
        <f t="shared" si="42"/>
        <v>Segmento de Produto</v>
      </c>
      <c r="O80" s="23" t="str">
        <f t="shared" si="43"/>
        <v>Produto de Acabado</v>
      </c>
      <c r="P80" s="23" t="s">
        <v>303</v>
      </c>
      <c r="Q80" s="26" t="str">
        <f t="shared" si="37"/>
        <v>Es un producto o elemento del segmento terminado</v>
      </c>
      <c r="R80" s="42" t="s">
        <v>9</v>
      </c>
      <c r="S80" s="43" t="str">
        <f t="shared" si="44"/>
        <v>Fornecidos</v>
      </c>
      <c r="T80" s="43" t="str">
        <f t="shared" si="45"/>
        <v>Segmentos de Produto</v>
      </c>
      <c r="U80" s="43" t="str">
        <f t="shared" si="46"/>
        <v>Segmento de Produto</v>
      </c>
      <c r="V80" s="41" t="s">
        <v>285</v>
      </c>
      <c r="W80" s="60" t="str">
        <f t="shared" si="39"/>
        <v>Key.Fab.80</v>
      </c>
      <c r="X80" s="41" t="s">
        <v>9</v>
      </c>
      <c r="Y80" s="41" t="s">
        <v>9</v>
      </c>
      <c r="Z80" s="50" t="s">
        <v>192</v>
      </c>
      <c r="AA80" s="45" t="str">
        <f t="shared" si="47"/>
        <v>It is a product or element of the finished segment</v>
      </c>
    </row>
    <row r="81" spans="1:27" ht="6.55" customHeight="1" x14ac:dyDescent="0.4">
      <c r="A81" s="51">
        <v>81</v>
      </c>
      <c r="B81" s="52" t="s">
        <v>75</v>
      </c>
      <c r="C81" s="56" t="s">
        <v>248</v>
      </c>
      <c r="D81" s="52" t="s">
        <v>255</v>
      </c>
      <c r="E81" s="52" t="s">
        <v>254</v>
      </c>
      <c r="F81" s="52" t="s">
        <v>228</v>
      </c>
      <c r="G81" s="28" t="s">
        <v>9</v>
      </c>
      <c r="H81" s="28" t="s">
        <v>9</v>
      </c>
      <c r="I81" s="28" t="s">
        <v>9</v>
      </c>
      <c r="J81" s="28" t="s">
        <v>9</v>
      </c>
      <c r="K81" s="28" t="s">
        <v>9</v>
      </c>
      <c r="L81" s="23" t="str">
        <f t="shared" si="40"/>
        <v>Fornecidos</v>
      </c>
      <c r="M81" s="23" t="str">
        <f t="shared" si="41"/>
        <v>Segmentos de Produto</v>
      </c>
      <c r="N81" s="23" t="str">
        <f t="shared" si="42"/>
        <v>Segmento de Produto</v>
      </c>
      <c r="O81" s="23" t="str">
        <f t="shared" si="43"/>
        <v>Produto de Abertura</v>
      </c>
      <c r="P81" s="23" t="s">
        <v>323</v>
      </c>
      <c r="Q81" s="26" t="str">
        <f t="shared" si="37"/>
        <v>Es un producto o elemento del segmento de aberturas y marcos</v>
      </c>
      <c r="R81" s="42" t="s">
        <v>9</v>
      </c>
      <c r="S81" s="43" t="str">
        <f t="shared" si="44"/>
        <v>Fornecidos</v>
      </c>
      <c r="T81" s="43" t="str">
        <f t="shared" si="45"/>
        <v>Segmentos de Produto</v>
      </c>
      <c r="U81" s="43" t="str">
        <f t="shared" si="46"/>
        <v>Segmento de Produto</v>
      </c>
      <c r="V81" s="41" t="s">
        <v>285</v>
      </c>
      <c r="W81" s="60" t="str">
        <f t="shared" si="39"/>
        <v>Key.Fab.81</v>
      </c>
      <c r="X81" s="41" t="s">
        <v>9</v>
      </c>
      <c r="Y81" s="41" t="s">
        <v>9</v>
      </c>
      <c r="Z81" s="50" t="s">
        <v>193</v>
      </c>
      <c r="AA81" s="45" t="str">
        <f t="shared" si="47"/>
        <v>It is a product or element of the openings and frames segment</v>
      </c>
    </row>
    <row r="82" spans="1:27" ht="6.55" customHeight="1" x14ac:dyDescent="0.4">
      <c r="A82" s="51">
        <v>82</v>
      </c>
      <c r="B82" s="52" t="s">
        <v>75</v>
      </c>
      <c r="C82" s="56" t="s">
        <v>248</v>
      </c>
      <c r="D82" s="52" t="s">
        <v>255</v>
      </c>
      <c r="E82" s="52" t="s">
        <v>254</v>
      </c>
      <c r="F82" s="52" t="s">
        <v>229</v>
      </c>
      <c r="G82" s="28" t="s">
        <v>9</v>
      </c>
      <c r="H82" s="28" t="s">
        <v>9</v>
      </c>
      <c r="I82" s="28" t="s">
        <v>9</v>
      </c>
      <c r="J82" s="28" t="s">
        <v>9</v>
      </c>
      <c r="K82" s="28" t="s">
        <v>9</v>
      </c>
      <c r="L82" s="23" t="str">
        <f t="shared" si="40"/>
        <v>Fornecidos</v>
      </c>
      <c r="M82" s="23" t="str">
        <f t="shared" si="41"/>
        <v>Segmentos de Produto</v>
      </c>
      <c r="N82" s="23" t="str">
        <f t="shared" si="42"/>
        <v>Segmento de Produto</v>
      </c>
      <c r="O82" s="23" t="str">
        <f t="shared" si="43"/>
        <v>Produto de Acústica</v>
      </c>
      <c r="P82" s="23" t="s">
        <v>304</v>
      </c>
      <c r="Q82" s="26" t="str">
        <f t="shared" si="37"/>
        <v>Es un producto o elemento del segmento acústico</v>
      </c>
      <c r="R82" s="42" t="s">
        <v>9</v>
      </c>
      <c r="S82" s="43" t="str">
        <f t="shared" si="44"/>
        <v>Fornecidos</v>
      </c>
      <c r="T82" s="43" t="str">
        <f t="shared" si="45"/>
        <v>Segmentos de Produto</v>
      </c>
      <c r="U82" s="43" t="str">
        <f t="shared" si="46"/>
        <v>Segmento de Produto</v>
      </c>
      <c r="V82" s="41" t="s">
        <v>285</v>
      </c>
      <c r="W82" s="60" t="str">
        <f t="shared" ref="W82:W101" si="48">CONCATENATE("Key.Fab.",A82)</f>
        <v>Key.Fab.82</v>
      </c>
      <c r="X82" s="41" t="s">
        <v>9</v>
      </c>
      <c r="Y82" s="41" t="s">
        <v>9</v>
      </c>
      <c r="Z82" s="50" t="s">
        <v>194</v>
      </c>
      <c r="AA82" s="45" t="str">
        <f t="shared" si="47"/>
        <v>It is a product or element of the acoustics segment</v>
      </c>
    </row>
    <row r="83" spans="1:27" ht="6.55" customHeight="1" x14ac:dyDescent="0.4">
      <c r="A83" s="51">
        <v>83</v>
      </c>
      <c r="B83" s="52" t="s">
        <v>75</v>
      </c>
      <c r="C83" s="56" t="s">
        <v>248</v>
      </c>
      <c r="D83" s="52" t="s">
        <v>255</v>
      </c>
      <c r="E83" s="52" t="s">
        <v>254</v>
      </c>
      <c r="F83" s="52" t="s">
        <v>230</v>
      </c>
      <c r="G83" s="28" t="s">
        <v>9</v>
      </c>
      <c r="H83" s="28" t="s">
        <v>9</v>
      </c>
      <c r="I83" s="28" t="s">
        <v>9</v>
      </c>
      <c r="J83" s="28" t="s">
        <v>9</v>
      </c>
      <c r="K83" s="28" t="s">
        <v>9</v>
      </c>
      <c r="L83" s="23" t="str">
        <f t="shared" si="40"/>
        <v>Fornecidos</v>
      </c>
      <c r="M83" s="23" t="str">
        <f t="shared" si="41"/>
        <v>Segmentos de Produto</v>
      </c>
      <c r="N83" s="23" t="str">
        <f t="shared" si="42"/>
        <v>Segmento de Produto</v>
      </c>
      <c r="O83" s="23" t="str">
        <f t="shared" si="43"/>
        <v>Produto de Elétrica</v>
      </c>
      <c r="P83" s="23" t="s">
        <v>305</v>
      </c>
      <c r="Q83" s="26" t="str">
        <f t="shared" si="37"/>
        <v>Es un producto o elemento del segmento eléctrico</v>
      </c>
      <c r="R83" s="42" t="s">
        <v>9</v>
      </c>
      <c r="S83" s="43" t="str">
        <f t="shared" si="44"/>
        <v>Fornecidos</v>
      </c>
      <c r="T83" s="43" t="str">
        <f t="shared" si="45"/>
        <v>Segmentos de Produto</v>
      </c>
      <c r="U83" s="43" t="str">
        <f t="shared" si="46"/>
        <v>Segmento de Produto</v>
      </c>
      <c r="V83" s="41" t="s">
        <v>285</v>
      </c>
      <c r="W83" s="60" t="str">
        <f t="shared" si="48"/>
        <v>Key.Fab.83</v>
      </c>
      <c r="X83" s="41" t="s">
        <v>9</v>
      </c>
      <c r="Y83" s="41" t="s">
        <v>9</v>
      </c>
      <c r="Z83" s="50" t="s">
        <v>195</v>
      </c>
      <c r="AA83" s="45" t="str">
        <f t="shared" si="47"/>
        <v>It is a product or element of the electrical segment</v>
      </c>
    </row>
    <row r="84" spans="1:27" ht="6.55" customHeight="1" x14ac:dyDescent="0.4">
      <c r="A84" s="51">
        <v>84</v>
      </c>
      <c r="B84" s="52" t="s">
        <v>75</v>
      </c>
      <c r="C84" s="56" t="s">
        <v>248</v>
      </c>
      <c r="D84" s="52" t="s">
        <v>255</v>
      </c>
      <c r="E84" s="52" t="s">
        <v>254</v>
      </c>
      <c r="F84" s="52" t="s">
        <v>231</v>
      </c>
      <c r="G84" s="28" t="s">
        <v>9</v>
      </c>
      <c r="H84" s="28" t="s">
        <v>9</v>
      </c>
      <c r="I84" s="28" t="s">
        <v>9</v>
      </c>
      <c r="J84" s="28" t="s">
        <v>9</v>
      </c>
      <c r="K84" s="28" t="s">
        <v>9</v>
      </c>
      <c r="L84" s="23" t="str">
        <f t="shared" si="40"/>
        <v>Fornecidos</v>
      </c>
      <c r="M84" s="23" t="str">
        <f t="shared" si="41"/>
        <v>Segmentos de Produto</v>
      </c>
      <c r="N84" s="23" t="str">
        <f t="shared" si="42"/>
        <v>Segmento de Produto</v>
      </c>
      <c r="O84" s="23" t="str">
        <f t="shared" si="43"/>
        <v>Produto de Iluminação</v>
      </c>
      <c r="P84" s="23" t="s">
        <v>284</v>
      </c>
      <c r="Q84" s="26" t="str">
        <f t="shared" si="37"/>
        <v>Es un producto o elemento del segmento de Iluminación</v>
      </c>
      <c r="R84" s="42" t="s">
        <v>9</v>
      </c>
      <c r="S84" s="43" t="str">
        <f t="shared" si="44"/>
        <v>Fornecidos</v>
      </c>
      <c r="T84" s="43" t="str">
        <f t="shared" si="45"/>
        <v>Segmentos de Produto</v>
      </c>
      <c r="U84" s="43" t="str">
        <f t="shared" si="46"/>
        <v>Segmento de Produto</v>
      </c>
      <c r="V84" s="41" t="s">
        <v>285</v>
      </c>
      <c r="W84" s="60" t="str">
        <f t="shared" si="48"/>
        <v>Key.Fab.84</v>
      </c>
      <c r="X84" s="41" t="s">
        <v>9</v>
      </c>
      <c r="Y84" s="41" t="s">
        <v>9</v>
      </c>
      <c r="Z84" s="50" t="s">
        <v>196</v>
      </c>
      <c r="AA84" s="45" t="str">
        <f t="shared" si="47"/>
        <v>It is a product or element of the Lighting segment</v>
      </c>
    </row>
    <row r="85" spans="1:27" ht="6.55" customHeight="1" x14ac:dyDescent="0.4">
      <c r="A85" s="51">
        <v>85</v>
      </c>
      <c r="B85" s="52" t="s">
        <v>75</v>
      </c>
      <c r="C85" s="56" t="s">
        <v>248</v>
      </c>
      <c r="D85" s="52" t="s">
        <v>255</v>
      </c>
      <c r="E85" s="52" t="s">
        <v>254</v>
      </c>
      <c r="F85" s="52" t="s">
        <v>232</v>
      </c>
      <c r="G85" s="28" t="s">
        <v>9</v>
      </c>
      <c r="H85" s="28" t="s">
        <v>9</v>
      </c>
      <c r="I85" s="28" t="s">
        <v>9</v>
      </c>
      <c r="J85" s="28" t="s">
        <v>9</v>
      </c>
      <c r="K85" s="28" t="s">
        <v>9</v>
      </c>
      <c r="L85" s="23" t="str">
        <f t="shared" si="40"/>
        <v>Fornecidos</v>
      </c>
      <c r="M85" s="23" t="str">
        <f t="shared" si="41"/>
        <v>Segmentos de Produto</v>
      </c>
      <c r="N85" s="23" t="str">
        <f t="shared" si="42"/>
        <v>Segmento de Produto</v>
      </c>
      <c r="O85" s="23" t="str">
        <f t="shared" si="43"/>
        <v>Produto de Exaustão Ventilação</v>
      </c>
      <c r="P85" s="23" t="s">
        <v>306</v>
      </c>
      <c r="Q85" s="26" t="str">
        <f t="shared" si="37"/>
        <v>Es un producto o elemento del segmento de extracción y ventilación</v>
      </c>
      <c r="R85" s="42" t="s">
        <v>9</v>
      </c>
      <c r="S85" s="43" t="str">
        <f t="shared" si="44"/>
        <v>Fornecidos</v>
      </c>
      <c r="T85" s="43" t="str">
        <f t="shared" si="45"/>
        <v>Segmentos de Produto</v>
      </c>
      <c r="U85" s="43" t="str">
        <f t="shared" si="46"/>
        <v>Segmento de Produto</v>
      </c>
      <c r="V85" s="41" t="s">
        <v>285</v>
      </c>
      <c r="W85" s="60" t="str">
        <f t="shared" si="48"/>
        <v>Key.Fab.85</v>
      </c>
      <c r="X85" s="41" t="s">
        <v>9</v>
      </c>
      <c r="Y85" s="41" t="s">
        <v>9</v>
      </c>
      <c r="Z85" s="50" t="s">
        <v>197</v>
      </c>
      <c r="AA85" s="45" t="str">
        <f t="shared" si="47"/>
        <v>It is a product or element of the exhaust and ventilation segment</v>
      </c>
    </row>
    <row r="86" spans="1:27" ht="6.55" customHeight="1" x14ac:dyDescent="0.4">
      <c r="A86" s="51">
        <v>86</v>
      </c>
      <c r="B86" s="52" t="s">
        <v>75</v>
      </c>
      <c r="C86" s="56" t="s">
        <v>248</v>
      </c>
      <c r="D86" s="52" t="s">
        <v>255</v>
      </c>
      <c r="E86" s="52" t="s">
        <v>254</v>
      </c>
      <c r="F86" s="52" t="s">
        <v>233</v>
      </c>
      <c r="G86" s="28" t="s">
        <v>9</v>
      </c>
      <c r="H86" s="28" t="s">
        <v>9</v>
      </c>
      <c r="I86" s="28" t="s">
        <v>9</v>
      </c>
      <c r="J86" s="28" t="s">
        <v>9</v>
      </c>
      <c r="K86" s="28" t="s">
        <v>9</v>
      </c>
      <c r="L86" s="23" t="str">
        <f t="shared" si="40"/>
        <v>Fornecidos</v>
      </c>
      <c r="M86" s="23" t="str">
        <f t="shared" si="41"/>
        <v>Segmentos de Produto</v>
      </c>
      <c r="N86" s="23" t="str">
        <f t="shared" si="42"/>
        <v>Segmento de Produto</v>
      </c>
      <c r="O86" s="23" t="str">
        <f t="shared" si="43"/>
        <v>Produto de Telecom Urbana</v>
      </c>
      <c r="P86" s="23" t="s">
        <v>311</v>
      </c>
      <c r="Q86" s="26" t="str">
        <f t="shared" si="37"/>
        <v>Es un producto o elemento del segmento de la red de telecomunicaciones urbana</v>
      </c>
      <c r="R86" s="42" t="s">
        <v>9</v>
      </c>
      <c r="S86" s="43" t="str">
        <f t="shared" si="44"/>
        <v>Fornecidos</v>
      </c>
      <c r="T86" s="43" t="str">
        <f t="shared" si="45"/>
        <v>Segmentos de Produto</v>
      </c>
      <c r="U86" s="43" t="str">
        <f t="shared" si="46"/>
        <v>Segmento de Produto</v>
      </c>
      <c r="V86" s="41" t="s">
        <v>285</v>
      </c>
      <c r="W86" s="60" t="str">
        <f t="shared" si="48"/>
        <v>Key.Fab.86</v>
      </c>
      <c r="X86" s="41" t="s">
        <v>9</v>
      </c>
      <c r="Y86" s="41" t="s">
        <v>9</v>
      </c>
      <c r="Z86" s="50" t="s">
        <v>198</v>
      </c>
      <c r="AA86" s="45" t="str">
        <f t="shared" si="47"/>
        <v>It is a product or element of the urban telecom network segment</v>
      </c>
    </row>
    <row r="87" spans="1:27" ht="6.55" customHeight="1" x14ac:dyDescent="0.4">
      <c r="A87" s="51">
        <v>87</v>
      </c>
      <c r="B87" s="52" t="s">
        <v>75</v>
      </c>
      <c r="C87" s="56" t="s">
        <v>248</v>
      </c>
      <c r="D87" s="52" t="s">
        <v>255</v>
      </c>
      <c r="E87" s="52" t="s">
        <v>254</v>
      </c>
      <c r="F87" s="52" t="s">
        <v>234</v>
      </c>
      <c r="G87" s="28" t="s">
        <v>9</v>
      </c>
      <c r="H87" s="28" t="s">
        <v>9</v>
      </c>
      <c r="I87" s="28" t="s">
        <v>9</v>
      </c>
      <c r="J87" s="28" t="s">
        <v>9</v>
      </c>
      <c r="K87" s="28" t="s">
        <v>9</v>
      </c>
      <c r="L87" s="23" t="str">
        <f t="shared" si="40"/>
        <v>Fornecidos</v>
      </c>
      <c r="M87" s="23" t="str">
        <f t="shared" si="41"/>
        <v>Segmentos de Produto</v>
      </c>
      <c r="N87" s="23" t="str">
        <f t="shared" si="42"/>
        <v>Segmento de Produto</v>
      </c>
      <c r="O87" s="23" t="str">
        <f t="shared" si="43"/>
        <v>Produto de Telecom Predial</v>
      </c>
      <c r="P87" s="23" t="s">
        <v>312</v>
      </c>
      <c r="Q87" s="26" t="str">
        <f t="shared" si="37"/>
        <v>Es un producto o elemento del segmento de redes de telecomunicaciones en construcción</v>
      </c>
      <c r="R87" s="42" t="s">
        <v>9</v>
      </c>
      <c r="S87" s="43" t="str">
        <f t="shared" si="44"/>
        <v>Fornecidos</v>
      </c>
      <c r="T87" s="43" t="str">
        <f t="shared" si="45"/>
        <v>Segmentos de Produto</v>
      </c>
      <c r="U87" s="43" t="str">
        <f t="shared" si="46"/>
        <v>Segmento de Produto</v>
      </c>
      <c r="V87" s="41" t="s">
        <v>285</v>
      </c>
      <c r="W87" s="60" t="str">
        <f t="shared" si="48"/>
        <v>Key.Fab.87</v>
      </c>
      <c r="X87" s="41" t="s">
        <v>9</v>
      </c>
      <c r="Y87" s="41" t="s">
        <v>9</v>
      </c>
      <c r="Z87" s="50" t="s">
        <v>199</v>
      </c>
      <c r="AA87" s="45" t="str">
        <f t="shared" si="47"/>
        <v>It is a product or element of the building telecom network segment</v>
      </c>
    </row>
    <row r="88" spans="1:27" ht="6.55" customHeight="1" x14ac:dyDescent="0.4">
      <c r="A88" s="51">
        <v>88</v>
      </c>
      <c r="B88" s="52" t="s">
        <v>75</v>
      </c>
      <c r="C88" s="56" t="s">
        <v>248</v>
      </c>
      <c r="D88" s="52" t="s">
        <v>255</v>
      </c>
      <c r="E88" s="52" t="s">
        <v>254</v>
      </c>
      <c r="F88" s="52" t="s">
        <v>235</v>
      </c>
      <c r="G88" s="28" t="s">
        <v>9</v>
      </c>
      <c r="H88" s="28" t="s">
        <v>9</v>
      </c>
      <c r="I88" s="28" t="s">
        <v>9</v>
      </c>
      <c r="J88" s="28" t="s">
        <v>9</v>
      </c>
      <c r="K88" s="28" t="s">
        <v>9</v>
      </c>
      <c r="L88" s="23" t="str">
        <f t="shared" si="40"/>
        <v>Fornecidos</v>
      </c>
      <c r="M88" s="23" t="str">
        <f t="shared" si="41"/>
        <v>Segmentos de Produto</v>
      </c>
      <c r="N88" s="23" t="str">
        <f t="shared" si="42"/>
        <v>Segmento de Produto</v>
      </c>
      <c r="O88" s="23" t="str">
        <f t="shared" si="43"/>
        <v>Produto de Hidráulica Urbana</v>
      </c>
      <c r="P88" s="23" t="s">
        <v>310</v>
      </c>
      <c r="Q88" s="26" t="str">
        <f t="shared" si="37"/>
        <v>Es un producto o elemento del segmento de la red de hidráulica urbana</v>
      </c>
      <c r="R88" s="42" t="s">
        <v>9</v>
      </c>
      <c r="S88" s="43" t="str">
        <f t="shared" si="44"/>
        <v>Fornecidos</v>
      </c>
      <c r="T88" s="43" t="str">
        <f t="shared" si="45"/>
        <v>Segmentos de Produto</v>
      </c>
      <c r="U88" s="43" t="str">
        <f t="shared" si="46"/>
        <v>Segmento de Produto</v>
      </c>
      <c r="V88" s="41" t="s">
        <v>285</v>
      </c>
      <c r="W88" s="60" t="str">
        <f t="shared" si="48"/>
        <v>Key.Fab.88</v>
      </c>
      <c r="X88" s="41" t="s">
        <v>9</v>
      </c>
      <c r="Y88" s="41" t="s">
        <v>9</v>
      </c>
      <c r="Z88" s="50" t="s">
        <v>200</v>
      </c>
      <c r="AA88" s="45" t="str">
        <f t="shared" si="47"/>
        <v>It is a product or element of the urban hydraulics network segment</v>
      </c>
    </row>
    <row r="89" spans="1:27" ht="6.55" customHeight="1" x14ac:dyDescent="0.4">
      <c r="A89" s="51">
        <v>89</v>
      </c>
      <c r="B89" s="52" t="s">
        <v>75</v>
      </c>
      <c r="C89" s="56" t="s">
        <v>248</v>
      </c>
      <c r="D89" s="52" t="s">
        <v>255</v>
      </c>
      <c r="E89" s="52" t="s">
        <v>254</v>
      </c>
      <c r="F89" s="52" t="s">
        <v>236</v>
      </c>
      <c r="G89" s="28" t="s">
        <v>9</v>
      </c>
      <c r="H89" s="28" t="s">
        <v>9</v>
      </c>
      <c r="I89" s="28" t="s">
        <v>9</v>
      </c>
      <c r="J89" s="28" t="s">
        <v>9</v>
      </c>
      <c r="K89" s="28" t="s">
        <v>9</v>
      </c>
      <c r="L89" s="23" t="str">
        <f t="shared" si="40"/>
        <v>Fornecidos</v>
      </c>
      <c r="M89" s="23" t="str">
        <f t="shared" si="41"/>
        <v>Segmentos de Produto</v>
      </c>
      <c r="N89" s="23" t="str">
        <f t="shared" si="42"/>
        <v>Segmento de Produto</v>
      </c>
      <c r="O89" s="23" t="str">
        <f t="shared" si="43"/>
        <v>Produto de Hidráulica Predial</v>
      </c>
      <c r="P89" s="23" t="s">
        <v>309</v>
      </c>
      <c r="Q89" s="26" t="str">
        <f t="shared" si="37"/>
        <v>Es un producto o elemento del segmento de redes hidráulicas para edificios</v>
      </c>
      <c r="R89" s="42" t="s">
        <v>9</v>
      </c>
      <c r="S89" s="43" t="str">
        <f t="shared" si="44"/>
        <v>Fornecidos</v>
      </c>
      <c r="T89" s="43" t="str">
        <f t="shared" si="45"/>
        <v>Segmentos de Produto</v>
      </c>
      <c r="U89" s="43" t="str">
        <f t="shared" si="46"/>
        <v>Segmento de Produto</v>
      </c>
      <c r="V89" s="41" t="s">
        <v>285</v>
      </c>
      <c r="W89" s="60" t="str">
        <f t="shared" si="48"/>
        <v>Key.Fab.89</v>
      </c>
      <c r="X89" s="41" t="s">
        <v>9</v>
      </c>
      <c r="Y89" s="41" t="s">
        <v>9</v>
      </c>
      <c r="Z89" s="50" t="s">
        <v>201</v>
      </c>
      <c r="AA89" s="45" t="str">
        <f t="shared" si="47"/>
        <v>It is a product or element of the building hydraulic network segment</v>
      </c>
    </row>
    <row r="90" spans="1:27" ht="6.55" customHeight="1" x14ac:dyDescent="0.4">
      <c r="A90" s="51">
        <v>90</v>
      </c>
      <c r="B90" s="52" t="s">
        <v>75</v>
      </c>
      <c r="C90" s="56" t="s">
        <v>248</v>
      </c>
      <c r="D90" s="52" t="s">
        <v>255</v>
      </c>
      <c r="E90" s="52" t="s">
        <v>254</v>
      </c>
      <c r="F90" s="52" t="s">
        <v>237</v>
      </c>
      <c r="G90" s="28" t="s">
        <v>9</v>
      </c>
      <c r="H90" s="28" t="s">
        <v>9</v>
      </c>
      <c r="I90" s="28" t="s">
        <v>9</v>
      </c>
      <c r="J90" s="28" t="s">
        <v>9</v>
      </c>
      <c r="K90" s="28" t="s">
        <v>9</v>
      </c>
      <c r="L90" s="23" t="str">
        <f t="shared" si="40"/>
        <v>Fornecidos</v>
      </c>
      <c r="M90" s="23" t="str">
        <f t="shared" si="41"/>
        <v>Segmentos de Produto</v>
      </c>
      <c r="N90" s="23" t="str">
        <f t="shared" si="42"/>
        <v>Segmento de Produto</v>
      </c>
      <c r="O90" s="23" t="str">
        <f t="shared" si="43"/>
        <v>Produto de Pluvial</v>
      </c>
      <c r="P90" s="23" t="s">
        <v>313</v>
      </c>
      <c r="Q90" s="26" t="str">
        <f t="shared" si="37"/>
        <v>Es un producto o elemento del segmento de la red de aguas pluviales</v>
      </c>
      <c r="R90" s="42" t="s">
        <v>9</v>
      </c>
      <c r="S90" s="43" t="str">
        <f t="shared" si="44"/>
        <v>Fornecidos</v>
      </c>
      <c r="T90" s="43" t="str">
        <f t="shared" si="45"/>
        <v>Segmentos de Produto</v>
      </c>
      <c r="U90" s="43" t="str">
        <f t="shared" si="46"/>
        <v>Segmento de Produto</v>
      </c>
      <c r="V90" s="41" t="s">
        <v>285</v>
      </c>
      <c r="W90" s="60" t="str">
        <f t="shared" si="48"/>
        <v>Key.Fab.90</v>
      </c>
      <c r="X90" s="41" t="s">
        <v>9</v>
      </c>
      <c r="Y90" s="41" t="s">
        <v>9</v>
      </c>
      <c r="Z90" s="50" t="s">
        <v>202</v>
      </c>
      <c r="AA90" s="45" t="str">
        <f t="shared" si="47"/>
        <v>It is a product or element of the rainwater network segment</v>
      </c>
    </row>
    <row r="91" spans="1:27" ht="6.55" customHeight="1" x14ac:dyDescent="0.4">
      <c r="A91" s="51">
        <v>91</v>
      </c>
      <c r="B91" s="52" t="s">
        <v>75</v>
      </c>
      <c r="C91" s="56" t="s">
        <v>248</v>
      </c>
      <c r="D91" s="52" t="s">
        <v>255</v>
      </c>
      <c r="E91" s="52" t="s">
        <v>254</v>
      </c>
      <c r="F91" s="52" t="s">
        <v>238</v>
      </c>
      <c r="G91" s="28" t="s">
        <v>9</v>
      </c>
      <c r="H91" s="28" t="s">
        <v>9</v>
      </c>
      <c r="I91" s="28" t="s">
        <v>9</v>
      </c>
      <c r="J91" s="28" t="s">
        <v>9</v>
      </c>
      <c r="K91" s="28" t="s">
        <v>9</v>
      </c>
      <c r="L91" s="23" t="str">
        <f t="shared" si="40"/>
        <v>Fornecidos</v>
      </c>
      <c r="M91" s="23" t="str">
        <f t="shared" si="41"/>
        <v>Segmentos de Produto</v>
      </c>
      <c r="N91" s="23" t="str">
        <f t="shared" si="42"/>
        <v>Segmento de Produto</v>
      </c>
      <c r="O91" s="23" t="str">
        <f t="shared" si="43"/>
        <v>Produto de Esgoto Predial</v>
      </c>
      <c r="P91" s="23" t="s">
        <v>307</v>
      </c>
      <c r="Q91" s="26" t="str">
        <f t="shared" si="37"/>
        <v>Es un producto o elemento del segmento de la red de alcantarillado del edificio</v>
      </c>
      <c r="R91" s="42" t="s">
        <v>9</v>
      </c>
      <c r="S91" s="43" t="str">
        <f t="shared" si="44"/>
        <v>Fornecidos</v>
      </c>
      <c r="T91" s="43" t="str">
        <f t="shared" si="45"/>
        <v>Segmentos de Produto</v>
      </c>
      <c r="U91" s="43" t="str">
        <f t="shared" si="46"/>
        <v>Segmento de Produto</v>
      </c>
      <c r="V91" s="41" t="s">
        <v>285</v>
      </c>
      <c r="W91" s="60" t="str">
        <f t="shared" si="48"/>
        <v>Key.Fab.91</v>
      </c>
      <c r="X91" s="41" t="s">
        <v>9</v>
      </c>
      <c r="Y91" s="41" t="s">
        <v>9</v>
      </c>
      <c r="Z91" s="50" t="s">
        <v>203</v>
      </c>
      <c r="AA91" s="45" t="str">
        <f t="shared" si="47"/>
        <v>It is a product or element of the building sewer network segment</v>
      </c>
    </row>
    <row r="92" spans="1:27" ht="6.55" customHeight="1" x14ac:dyDescent="0.4">
      <c r="A92" s="51">
        <v>92</v>
      </c>
      <c r="B92" s="52" t="s">
        <v>75</v>
      </c>
      <c r="C92" s="56" t="s">
        <v>248</v>
      </c>
      <c r="D92" s="52" t="s">
        <v>255</v>
      </c>
      <c r="E92" s="52" t="s">
        <v>254</v>
      </c>
      <c r="F92" s="52" t="s">
        <v>239</v>
      </c>
      <c r="G92" s="28" t="s">
        <v>9</v>
      </c>
      <c r="H92" s="28" t="s">
        <v>9</v>
      </c>
      <c r="I92" s="28" t="s">
        <v>9</v>
      </c>
      <c r="J92" s="28" t="s">
        <v>9</v>
      </c>
      <c r="K92" s="28" t="s">
        <v>9</v>
      </c>
      <c r="L92" s="23" t="str">
        <f t="shared" si="40"/>
        <v>Fornecidos</v>
      </c>
      <c r="M92" s="23" t="str">
        <f t="shared" si="41"/>
        <v>Segmentos de Produto</v>
      </c>
      <c r="N92" s="23" t="str">
        <f t="shared" si="42"/>
        <v>Segmento de Produto</v>
      </c>
      <c r="O92" s="23" t="str">
        <f t="shared" si="43"/>
        <v>Produto de Esgoto Urbano</v>
      </c>
      <c r="P92" s="23" t="s">
        <v>308</v>
      </c>
      <c r="Q92" s="26" t="str">
        <f t="shared" si="37"/>
        <v>Es un producto o elemento del segmento de la red de alcantarillado urbano</v>
      </c>
      <c r="R92" s="42" t="s">
        <v>9</v>
      </c>
      <c r="S92" s="43" t="str">
        <f t="shared" si="44"/>
        <v>Fornecidos</v>
      </c>
      <c r="T92" s="43" t="str">
        <f t="shared" si="45"/>
        <v>Segmentos de Produto</v>
      </c>
      <c r="U92" s="43" t="str">
        <f t="shared" si="46"/>
        <v>Segmento de Produto</v>
      </c>
      <c r="V92" s="41" t="s">
        <v>285</v>
      </c>
      <c r="W92" s="60" t="str">
        <f t="shared" si="48"/>
        <v>Key.Fab.92</v>
      </c>
      <c r="X92" s="41" t="s">
        <v>9</v>
      </c>
      <c r="Y92" s="41" t="s">
        <v>9</v>
      </c>
      <c r="Z92" s="50" t="s">
        <v>204</v>
      </c>
      <c r="AA92" s="45" t="str">
        <f t="shared" si="47"/>
        <v>It is a product or element of the urban sewer network segment</v>
      </c>
    </row>
    <row r="93" spans="1:27" ht="6.55" customHeight="1" x14ac:dyDescent="0.4">
      <c r="A93" s="51">
        <v>93</v>
      </c>
      <c r="B93" s="52" t="s">
        <v>75</v>
      </c>
      <c r="C93" s="56" t="s">
        <v>248</v>
      </c>
      <c r="D93" s="52" t="s">
        <v>255</v>
      </c>
      <c r="E93" s="52" t="s">
        <v>254</v>
      </c>
      <c r="F93" s="52" t="s">
        <v>240</v>
      </c>
      <c r="G93" s="28" t="s">
        <v>9</v>
      </c>
      <c r="H93" s="28" t="s">
        <v>9</v>
      </c>
      <c r="I93" s="28" t="s">
        <v>9</v>
      </c>
      <c r="J93" s="28" t="s">
        <v>9</v>
      </c>
      <c r="K93" s="28" t="s">
        <v>9</v>
      </c>
      <c r="L93" s="23" t="str">
        <f t="shared" si="40"/>
        <v>Fornecidos</v>
      </c>
      <c r="M93" s="23" t="str">
        <f t="shared" si="41"/>
        <v>Segmentos de Produto</v>
      </c>
      <c r="N93" s="23" t="str">
        <f t="shared" si="42"/>
        <v>Segmento de Produto</v>
      </c>
      <c r="O93" s="23" t="str">
        <f t="shared" si="43"/>
        <v>Produto de Resíduo</v>
      </c>
      <c r="P93" s="23" t="s">
        <v>314</v>
      </c>
      <c r="Q93" s="26" t="str">
        <f t="shared" si="37"/>
        <v>Es un producto o elemento del segmento de tratamiento de residuos</v>
      </c>
      <c r="R93" s="42" t="s">
        <v>9</v>
      </c>
      <c r="S93" s="43" t="str">
        <f t="shared" si="44"/>
        <v>Fornecidos</v>
      </c>
      <c r="T93" s="43" t="str">
        <f t="shared" si="45"/>
        <v>Segmentos de Produto</v>
      </c>
      <c r="U93" s="43" t="str">
        <f t="shared" si="46"/>
        <v>Segmento de Produto</v>
      </c>
      <c r="V93" s="41" t="s">
        <v>285</v>
      </c>
      <c r="W93" s="60" t="str">
        <f t="shared" si="48"/>
        <v>Key.Fab.93</v>
      </c>
      <c r="X93" s="41" t="s">
        <v>9</v>
      </c>
      <c r="Y93" s="41" t="s">
        <v>9</v>
      </c>
      <c r="Z93" s="50" t="s">
        <v>205</v>
      </c>
      <c r="AA93" s="45" t="str">
        <f t="shared" si="47"/>
        <v>It is a product or element of the waste treatment segment</v>
      </c>
    </row>
    <row r="94" spans="1:27" ht="6.55" customHeight="1" x14ac:dyDescent="0.4">
      <c r="A94" s="51">
        <v>94</v>
      </c>
      <c r="B94" s="52" t="s">
        <v>75</v>
      </c>
      <c r="C94" s="56" t="s">
        <v>248</v>
      </c>
      <c r="D94" s="52" t="s">
        <v>255</v>
      </c>
      <c r="E94" s="52" t="s">
        <v>254</v>
      </c>
      <c r="F94" s="52" t="s">
        <v>241</v>
      </c>
      <c r="G94" s="28" t="s">
        <v>9</v>
      </c>
      <c r="H94" s="28" t="s">
        <v>9</v>
      </c>
      <c r="I94" s="28" t="s">
        <v>9</v>
      </c>
      <c r="J94" s="28" t="s">
        <v>9</v>
      </c>
      <c r="K94" s="28" t="s">
        <v>9</v>
      </c>
      <c r="L94" s="23" t="str">
        <f t="shared" si="40"/>
        <v>Fornecidos</v>
      </c>
      <c r="M94" s="23" t="str">
        <f t="shared" si="41"/>
        <v>Segmentos de Produto</v>
      </c>
      <c r="N94" s="23" t="str">
        <f t="shared" si="42"/>
        <v>Segmento de Produto</v>
      </c>
      <c r="O94" s="23" t="str">
        <f t="shared" si="43"/>
        <v>Produto de Refrigeração</v>
      </c>
      <c r="P94" s="23" t="s">
        <v>315</v>
      </c>
      <c r="Q94" s="26" t="str">
        <f t="shared" si="37"/>
        <v>Es un producto o elemento del segmento de refrigeración</v>
      </c>
      <c r="R94" s="42" t="s">
        <v>9</v>
      </c>
      <c r="S94" s="43" t="str">
        <f t="shared" si="44"/>
        <v>Fornecidos</v>
      </c>
      <c r="T94" s="43" t="str">
        <f t="shared" si="45"/>
        <v>Segmentos de Produto</v>
      </c>
      <c r="U94" s="43" t="str">
        <f t="shared" si="46"/>
        <v>Segmento de Produto</v>
      </c>
      <c r="V94" s="41" t="s">
        <v>285</v>
      </c>
      <c r="W94" s="60" t="str">
        <f t="shared" si="48"/>
        <v>Key.Fab.94</v>
      </c>
      <c r="X94" s="41" t="s">
        <v>9</v>
      </c>
      <c r="Y94" s="41" t="s">
        <v>9</v>
      </c>
      <c r="Z94" s="50" t="s">
        <v>206</v>
      </c>
      <c r="AA94" s="45" t="str">
        <f t="shared" si="47"/>
        <v>It is a product or element of the refrigeration segment</v>
      </c>
    </row>
    <row r="95" spans="1:27" ht="6.55" customHeight="1" x14ac:dyDescent="0.4">
      <c r="A95" s="51">
        <v>95</v>
      </c>
      <c r="B95" s="52" t="s">
        <v>75</v>
      </c>
      <c r="C95" s="56" t="s">
        <v>248</v>
      </c>
      <c r="D95" s="52" t="s">
        <v>255</v>
      </c>
      <c r="E95" s="52" t="s">
        <v>254</v>
      </c>
      <c r="F95" s="52" t="s">
        <v>242</v>
      </c>
      <c r="G95" s="28" t="s">
        <v>9</v>
      </c>
      <c r="H95" s="28" t="s">
        <v>9</v>
      </c>
      <c r="I95" s="28" t="s">
        <v>9</v>
      </c>
      <c r="J95" s="28" t="s">
        <v>9</v>
      </c>
      <c r="K95" s="28" t="s">
        <v>9</v>
      </c>
      <c r="L95" s="23" t="str">
        <f t="shared" si="40"/>
        <v>Fornecidos</v>
      </c>
      <c r="M95" s="23" t="str">
        <f t="shared" si="41"/>
        <v>Segmentos de Produto</v>
      </c>
      <c r="N95" s="23" t="str">
        <f t="shared" si="42"/>
        <v>Segmento de Produto</v>
      </c>
      <c r="O95" s="23" t="str">
        <f t="shared" si="43"/>
        <v>Produto de Aquecimento</v>
      </c>
      <c r="P95" s="23" t="s">
        <v>316</v>
      </c>
      <c r="Q95" s="26" t="str">
        <f t="shared" si="37"/>
        <v>Es un producto o elemento del segmento de calentamiento</v>
      </c>
      <c r="R95" s="42" t="s">
        <v>9</v>
      </c>
      <c r="S95" s="43" t="str">
        <f t="shared" si="44"/>
        <v>Fornecidos</v>
      </c>
      <c r="T95" s="43" t="str">
        <f t="shared" si="45"/>
        <v>Segmentos de Produto</v>
      </c>
      <c r="U95" s="43" t="str">
        <f t="shared" si="46"/>
        <v>Segmento de Produto</v>
      </c>
      <c r="V95" s="41" t="s">
        <v>285</v>
      </c>
      <c r="W95" s="60" t="str">
        <f t="shared" si="48"/>
        <v>Key.Fab.95</v>
      </c>
      <c r="X95" s="41" t="s">
        <v>9</v>
      </c>
      <c r="Y95" s="41" t="s">
        <v>9</v>
      </c>
      <c r="Z95" s="50" t="s">
        <v>207</v>
      </c>
      <c r="AA95" s="45" t="str">
        <f t="shared" si="47"/>
        <v>It is a product or element of the heating segment</v>
      </c>
    </row>
    <row r="96" spans="1:27" ht="6.55" customHeight="1" x14ac:dyDescent="0.4">
      <c r="A96" s="51">
        <v>96</v>
      </c>
      <c r="B96" s="52" t="s">
        <v>75</v>
      </c>
      <c r="C96" s="56" t="s">
        <v>248</v>
      </c>
      <c r="D96" s="52" t="s">
        <v>255</v>
      </c>
      <c r="E96" s="52" t="s">
        <v>254</v>
      </c>
      <c r="F96" s="52" t="s">
        <v>243</v>
      </c>
      <c r="G96" s="28" t="s">
        <v>9</v>
      </c>
      <c r="H96" s="28" t="s">
        <v>9</v>
      </c>
      <c r="I96" s="28" t="s">
        <v>9</v>
      </c>
      <c r="J96" s="28" t="s">
        <v>9</v>
      </c>
      <c r="K96" s="28" t="s">
        <v>9</v>
      </c>
      <c r="L96" s="23" t="str">
        <f t="shared" si="40"/>
        <v>Fornecidos</v>
      </c>
      <c r="M96" s="23" t="str">
        <f t="shared" si="41"/>
        <v>Segmentos de Produto</v>
      </c>
      <c r="N96" s="23" t="str">
        <f t="shared" si="42"/>
        <v>Segmento de Produto</v>
      </c>
      <c r="O96" s="23" t="str">
        <f t="shared" si="43"/>
        <v>Produto de Gases</v>
      </c>
      <c r="P96" s="23" t="s">
        <v>317</v>
      </c>
      <c r="Q96" s="26" t="str">
        <f t="shared" si="37"/>
        <v>Es un producto o elemento del segmento de gas</v>
      </c>
      <c r="R96" s="42" t="s">
        <v>9</v>
      </c>
      <c r="S96" s="43" t="str">
        <f t="shared" si="44"/>
        <v>Fornecidos</v>
      </c>
      <c r="T96" s="43" t="str">
        <f t="shared" si="45"/>
        <v>Segmentos de Produto</v>
      </c>
      <c r="U96" s="43" t="str">
        <f t="shared" si="46"/>
        <v>Segmento de Produto</v>
      </c>
      <c r="V96" s="41" t="s">
        <v>285</v>
      </c>
      <c r="W96" s="60" t="str">
        <f t="shared" si="48"/>
        <v>Key.Fab.96</v>
      </c>
      <c r="X96" s="41" t="s">
        <v>9</v>
      </c>
      <c r="Y96" s="41" t="s">
        <v>9</v>
      </c>
      <c r="Z96" s="50" t="s">
        <v>208</v>
      </c>
      <c r="AA96" s="45" t="str">
        <f t="shared" si="47"/>
        <v>It is a product or element of the gas segment</v>
      </c>
    </row>
    <row r="97" spans="1:27" ht="6.55" customHeight="1" x14ac:dyDescent="0.4">
      <c r="A97" s="51">
        <v>97</v>
      </c>
      <c r="B97" s="52" t="s">
        <v>75</v>
      </c>
      <c r="C97" s="56" t="s">
        <v>248</v>
      </c>
      <c r="D97" s="52" t="s">
        <v>255</v>
      </c>
      <c r="E97" s="52" t="s">
        <v>254</v>
      </c>
      <c r="F97" s="52" t="s">
        <v>244</v>
      </c>
      <c r="G97" s="28" t="s">
        <v>9</v>
      </c>
      <c r="H97" s="28" t="s">
        <v>9</v>
      </c>
      <c r="I97" s="28" t="s">
        <v>9</v>
      </c>
      <c r="J97" s="28" t="s">
        <v>9</v>
      </c>
      <c r="K97" s="28" t="s">
        <v>9</v>
      </c>
      <c r="L97" s="23" t="str">
        <f t="shared" si="40"/>
        <v>Fornecidos</v>
      </c>
      <c r="M97" s="23" t="str">
        <f t="shared" si="41"/>
        <v>Segmentos de Produto</v>
      </c>
      <c r="N97" s="23" t="str">
        <f t="shared" si="42"/>
        <v>Segmento de Produto</v>
      </c>
      <c r="O97" s="23" t="str">
        <f t="shared" si="43"/>
        <v>Produto de Mobiliário</v>
      </c>
      <c r="P97" s="23" t="s">
        <v>318</v>
      </c>
      <c r="Q97" s="26" t="str">
        <f t="shared" si="37"/>
        <v>Es un producto o elemento del segmento del mobiliario</v>
      </c>
      <c r="R97" s="42" t="s">
        <v>9</v>
      </c>
      <c r="S97" s="43" t="str">
        <f t="shared" si="44"/>
        <v>Fornecidos</v>
      </c>
      <c r="T97" s="43" t="str">
        <f t="shared" si="45"/>
        <v>Segmentos de Produto</v>
      </c>
      <c r="U97" s="43" t="str">
        <f t="shared" si="46"/>
        <v>Segmento de Produto</v>
      </c>
      <c r="V97" s="41" t="s">
        <v>285</v>
      </c>
      <c r="W97" s="60" t="str">
        <f t="shared" si="48"/>
        <v>Key.Fab.97</v>
      </c>
      <c r="X97" s="41" t="s">
        <v>9</v>
      </c>
      <c r="Y97" s="41" t="s">
        <v>9</v>
      </c>
      <c r="Z97" s="50" t="s">
        <v>209</v>
      </c>
      <c r="AA97" s="45" t="str">
        <f t="shared" si="47"/>
        <v>It is a product or element of the furniture segment</v>
      </c>
    </row>
    <row r="98" spans="1:27" ht="6.55" customHeight="1" x14ac:dyDescent="0.4">
      <c r="A98" s="51">
        <v>98</v>
      </c>
      <c r="B98" s="52" t="s">
        <v>75</v>
      </c>
      <c r="C98" s="56" t="s">
        <v>248</v>
      </c>
      <c r="D98" s="52" t="s">
        <v>255</v>
      </c>
      <c r="E98" s="52" t="s">
        <v>254</v>
      </c>
      <c r="F98" s="52" t="s">
        <v>245</v>
      </c>
      <c r="G98" s="28" t="s">
        <v>9</v>
      </c>
      <c r="H98" s="28" t="s">
        <v>9</v>
      </c>
      <c r="I98" s="28" t="s">
        <v>9</v>
      </c>
      <c r="J98" s="28" t="s">
        <v>9</v>
      </c>
      <c r="K98" s="28" t="s">
        <v>9</v>
      </c>
      <c r="L98" s="23" t="str">
        <f t="shared" si="40"/>
        <v>Fornecidos</v>
      </c>
      <c r="M98" s="23" t="str">
        <f t="shared" si="41"/>
        <v>Segmentos de Produto</v>
      </c>
      <c r="N98" s="23" t="str">
        <f t="shared" si="42"/>
        <v>Segmento de Produto</v>
      </c>
      <c r="O98" s="23" t="str">
        <f t="shared" si="43"/>
        <v>Produto de Automação</v>
      </c>
      <c r="P98" s="23" t="s">
        <v>319</v>
      </c>
      <c r="Q98" s="26" t="str">
        <f t="shared" si="37"/>
        <v>Es un producto o elemento del segmento de automatización</v>
      </c>
      <c r="R98" s="42" t="s">
        <v>9</v>
      </c>
      <c r="S98" s="43" t="str">
        <f t="shared" si="44"/>
        <v>Fornecidos</v>
      </c>
      <c r="T98" s="43" t="str">
        <f t="shared" si="45"/>
        <v>Segmentos de Produto</v>
      </c>
      <c r="U98" s="43" t="str">
        <f t="shared" si="46"/>
        <v>Segmento de Produto</v>
      </c>
      <c r="V98" s="41" t="s">
        <v>285</v>
      </c>
      <c r="W98" s="60" t="str">
        <f t="shared" si="48"/>
        <v>Key.Fab.98</v>
      </c>
      <c r="X98" s="41" t="s">
        <v>9</v>
      </c>
      <c r="Y98" s="41" t="s">
        <v>9</v>
      </c>
      <c r="Z98" s="50" t="s">
        <v>210</v>
      </c>
      <c r="AA98" s="45" t="str">
        <f t="shared" si="47"/>
        <v>It is a product or element of the automation segment</v>
      </c>
    </row>
    <row r="99" spans="1:27" ht="6.55" customHeight="1" x14ac:dyDescent="0.4">
      <c r="A99" s="51">
        <v>99</v>
      </c>
      <c r="B99" s="52" t="s">
        <v>75</v>
      </c>
      <c r="C99" s="56" t="s">
        <v>248</v>
      </c>
      <c r="D99" s="52" t="s">
        <v>255</v>
      </c>
      <c r="E99" s="52" t="s">
        <v>254</v>
      </c>
      <c r="F99" s="52" t="s">
        <v>257</v>
      </c>
      <c r="G99" s="28" t="s">
        <v>9</v>
      </c>
      <c r="H99" s="28" t="s">
        <v>9</v>
      </c>
      <c r="I99" s="28" t="s">
        <v>9</v>
      </c>
      <c r="J99" s="28" t="s">
        <v>9</v>
      </c>
      <c r="K99" s="28" t="s">
        <v>9</v>
      </c>
      <c r="L99" s="23" t="str">
        <f t="shared" si="40"/>
        <v>Fornecidos</v>
      </c>
      <c r="M99" s="23" t="str">
        <f t="shared" si="41"/>
        <v>Segmentos de Produto</v>
      </c>
      <c r="N99" s="23" t="str">
        <f t="shared" si="42"/>
        <v>Segmento de Produto</v>
      </c>
      <c r="O99" s="23" t="str">
        <f t="shared" si="43"/>
        <v>Produto de Proteção de Descargas</v>
      </c>
      <c r="P99" s="23" t="s">
        <v>320</v>
      </c>
      <c r="Q99" s="26" t="str">
        <f t="shared" si="37"/>
        <v>Es un producto o elemento del segmento de protección contra rayos</v>
      </c>
      <c r="R99" s="42" t="s">
        <v>9</v>
      </c>
      <c r="S99" s="43" t="str">
        <f t="shared" si="44"/>
        <v>Fornecidos</v>
      </c>
      <c r="T99" s="43" t="str">
        <f t="shared" si="45"/>
        <v>Segmentos de Produto</v>
      </c>
      <c r="U99" s="43" t="str">
        <f t="shared" si="46"/>
        <v>Segmento de Produto</v>
      </c>
      <c r="V99" s="41" t="s">
        <v>285</v>
      </c>
      <c r="W99" s="60" t="str">
        <f t="shared" si="48"/>
        <v>Key.Fab.99</v>
      </c>
      <c r="X99" s="41" t="s">
        <v>9</v>
      </c>
      <c r="Y99" s="41" t="s">
        <v>9</v>
      </c>
      <c r="Z99" s="50" t="s">
        <v>211</v>
      </c>
      <c r="AA99" s="45" t="str">
        <f t="shared" si="47"/>
        <v>It is a product or element of the lightning protection segment</v>
      </c>
    </row>
    <row r="100" spans="1:27" ht="6.55" customHeight="1" x14ac:dyDescent="0.4">
      <c r="A100" s="51">
        <v>100</v>
      </c>
      <c r="B100" s="52" t="s">
        <v>75</v>
      </c>
      <c r="C100" s="56" t="s">
        <v>248</v>
      </c>
      <c r="D100" s="52" t="s">
        <v>255</v>
      </c>
      <c r="E100" s="52" t="s">
        <v>254</v>
      </c>
      <c r="F100" s="52" t="s">
        <v>246</v>
      </c>
      <c r="G100" s="28" t="s">
        <v>9</v>
      </c>
      <c r="H100" s="28" t="s">
        <v>9</v>
      </c>
      <c r="I100" s="28" t="s">
        <v>9</v>
      </c>
      <c r="J100" s="28" t="s">
        <v>9</v>
      </c>
      <c r="K100" s="28" t="s">
        <v>9</v>
      </c>
      <c r="L100" s="23" t="str">
        <f t="shared" si="40"/>
        <v>Fornecidos</v>
      </c>
      <c r="M100" s="23" t="str">
        <f t="shared" si="41"/>
        <v>Segmentos de Produto</v>
      </c>
      <c r="N100" s="23" t="str">
        <f t="shared" si="42"/>
        <v>Segmento de Produto</v>
      </c>
      <c r="O100" s="23" t="str">
        <f t="shared" si="43"/>
        <v>Produto de Proteção de Incêndio</v>
      </c>
      <c r="P100" s="23" t="s">
        <v>321</v>
      </c>
      <c r="Q100" s="26" t="str">
        <f t="shared" si="37"/>
        <v>Es un producto o elemento del segmento de protección contra incendios</v>
      </c>
      <c r="R100" s="42" t="s">
        <v>9</v>
      </c>
      <c r="S100" s="43" t="str">
        <f t="shared" si="44"/>
        <v>Fornecidos</v>
      </c>
      <c r="T100" s="43" t="str">
        <f t="shared" si="45"/>
        <v>Segmentos de Produto</v>
      </c>
      <c r="U100" s="43" t="str">
        <f t="shared" si="46"/>
        <v>Segmento de Produto</v>
      </c>
      <c r="V100" s="41" t="s">
        <v>285</v>
      </c>
      <c r="W100" s="60" t="str">
        <f t="shared" si="48"/>
        <v>Key.Fab.100</v>
      </c>
      <c r="X100" s="41" t="s">
        <v>9</v>
      </c>
      <c r="Y100" s="41" t="s">
        <v>9</v>
      </c>
      <c r="Z100" s="50" t="s">
        <v>212</v>
      </c>
      <c r="AA100" s="45" t="str">
        <f t="shared" si="47"/>
        <v>It is a product or element of the fire protection segment</v>
      </c>
    </row>
    <row r="101" spans="1:27" ht="6.55" customHeight="1" x14ac:dyDescent="0.4">
      <c r="A101" s="51">
        <v>101</v>
      </c>
      <c r="B101" s="52" t="s">
        <v>75</v>
      </c>
      <c r="C101" s="56" t="s">
        <v>248</v>
      </c>
      <c r="D101" s="52" t="s">
        <v>255</v>
      </c>
      <c r="E101" s="52" t="s">
        <v>254</v>
      </c>
      <c r="F101" s="52" t="s">
        <v>247</v>
      </c>
      <c r="G101" s="28" t="s">
        <v>9</v>
      </c>
      <c r="H101" s="28" t="s">
        <v>9</v>
      </c>
      <c r="I101" s="28" t="s">
        <v>9</v>
      </c>
      <c r="J101" s="28" t="s">
        <v>9</v>
      </c>
      <c r="K101" s="28" t="s">
        <v>9</v>
      </c>
      <c r="L101" s="23" t="str">
        <f t="shared" si="40"/>
        <v>Fornecidos</v>
      </c>
      <c r="M101" s="23" t="str">
        <f t="shared" si="41"/>
        <v>Segmentos de Produto</v>
      </c>
      <c r="N101" s="23" t="str">
        <f t="shared" si="42"/>
        <v>Segmento de Produto</v>
      </c>
      <c r="O101" s="23" t="str">
        <f t="shared" si="43"/>
        <v>Produto de Segurança Patrimonial</v>
      </c>
      <c r="P101" s="23" t="s">
        <v>322</v>
      </c>
      <c r="Q101" s="26" t="str">
        <f t="shared" si="37"/>
        <v>Es un producto o elemento del segmento de seguridad de propiedades</v>
      </c>
      <c r="R101" s="42" t="s">
        <v>9</v>
      </c>
      <c r="S101" s="43" t="str">
        <f t="shared" si="44"/>
        <v>Fornecidos</v>
      </c>
      <c r="T101" s="43" t="str">
        <f t="shared" si="45"/>
        <v>Segmentos de Produto</v>
      </c>
      <c r="U101" s="43" t="str">
        <f t="shared" si="46"/>
        <v>Segmento de Produto</v>
      </c>
      <c r="V101" s="41" t="s">
        <v>285</v>
      </c>
      <c r="W101" s="60" t="str">
        <f t="shared" si="48"/>
        <v>Key.Fab.101</v>
      </c>
      <c r="X101" s="41" t="s">
        <v>9</v>
      </c>
      <c r="Y101" s="41" t="s">
        <v>9</v>
      </c>
      <c r="Z101" s="50" t="s">
        <v>213</v>
      </c>
      <c r="AA101" s="45" t="str">
        <f t="shared" si="47"/>
        <v>It is a product or element of the property security segment</v>
      </c>
    </row>
  </sheetData>
  <phoneticPr fontId="9" type="noConversion"/>
  <conditionalFormatting sqref="F1 F73:F1048576">
    <cfRule type="duplicateValues" dxfId="9" priority="8"/>
  </conditionalFormatting>
  <conditionalFormatting sqref="F2">
    <cfRule type="duplicateValues" dxfId="8" priority="3"/>
    <cfRule type="duplicateValues" dxfId="7" priority="4"/>
  </conditionalFormatting>
  <conditionalFormatting sqref="F3:F72">
    <cfRule type="duplicateValues" dxfId="6" priority="2"/>
  </conditionalFormatting>
  <conditionalFormatting sqref="G1:O1">
    <cfRule type="cellIs" dxfId="5" priority="59" operator="equal">
      <formula>"null"</formula>
    </cfRule>
  </conditionalFormatting>
  <conditionalFormatting sqref="AA1">
    <cfRule type="cellIs" dxfId="4" priority="7" operator="equal">
      <formula>"null"</formula>
    </cfRule>
  </conditionalFormatting>
  <conditionalFormatting sqref="AA3:AA101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235" zoomScaleNormal="235" workbookViewId="0">
      <pane ySplit="1" topLeftCell="A2" activePane="bottomLeft" state="frozen"/>
      <selection activeCell="B2" sqref="B2"/>
      <selection pane="bottomLeft" sqref="A1:XFD1048576"/>
    </sheetView>
  </sheetViews>
  <sheetFormatPr defaultColWidth="5.69140625" defaultRowHeight="7.95" customHeight="1" x14ac:dyDescent="0.2"/>
  <cols>
    <col min="1" max="1" width="1.3046875" style="11" bestFit="1" customWidth="1"/>
    <col min="2" max="10" width="5.07421875" style="12" bestFit="1" customWidth="1"/>
    <col min="11" max="21" width="5.61328125" style="21" bestFit="1" customWidth="1"/>
    <col min="22" max="16384" width="5.69140625" style="21"/>
  </cols>
  <sheetData>
    <row r="1" spans="1:21" ht="7.75" x14ac:dyDescent="0.2">
      <c r="A1" s="19">
        <v>1</v>
      </c>
      <c r="B1" s="20" t="s">
        <v>37</v>
      </c>
      <c r="C1" s="20" t="s">
        <v>38</v>
      </c>
      <c r="D1" s="20" t="s">
        <v>39</v>
      </c>
      <c r="E1" s="20" t="s">
        <v>40</v>
      </c>
      <c r="F1" s="20" t="s">
        <v>41</v>
      </c>
      <c r="G1" s="20" t="s">
        <v>42</v>
      </c>
      <c r="H1" s="20" t="s">
        <v>43</v>
      </c>
      <c r="I1" s="20" t="s">
        <v>44</v>
      </c>
      <c r="J1" s="20" t="s">
        <v>45</v>
      </c>
      <c r="K1" s="20" t="s">
        <v>46</v>
      </c>
      <c r="L1" s="20" t="s">
        <v>47</v>
      </c>
      <c r="M1" s="20" t="s">
        <v>48</v>
      </c>
      <c r="N1" s="20" t="s">
        <v>49</v>
      </c>
      <c r="O1" s="20" t="s">
        <v>50</v>
      </c>
      <c r="P1" s="20" t="s">
        <v>51</v>
      </c>
      <c r="Q1" s="20" t="s">
        <v>52</v>
      </c>
      <c r="R1" s="20" t="s">
        <v>53</v>
      </c>
      <c r="S1" s="20" t="s">
        <v>54</v>
      </c>
      <c r="T1" s="20" t="s">
        <v>55</v>
      </c>
      <c r="U1" s="20" t="s">
        <v>56</v>
      </c>
    </row>
    <row r="2" spans="1:21" ht="7.75" x14ac:dyDescent="0.2">
      <c r="A2" s="19">
        <v>2</v>
      </c>
      <c r="B2" s="22" t="s">
        <v>9</v>
      </c>
      <c r="C2" s="22" t="s">
        <v>9</v>
      </c>
      <c r="D2" s="22" t="s">
        <v>9</v>
      </c>
      <c r="E2" s="22" t="s">
        <v>9</v>
      </c>
      <c r="F2" s="22" t="s">
        <v>9</v>
      </c>
      <c r="G2" s="22" t="s">
        <v>9</v>
      </c>
      <c r="H2" s="22" t="s">
        <v>9</v>
      </c>
      <c r="I2" s="22" t="s">
        <v>9</v>
      </c>
      <c r="J2" s="22" t="s">
        <v>9</v>
      </c>
      <c r="K2" s="22" t="s">
        <v>9</v>
      </c>
      <c r="L2" s="22" t="s">
        <v>9</v>
      </c>
      <c r="M2" s="22" t="s">
        <v>9</v>
      </c>
      <c r="N2" s="22" t="s">
        <v>9</v>
      </c>
      <c r="O2" s="22" t="s">
        <v>9</v>
      </c>
      <c r="P2" s="22" t="s">
        <v>9</v>
      </c>
      <c r="Q2" s="22" t="s">
        <v>9</v>
      </c>
      <c r="R2" s="22" t="s">
        <v>9</v>
      </c>
      <c r="S2" s="22" t="s">
        <v>9</v>
      </c>
      <c r="T2" s="22" t="s">
        <v>9</v>
      </c>
      <c r="U2" s="22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3"/>
  <sheetViews>
    <sheetView zoomScale="370" zoomScaleNormal="370" workbookViewId="0">
      <pane ySplit="1" topLeftCell="A2" activePane="bottomLeft" state="frozen"/>
      <selection activeCell="B2" sqref="B2"/>
      <selection pane="bottomLeft" activeCell="C6" sqref="C6"/>
    </sheetView>
  </sheetViews>
  <sheetFormatPr defaultColWidth="9.15234375" defaultRowHeight="6.75" customHeight="1" x14ac:dyDescent="0.2"/>
  <cols>
    <col min="1" max="1" width="1.3828125" style="13" bestFit="1" customWidth="1"/>
    <col min="2" max="2" width="3.765625" style="13" bestFit="1" customWidth="1"/>
    <col min="3" max="4" width="6.765625" style="13" bestFit="1" customWidth="1"/>
    <col min="5" max="16384" width="9.15234375" style="13"/>
  </cols>
  <sheetData>
    <row r="1" spans="1:4" ht="6.75" customHeight="1" x14ac:dyDescent="0.2">
      <c r="A1" s="8">
        <v>1</v>
      </c>
      <c r="B1" s="9" t="s">
        <v>14</v>
      </c>
      <c r="C1" s="9" t="s">
        <v>76</v>
      </c>
      <c r="D1" s="9" t="s">
        <v>76</v>
      </c>
    </row>
    <row r="2" spans="1:4" ht="6.75" customHeight="1" x14ac:dyDescent="0.2">
      <c r="A2" s="7">
        <v>2</v>
      </c>
      <c r="B2" s="30" t="s">
        <v>9</v>
      </c>
      <c r="C2" s="31" t="s">
        <v>9</v>
      </c>
      <c r="D2" s="31" t="s">
        <v>9</v>
      </c>
    </row>
    <row r="3" spans="1:4" ht="6.75" customHeight="1" x14ac:dyDescent="0.2">
      <c r="A3" s="7">
        <v>3</v>
      </c>
      <c r="B3" s="30" t="s">
        <v>9</v>
      </c>
      <c r="C3" s="31" t="s">
        <v>9</v>
      </c>
      <c r="D3" s="31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50BAA-DAEA-47D5-8FAA-A68A87918655}">
  <dimension ref="A1:AE23"/>
  <sheetViews>
    <sheetView tabSelected="1" zoomScale="325" zoomScaleNormal="325" workbookViewId="0">
      <pane ySplit="1" topLeftCell="A2" activePane="bottomLeft" state="frozen"/>
      <selection pane="bottomLeft" activeCell="C24" sqref="C24"/>
    </sheetView>
  </sheetViews>
  <sheetFormatPr defaultColWidth="9.15234375" defaultRowHeight="6" customHeight="1" x14ac:dyDescent="0.4"/>
  <cols>
    <col min="1" max="1" width="2.53515625" style="55" customWidth="1"/>
    <col min="2" max="2" width="13.23046875" style="55" bestFit="1" customWidth="1"/>
    <col min="3" max="3" width="5.765625" style="55" customWidth="1"/>
    <col min="4" max="4" width="6.765625" style="55" customWidth="1"/>
    <col min="5" max="5" width="8.07421875" style="55" customWidth="1"/>
    <col min="6" max="6" width="2.3828125" style="55" bestFit="1" customWidth="1"/>
    <col min="7" max="7" width="2.84375" style="55" bestFit="1" customWidth="1"/>
    <col min="8" max="8" width="3.15234375" style="63" customWidth="1"/>
    <col min="9" max="9" width="2.84375" style="63" bestFit="1" customWidth="1"/>
    <col min="10" max="10" width="4.61328125" style="63" customWidth="1"/>
    <col min="11" max="11" width="28.921875" style="63" bestFit="1" customWidth="1"/>
    <col min="12" max="12" width="3.765625" style="63" customWidth="1"/>
    <col min="13" max="13" width="21.23046875" style="64" customWidth="1"/>
    <col min="14" max="14" width="6.07421875" style="63" customWidth="1"/>
    <col min="15" max="15" width="60.53515625" style="63" bestFit="1" customWidth="1"/>
    <col min="16" max="16" width="2.3828125" style="63" bestFit="1" customWidth="1"/>
    <col min="17" max="17" width="2.84375" style="65" bestFit="1" customWidth="1"/>
    <col min="18" max="18" width="2.3828125" style="63" bestFit="1" customWidth="1"/>
    <col min="19" max="19" width="2.84375" style="65" bestFit="1" customWidth="1"/>
    <col min="20" max="20" width="2.15234375" style="63" bestFit="1" customWidth="1"/>
    <col min="21" max="21" width="2.84375" style="65" bestFit="1" customWidth="1"/>
    <col min="22" max="22" width="2.3828125" style="63" bestFit="1" customWidth="1"/>
    <col min="23" max="23" width="2.84375" style="65" bestFit="1" customWidth="1"/>
    <col min="24" max="24" width="2.3828125" style="55" bestFit="1" customWidth="1"/>
    <col min="25" max="25" width="2.84375" style="55" bestFit="1" customWidth="1"/>
    <col min="26" max="26" width="2.3828125" style="63" bestFit="1" customWidth="1"/>
    <col min="27" max="27" width="2.84375" style="63" bestFit="1" customWidth="1"/>
    <col min="28" max="28" width="2.3828125" style="63" bestFit="1" customWidth="1"/>
    <col min="29" max="29" width="2.84375" style="63" bestFit="1" customWidth="1"/>
    <col min="30" max="30" width="2.3828125" style="63" bestFit="1" customWidth="1"/>
    <col min="31" max="31" width="2.84375" style="63" bestFit="1" customWidth="1"/>
    <col min="32" max="16384" width="9.15234375" style="55"/>
  </cols>
  <sheetData>
    <row r="1" spans="1:31" ht="14.25" customHeight="1" x14ac:dyDescent="0.4">
      <c r="A1" s="14" t="s">
        <v>30</v>
      </c>
      <c r="B1" s="15" t="s">
        <v>13</v>
      </c>
      <c r="C1" s="15" t="s">
        <v>14</v>
      </c>
      <c r="D1" s="32" t="s">
        <v>15</v>
      </c>
      <c r="E1" s="15" t="s">
        <v>2</v>
      </c>
      <c r="F1" s="32" t="s">
        <v>15</v>
      </c>
      <c r="G1" s="15" t="s">
        <v>2</v>
      </c>
      <c r="H1" s="15" t="s">
        <v>15</v>
      </c>
      <c r="I1" s="15" t="s">
        <v>2</v>
      </c>
      <c r="J1" s="15" t="s">
        <v>15</v>
      </c>
      <c r="K1" s="15" t="s">
        <v>2</v>
      </c>
      <c r="L1" s="15" t="s">
        <v>15</v>
      </c>
      <c r="M1" s="15" t="s">
        <v>2</v>
      </c>
      <c r="N1" s="15" t="s">
        <v>15</v>
      </c>
      <c r="O1" s="15" t="s">
        <v>2</v>
      </c>
      <c r="P1" s="15" t="s">
        <v>15</v>
      </c>
      <c r="Q1" s="14" t="s">
        <v>2</v>
      </c>
      <c r="R1" s="15" t="s">
        <v>15</v>
      </c>
      <c r="S1" s="14" t="s">
        <v>2</v>
      </c>
      <c r="T1" s="40" t="s">
        <v>15</v>
      </c>
      <c r="U1" s="14" t="s">
        <v>2</v>
      </c>
      <c r="V1" s="15" t="s">
        <v>15</v>
      </c>
      <c r="W1" s="14" t="s">
        <v>2</v>
      </c>
      <c r="X1" s="32" t="s">
        <v>15</v>
      </c>
      <c r="Y1" s="32" t="s">
        <v>2</v>
      </c>
      <c r="Z1" s="15" t="s">
        <v>15</v>
      </c>
      <c r="AA1" s="15" t="s">
        <v>2</v>
      </c>
      <c r="AB1" s="15" t="s">
        <v>15</v>
      </c>
      <c r="AC1" s="40" t="s">
        <v>2</v>
      </c>
      <c r="AD1" s="15" t="s">
        <v>15</v>
      </c>
      <c r="AE1" s="40" t="s">
        <v>2</v>
      </c>
    </row>
    <row r="2" spans="1:31" ht="6" customHeight="1" x14ac:dyDescent="0.4">
      <c r="A2" s="16">
        <v>2</v>
      </c>
      <c r="B2" s="17" t="s">
        <v>382</v>
      </c>
      <c r="C2" s="57" t="s">
        <v>94</v>
      </c>
      <c r="D2" s="36" t="s">
        <v>9</v>
      </c>
      <c r="E2" s="37" t="s">
        <v>9</v>
      </c>
      <c r="F2" s="36" t="s">
        <v>9</v>
      </c>
      <c r="G2" s="37" t="s">
        <v>9</v>
      </c>
      <c r="H2" s="36" t="s">
        <v>9</v>
      </c>
      <c r="I2" s="37" t="s">
        <v>9</v>
      </c>
      <c r="J2" s="33" t="s">
        <v>16</v>
      </c>
      <c r="K2" s="18" t="s">
        <v>373</v>
      </c>
      <c r="L2" s="33" t="s">
        <v>9</v>
      </c>
      <c r="M2" s="18" t="s">
        <v>9</v>
      </c>
      <c r="N2" s="33" t="s">
        <v>9</v>
      </c>
      <c r="O2" s="18" t="s">
        <v>9</v>
      </c>
      <c r="P2" s="33" t="s">
        <v>9</v>
      </c>
      <c r="Q2" s="35" t="s">
        <v>9</v>
      </c>
      <c r="R2" s="33" t="s">
        <v>9</v>
      </c>
      <c r="S2" s="35" t="s">
        <v>9</v>
      </c>
      <c r="T2" s="33" t="s">
        <v>9</v>
      </c>
      <c r="U2" s="35" t="s">
        <v>9</v>
      </c>
      <c r="V2" s="33" t="s">
        <v>9</v>
      </c>
      <c r="W2" s="35" t="s">
        <v>9</v>
      </c>
      <c r="X2" s="33" t="s">
        <v>9</v>
      </c>
      <c r="Y2" s="35" t="s">
        <v>9</v>
      </c>
      <c r="Z2" s="33" t="s">
        <v>9</v>
      </c>
      <c r="AA2" s="18" t="s">
        <v>9</v>
      </c>
      <c r="AB2" s="33" t="s">
        <v>9</v>
      </c>
      <c r="AC2" s="18" t="s">
        <v>9</v>
      </c>
      <c r="AD2" s="33" t="s">
        <v>9</v>
      </c>
      <c r="AE2" s="18" t="s">
        <v>9</v>
      </c>
    </row>
    <row r="3" spans="1:31" ht="6" customHeight="1" x14ac:dyDescent="0.4">
      <c r="A3" s="16">
        <v>3</v>
      </c>
      <c r="B3" s="17" t="s">
        <v>381</v>
      </c>
      <c r="C3" s="57" t="s">
        <v>94</v>
      </c>
      <c r="D3" s="36" t="s">
        <v>79</v>
      </c>
      <c r="E3" s="37" t="s">
        <v>382</v>
      </c>
      <c r="F3" s="36" t="s">
        <v>9</v>
      </c>
      <c r="G3" s="37" t="s">
        <v>9</v>
      </c>
      <c r="H3" s="36" t="s">
        <v>9</v>
      </c>
      <c r="I3" s="37" t="s">
        <v>9</v>
      </c>
      <c r="J3" s="33" t="s">
        <v>16</v>
      </c>
      <c r="K3" s="18" t="s">
        <v>378</v>
      </c>
      <c r="L3" s="33" t="s">
        <v>9</v>
      </c>
      <c r="M3" s="18" t="s">
        <v>9</v>
      </c>
      <c r="N3" s="33" t="s">
        <v>9</v>
      </c>
      <c r="O3" s="18" t="s">
        <v>9</v>
      </c>
      <c r="P3" s="33" t="s">
        <v>9</v>
      </c>
      <c r="Q3" s="35" t="s">
        <v>9</v>
      </c>
      <c r="R3" s="33" t="s">
        <v>9</v>
      </c>
      <c r="S3" s="35" t="s">
        <v>9</v>
      </c>
      <c r="T3" s="33" t="s">
        <v>9</v>
      </c>
      <c r="U3" s="35" t="s">
        <v>9</v>
      </c>
      <c r="V3" s="33" t="s">
        <v>9</v>
      </c>
      <c r="W3" s="35" t="s">
        <v>9</v>
      </c>
      <c r="X3" s="33" t="s">
        <v>9</v>
      </c>
      <c r="Y3" s="35" t="s">
        <v>9</v>
      </c>
      <c r="Z3" s="33" t="s">
        <v>9</v>
      </c>
      <c r="AA3" s="18" t="s">
        <v>9</v>
      </c>
      <c r="AB3" s="33" t="s">
        <v>9</v>
      </c>
      <c r="AC3" s="18" t="s">
        <v>9</v>
      </c>
      <c r="AD3" s="33" t="s">
        <v>9</v>
      </c>
      <c r="AE3" s="18" t="s">
        <v>9</v>
      </c>
    </row>
    <row r="4" spans="1:31" ht="6" customHeight="1" x14ac:dyDescent="0.4">
      <c r="A4" s="16">
        <v>4</v>
      </c>
      <c r="B4" s="17" t="s">
        <v>386</v>
      </c>
      <c r="C4" s="57" t="s">
        <v>97</v>
      </c>
      <c r="D4" s="36" t="s">
        <v>79</v>
      </c>
      <c r="E4" s="37" t="s">
        <v>381</v>
      </c>
      <c r="F4" s="36" t="s">
        <v>9</v>
      </c>
      <c r="G4" s="37" t="s">
        <v>9</v>
      </c>
      <c r="H4" s="36" t="s">
        <v>9</v>
      </c>
      <c r="I4" s="37" t="s">
        <v>9</v>
      </c>
      <c r="J4" s="33" t="s">
        <v>16</v>
      </c>
      <c r="K4" s="18" t="s">
        <v>387</v>
      </c>
      <c r="L4" s="33" t="s">
        <v>330</v>
      </c>
      <c r="M4" s="62" t="s">
        <v>388</v>
      </c>
      <c r="N4" s="33" t="s">
        <v>352</v>
      </c>
      <c r="O4" s="18" t="s">
        <v>401</v>
      </c>
      <c r="P4" s="33" t="s">
        <v>9</v>
      </c>
      <c r="Q4" s="35" t="s">
        <v>9</v>
      </c>
      <c r="R4" s="33" t="s">
        <v>9</v>
      </c>
      <c r="S4" s="35" t="s">
        <v>9</v>
      </c>
      <c r="T4" s="33" t="s">
        <v>9</v>
      </c>
      <c r="U4" s="35" t="s">
        <v>9</v>
      </c>
      <c r="V4" s="33" t="s">
        <v>9</v>
      </c>
      <c r="W4" s="35" t="s">
        <v>9</v>
      </c>
      <c r="X4" s="33" t="s">
        <v>9</v>
      </c>
      <c r="Y4" s="35" t="s">
        <v>9</v>
      </c>
      <c r="Z4" s="33" t="s">
        <v>9</v>
      </c>
      <c r="AA4" s="18" t="s">
        <v>9</v>
      </c>
      <c r="AB4" s="33" t="s">
        <v>9</v>
      </c>
      <c r="AC4" s="18" t="s">
        <v>9</v>
      </c>
      <c r="AD4" s="33" t="s">
        <v>9</v>
      </c>
      <c r="AE4" s="18" t="s">
        <v>9</v>
      </c>
    </row>
    <row r="5" spans="1:31" ht="6" customHeight="1" x14ac:dyDescent="0.4">
      <c r="A5" s="16">
        <v>5</v>
      </c>
      <c r="B5" s="17" t="s">
        <v>389</v>
      </c>
      <c r="C5" s="57" t="s">
        <v>97</v>
      </c>
      <c r="D5" s="36" t="s">
        <v>79</v>
      </c>
      <c r="E5" s="37" t="s">
        <v>381</v>
      </c>
      <c r="F5" s="36" t="s">
        <v>9</v>
      </c>
      <c r="G5" s="37" t="s">
        <v>9</v>
      </c>
      <c r="H5" s="36" t="s">
        <v>9</v>
      </c>
      <c r="I5" s="37" t="s">
        <v>9</v>
      </c>
      <c r="J5" s="33" t="s">
        <v>16</v>
      </c>
      <c r="K5" s="18" t="s">
        <v>391</v>
      </c>
      <c r="L5" s="33" t="s">
        <v>330</v>
      </c>
      <c r="M5" s="62" t="s">
        <v>390</v>
      </c>
      <c r="N5" s="33" t="s">
        <v>352</v>
      </c>
      <c r="O5" s="18" t="s">
        <v>392</v>
      </c>
      <c r="P5" s="33" t="s">
        <v>9</v>
      </c>
      <c r="Q5" s="35" t="s">
        <v>9</v>
      </c>
      <c r="R5" s="33" t="s">
        <v>9</v>
      </c>
      <c r="S5" s="35" t="s">
        <v>9</v>
      </c>
      <c r="T5" s="33" t="s">
        <v>9</v>
      </c>
      <c r="U5" s="35" t="s">
        <v>9</v>
      </c>
      <c r="V5" s="33" t="s">
        <v>9</v>
      </c>
      <c r="W5" s="35" t="s">
        <v>9</v>
      </c>
      <c r="X5" s="33" t="s">
        <v>9</v>
      </c>
      <c r="Y5" s="35" t="s">
        <v>9</v>
      </c>
      <c r="Z5" s="33" t="s">
        <v>9</v>
      </c>
      <c r="AA5" s="18" t="s">
        <v>9</v>
      </c>
      <c r="AB5" s="33" t="s">
        <v>9</v>
      </c>
      <c r="AC5" s="18" t="s">
        <v>9</v>
      </c>
      <c r="AD5" s="33" t="s">
        <v>9</v>
      </c>
      <c r="AE5" s="18" t="s">
        <v>9</v>
      </c>
    </row>
    <row r="6" spans="1:31" ht="6" customHeight="1" x14ac:dyDescent="0.4">
      <c r="A6" s="16">
        <v>6</v>
      </c>
      <c r="B6" s="17" t="s">
        <v>331</v>
      </c>
      <c r="C6" s="57" t="s">
        <v>107</v>
      </c>
      <c r="D6" s="36" t="s">
        <v>79</v>
      </c>
      <c r="E6" s="37" t="s">
        <v>381</v>
      </c>
      <c r="F6" s="36" t="s">
        <v>9</v>
      </c>
      <c r="G6" s="37" t="s">
        <v>9</v>
      </c>
      <c r="H6" s="36" t="s">
        <v>9</v>
      </c>
      <c r="I6" s="37" t="s">
        <v>9</v>
      </c>
      <c r="J6" s="33" t="s">
        <v>16</v>
      </c>
      <c r="K6" s="18" t="s">
        <v>359</v>
      </c>
      <c r="L6" s="33" t="s">
        <v>330</v>
      </c>
      <c r="M6" s="62" t="s">
        <v>356</v>
      </c>
      <c r="N6" s="33" t="s">
        <v>352</v>
      </c>
      <c r="O6" s="18" t="s">
        <v>408</v>
      </c>
      <c r="P6" s="33" t="s">
        <v>9</v>
      </c>
      <c r="Q6" s="35" t="s">
        <v>9</v>
      </c>
      <c r="R6" s="33" t="s">
        <v>9</v>
      </c>
      <c r="S6" s="35" t="s">
        <v>9</v>
      </c>
      <c r="T6" s="33" t="s">
        <v>9</v>
      </c>
      <c r="U6" s="35" t="s">
        <v>9</v>
      </c>
      <c r="V6" s="33" t="s">
        <v>9</v>
      </c>
      <c r="W6" s="35" t="s">
        <v>9</v>
      </c>
      <c r="X6" s="33" t="s">
        <v>9</v>
      </c>
      <c r="Y6" s="35" t="s">
        <v>9</v>
      </c>
      <c r="Z6" s="33" t="s">
        <v>9</v>
      </c>
      <c r="AA6" s="18" t="s">
        <v>9</v>
      </c>
      <c r="AB6" s="33" t="s">
        <v>9</v>
      </c>
      <c r="AC6" s="18" t="s">
        <v>9</v>
      </c>
      <c r="AD6" s="33" t="s">
        <v>9</v>
      </c>
      <c r="AE6" s="18" t="s">
        <v>9</v>
      </c>
    </row>
    <row r="7" spans="1:31" ht="6" customHeight="1" x14ac:dyDescent="0.4">
      <c r="A7" s="16">
        <v>7</v>
      </c>
      <c r="B7" s="66" t="s">
        <v>393</v>
      </c>
      <c r="C7" s="57" t="s">
        <v>112</v>
      </c>
      <c r="D7" s="36" t="s">
        <v>79</v>
      </c>
      <c r="E7" s="37" t="s">
        <v>381</v>
      </c>
      <c r="F7" s="36" t="s">
        <v>9</v>
      </c>
      <c r="G7" s="37" t="s">
        <v>9</v>
      </c>
      <c r="H7" s="36" t="s">
        <v>9</v>
      </c>
      <c r="I7" s="37" t="s">
        <v>9</v>
      </c>
      <c r="J7" s="33" t="s">
        <v>16</v>
      </c>
      <c r="K7" s="18" t="s">
        <v>399</v>
      </c>
      <c r="L7" s="33" t="s">
        <v>330</v>
      </c>
      <c r="M7" s="62" t="s">
        <v>398</v>
      </c>
      <c r="N7" s="33" t="s">
        <v>383</v>
      </c>
      <c r="O7" s="18" t="s">
        <v>400</v>
      </c>
      <c r="P7" s="33" t="s">
        <v>9</v>
      </c>
      <c r="Q7" s="35" t="s">
        <v>9</v>
      </c>
      <c r="R7" s="33" t="s">
        <v>9</v>
      </c>
      <c r="S7" s="35" t="s">
        <v>9</v>
      </c>
      <c r="T7" s="33" t="s">
        <v>9</v>
      </c>
      <c r="U7" s="35" t="s">
        <v>9</v>
      </c>
      <c r="V7" s="33" t="s">
        <v>9</v>
      </c>
      <c r="W7" s="35" t="s">
        <v>9</v>
      </c>
      <c r="X7" s="33" t="s">
        <v>9</v>
      </c>
      <c r="Y7" s="35" t="s">
        <v>9</v>
      </c>
      <c r="Z7" s="33" t="s">
        <v>9</v>
      </c>
      <c r="AA7" s="18" t="s">
        <v>9</v>
      </c>
      <c r="AB7" s="33" t="s">
        <v>9</v>
      </c>
      <c r="AC7" s="18" t="s">
        <v>9</v>
      </c>
      <c r="AD7" s="33" t="s">
        <v>9</v>
      </c>
      <c r="AE7" s="18" t="s">
        <v>9</v>
      </c>
    </row>
    <row r="8" spans="1:31" ht="6" customHeight="1" x14ac:dyDescent="0.4">
      <c r="A8" s="16">
        <v>8</v>
      </c>
      <c r="B8" s="66" t="s">
        <v>395</v>
      </c>
      <c r="C8" s="57" t="s">
        <v>112</v>
      </c>
      <c r="D8" s="36" t="s">
        <v>79</v>
      </c>
      <c r="E8" s="37" t="s">
        <v>381</v>
      </c>
      <c r="F8" s="36" t="s">
        <v>9</v>
      </c>
      <c r="G8" s="37" t="s">
        <v>9</v>
      </c>
      <c r="H8" s="36" t="s">
        <v>9</v>
      </c>
      <c r="I8" s="37" t="s">
        <v>9</v>
      </c>
      <c r="J8" s="33" t="s">
        <v>16</v>
      </c>
      <c r="K8" s="18" t="s">
        <v>399</v>
      </c>
      <c r="L8" s="33" t="s">
        <v>330</v>
      </c>
      <c r="M8" s="62" t="s">
        <v>396</v>
      </c>
      <c r="N8" s="33" t="s">
        <v>383</v>
      </c>
      <c r="O8" s="18" t="s">
        <v>409</v>
      </c>
      <c r="P8" s="33" t="s">
        <v>9</v>
      </c>
      <c r="Q8" s="35" t="s">
        <v>9</v>
      </c>
      <c r="R8" s="33" t="s">
        <v>9</v>
      </c>
      <c r="S8" s="35" t="s">
        <v>9</v>
      </c>
      <c r="T8" s="33" t="s">
        <v>9</v>
      </c>
      <c r="U8" s="35" t="s">
        <v>9</v>
      </c>
      <c r="V8" s="33" t="s">
        <v>9</v>
      </c>
      <c r="W8" s="35" t="s">
        <v>9</v>
      </c>
      <c r="X8" s="33" t="s">
        <v>9</v>
      </c>
      <c r="Y8" s="35" t="s">
        <v>9</v>
      </c>
      <c r="Z8" s="33" t="s">
        <v>9</v>
      </c>
      <c r="AA8" s="18" t="s">
        <v>9</v>
      </c>
      <c r="AB8" s="33" t="s">
        <v>9</v>
      </c>
      <c r="AC8" s="18" t="s">
        <v>9</v>
      </c>
      <c r="AD8" s="33" t="s">
        <v>9</v>
      </c>
      <c r="AE8" s="18" t="s">
        <v>9</v>
      </c>
    </row>
    <row r="9" spans="1:31" ht="6" customHeight="1" x14ac:dyDescent="0.4">
      <c r="A9" s="16">
        <v>9</v>
      </c>
      <c r="B9" s="66" t="s">
        <v>394</v>
      </c>
      <c r="C9" s="57" t="s">
        <v>112</v>
      </c>
      <c r="D9" s="36" t="s">
        <v>79</v>
      </c>
      <c r="E9" s="37" t="s">
        <v>381</v>
      </c>
      <c r="F9" s="36" t="s">
        <v>9</v>
      </c>
      <c r="G9" s="37" t="s">
        <v>9</v>
      </c>
      <c r="H9" s="36" t="s">
        <v>9</v>
      </c>
      <c r="I9" s="37" t="s">
        <v>9</v>
      </c>
      <c r="J9" s="33" t="s">
        <v>16</v>
      </c>
      <c r="K9" s="18" t="s">
        <v>399</v>
      </c>
      <c r="L9" s="33" t="s">
        <v>330</v>
      </c>
      <c r="M9" s="62" t="s">
        <v>397</v>
      </c>
      <c r="N9" s="33" t="s">
        <v>383</v>
      </c>
      <c r="O9" s="18" t="s">
        <v>410</v>
      </c>
      <c r="P9" s="33" t="s">
        <v>9</v>
      </c>
      <c r="Q9" s="35" t="s">
        <v>9</v>
      </c>
      <c r="R9" s="33" t="s">
        <v>9</v>
      </c>
      <c r="S9" s="35" t="s">
        <v>9</v>
      </c>
      <c r="T9" s="33" t="s">
        <v>9</v>
      </c>
      <c r="U9" s="35" t="s">
        <v>9</v>
      </c>
      <c r="V9" s="33" t="s">
        <v>9</v>
      </c>
      <c r="W9" s="35" t="s">
        <v>9</v>
      </c>
      <c r="X9" s="33" t="s">
        <v>9</v>
      </c>
      <c r="Y9" s="35" t="s">
        <v>9</v>
      </c>
      <c r="Z9" s="33" t="s">
        <v>9</v>
      </c>
      <c r="AA9" s="18" t="s">
        <v>9</v>
      </c>
      <c r="AB9" s="33" t="s">
        <v>9</v>
      </c>
      <c r="AC9" s="18" t="s">
        <v>9</v>
      </c>
      <c r="AD9" s="33" t="s">
        <v>9</v>
      </c>
      <c r="AE9" s="18" t="s">
        <v>9</v>
      </c>
    </row>
    <row r="10" spans="1:31" ht="6" customHeight="1" x14ac:dyDescent="0.4">
      <c r="A10" s="16">
        <v>10</v>
      </c>
      <c r="B10" s="17" t="s">
        <v>415</v>
      </c>
      <c r="C10" s="57" t="s">
        <v>116</v>
      </c>
      <c r="D10" s="36" t="s">
        <v>79</v>
      </c>
      <c r="E10" s="37" t="s">
        <v>381</v>
      </c>
      <c r="F10" s="36" t="s">
        <v>9</v>
      </c>
      <c r="G10" s="37" t="s">
        <v>9</v>
      </c>
      <c r="H10" s="36" t="s">
        <v>9</v>
      </c>
      <c r="I10" s="37" t="s">
        <v>9</v>
      </c>
      <c r="J10" s="33" t="s">
        <v>16</v>
      </c>
      <c r="K10" s="18" t="s">
        <v>416</v>
      </c>
      <c r="L10" s="33" t="s">
        <v>330</v>
      </c>
      <c r="M10" s="61" t="s">
        <v>417</v>
      </c>
      <c r="N10" s="33" t="s">
        <v>352</v>
      </c>
      <c r="O10" s="18" t="s">
        <v>418</v>
      </c>
      <c r="P10" s="33" t="s">
        <v>9</v>
      </c>
      <c r="Q10" s="35" t="s">
        <v>9</v>
      </c>
      <c r="R10" s="33" t="s">
        <v>9</v>
      </c>
      <c r="S10" s="35" t="s">
        <v>9</v>
      </c>
      <c r="T10" s="33" t="s">
        <v>9</v>
      </c>
      <c r="U10" s="35" t="s">
        <v>9</v>
      </c>
      <c r="V10" s="33" t="s">
        <v>9</v>
      </c>
      <c r="W10" s="35" t="s">
        <v>9</v>
      </c>
      <c r="X10" s="33" t="s">
        <v>9</v>
      </c>
      <c r="Y10" s="35" t="s">
        <v>9</v>
      </c>
      <c r="Z10" s="33" t="s">
        <v>9</v>
      </c>
      <c r="AA10" s="18" t="s">
        <v>9</v>
      </c>
      <c r="AB10" s="33" t="s">
        <v>9</v>
      </c>
      <c r="AC10" s="18" t="s">
        <v>9</v>
      </c>
      <c r="AD10" s="33" t="s">
        <v>9</v>
      </c>
      <c r="AE10" s="18" t="s">
        <v>9</v>
      </c>
    </row>
    <row r="11" spans="1:31" ht="6" customHeight="1" x14ac:dyDescent="0.4">
      <c r="A11" s="16">
        <v>11</v>
      </c>
      <c r="B11" s="17" t="s">
        <v>411</v>
      </c>
      <c r="C11" s="57" t="s">
        <v>263</v>
      </c>
      <c r="D11" s="36" t="s">
        <v>79</v>
      </c>
      <c r="E11" s="37" t="s">
        <v>381</v>
      </c>
      <c r="F11" s="36" t="s">
        <v>9</v>
      </c>
      <c r="G11" s="37" t="s">
        <v>9</v>
      </c>
      <c r="H11" s="36" t="s">
        <v>9</v>
      </c>
      <c r="I11" s="37" t="s">
        <v>9</v>
      </c>
      <c r="J11" s="33" t="s">
        <v>16</v>
      </c>
      <c r="K11" s="18" t="s">
        <v>412</v>
      </c>
      <c r="L11" s="33" t="s">
        <v>330</v>
      </c>
      <c r="M11" s="61" t="s">
        <v>413</v>
      </c>
      <c r="N11" s="33" t="s">
        <v>352</v>
      </c>
      <c r="O11" s="18" t="s">
        <v>414</v>
      </c>
      <c r="P11" s="33" t="s">
        <v>9</v>
      </c>
      <c r="Q11" s="35" t="s">
        <v>9</v>
      </c>
      <c r="R11" s="33" t="s">
        <v>9</v>
      </c>
      <c r="S11" s="35" t="s">
        <v>9</v>
      </c>
      <c r="T11" s="33" t="s">
        <v>9</v>
      </c>
      <c r="U11" s="35" t="s">
        <v>9</v>
      </c>
      <c r="V11" s="33" t="s">
        <v>9</v>
      </c>
      <c r="W11" s="35" t="s">
        <v>9</v>
      </c>
      <c r="X11" s="33" t="s">
        <v>9</v>
      </c>
      <c r="Y11" s="35" t="s">
        <v>9</v>
      </c>
      <c r="Z11" s="33" t="s">
        <v>9</v>
      </c>
      <c r="AA11" s="18" t="s">
        <v>9</v>
      </c>
      <c r="AB11" s="33" t="s">
        <v>9</v>
      </c>
      <c r="AC11" s="18" t="s">
        <v>9</v>
      </c>
      <c r="AD11" s="33" t="s">
        <v>9</v>
      </c>
      <c r="AE11" s="18" t="s">
        <v>9</v>
      </c>
    </row>
    <row r="12" spans="1:31" ht="6" customHeight="1" x14ac:dyDescent="0.4">
      <c r="A12" s="16">
        <v>12</v>
      </c>
      <c r="B12" s="17" t="s">
        <v>368</v>
      </c>
      <c r="C12" s="57" t="s">
        <v>107</v>
      </c>
      <c r="D12" s="36" t="s">
        <v>79</v>
      </c>
      <c r="E12" s="37" t="s">
        <v>381</v>
      </c>
      <c r="F12" s="36" t="s">
        <v>9</v>
      </c>
      <c r="G12" s="37" t="s">
        <v>9</v>
      </c>
      <c r="H12" s="36" t="s">
        <v>9</v>
      </c>
      <c r="I12" s="37" t="s">
        <v>9</v>
      </c>
      <c r="J12" s="33" t="s">
        <v>16</v>
      </c>
      <c r="K12" s="18" t="s">
        <v>372</v>
      </c>
      <c r="L12" s="33" t="s">
        <v>330</v>
      </c>
      <c r="M12" s="61" t="s">
        <v>371</v>
      </c>
      <c r="N12" s="33" t="s">
        <v>352</v>
      </c>
      <c r="O12" s="18" t="s">
        <v>402</v>
      </c>
      <c r="P12" s="33" t="s">
        <v>9</v>
      </c>
      <c r="Q12" s="35" t="s">
        <v>9</v>
      </c>
      <c r="R12" s="33" t="s">
        <v>9</v>
      </c>
      <c r="S12" s="35" t="s">
        <v>9</v>
      </c>
      <c r="T12" s="33" t="s">
        <v>9</v>
      </c>
      <c r="U12" s="35" t="s">
        <v>9</v>
      </c>
      <c r="V12" s="33" t="s">
        <v>9</v>
      </c>
      <c r="W12" s="35" t="s">
        <v>9</v>
      </c>
      <c r="X12" s="33" t="s">
        <v>9</v>
      </c>
      <c r="Y12" s="35" t="s">
        <v>9</v>
      </c>
      <c r="Z12" s="33" t="s">
        <v>9</v>
      </c>
      <c r="AA12" s="18" t="s">
        <v>9</v>
      </c>
      <c r="AB12" s="33" t="s">
        <v>9</v>
      </c>
      <c r="AC12" s="18" t="s">
        <v>9</v>
      </c>
      <c r="AD12" s="33" t="s">
        <v>9</v>
      </c>
      <c r="AE12" s="18" t="s">
        <v>9</v>
      </c>
    </row>
    <row r="13" spans="1:31" ht="6" customHeight="1" x14ac:dyDescent="0.4">
      <c r="A13" s="16">
        <v>13</v>
      </c>
      <c r="B13" s="17" t="s">
        <v>385</v>
      </c>
      <c r="C13" s="57" t="s">
        <v>107</v>
      </c>
      <c r="D13" s="36" t="s">
        <v>79</v>
      </c>
      <c r="E13" s="37" t="s">
        <v>381</v>
      </c>
      <c r="F13" s="36" t="s">
        <v>9</v>
      </c>
      <c r="G13" s="37" t="s">
        <v>9</v>
      </c>
      <c r="H13" s="36" t="s">
        <v>9</v>
      </c>
      <c r="I13" s="37" t="s">
        <v>9</v>
      </c>
      <c r="J13" s="33" t="s">
        <v>16</v>
      </c>
      <c r="K13" s="18" t="s">
        <v>372</v>
      </c>
      <c r="L13" s="33" t="s">
        <v>330</v>
      </c>
      <c r="M13" s="61" t="s">
        <v>384</v>
      </c>
      <c r="N13" s="33" t="s">
        <v>352</v>
      </c>
      <c r="O13" s="18" t="s">
        <v>402</v>
      </c>
      <c r="P13" s="33" t="s">
        <v>9</v>
      </c>
      <c r="Q13" s="35" t="s">
        <v>9</v>
      </c>
      <c r="R13" s="33" t="s">
        <v>9</v>
      </c>
      <c r="S13" s="35" t="s">
        <v>9</v>
      </c>
      <c r="T13" s="33" t="s">
        <v>9</v>
      </c>
      <c r="U13" s="35" t="s">
        <v>9</v>
      </c>
      <c r="V13" s="33" t="s">
        <v>9</v>
      </c>
      <c r="W13" s="35" t="s">
        <v>9</v>
      </c>
      <c r="X13" s="33" t="s">
        <v>9</v>
      </c>
      <c r="Y13" s="35" t="s">
        <v>9</v>
      </c>
      <c r="Z13" s="33" t="s">
        <v>9</v>
      </c>
      <c r="AA13" s="18" t="s">
        <v>9</v>
      </c>
      <c r="AB13" s="33" t="s">
        <v>9</v>
      </c>
      <c r="AC13" s="18" t="s">
        <v>9</v>
      </c>
      <c r="AD13" s="33" t="s">
        <v>9</v>
      </c>
      <c r="AE13" s="18" t="s">
        <v>9</v>
      </c>
    </row>
    <row r="14" spans="1:31" ht="6" customHeight="1" x14ac:dyDescent="0.4">
      <c r="A14" s="16">
        <v>14</v>
      </c>
      <c r="B14" s="17" t="s">
        <v>327</v>
      </c>
      <c r="C14" s="57" t="s">
        <v>107</v>
      </c>
      <c r="D14" s="36" t="s">
        <v>79</v>
      </c>
      <c r="E14" s="37" t="s">
        <v>381</v>
      </c>
      <c r="F14" s="36" t="s">
        <v>9</v>
      </c>
      <c r="G14" s="37" t="s">
        <v>9</v>
      </c>
      <c r="H14" s="36" t="s">
        <v>9</v>
      </c>
      <c r="I14" s="37" t="s">
        <v>9</v>
      </c>
      <c r="J14" s="33" t="s">
        <v>16</v>
      </c>
      <c r="K14" s="18" t="s">
        <v>360</v>
      </c>
      <c r="L14" s="33" t="s">
        <v>330</v>
      </c>
      <c r="M14" s="62" t="s">
        <v>357</v>
      </c>
      <c r="N14" s="33" t="s">
        <v>352</v>
      </c>
      <c r="O14" s="18" t="s">
        <v>403</v>
      </c>
      <c r="P14" s="33" t="s">
        <v>9</v>
      </c>
      <c r="Q14" s="35" t="s">
        <v>9</v>
      </c>
      <c r="R14" s="33" t="s">
        <v>9</v>
      </c>
      <c r="S14" s="35" t="s">
        <v>9</v>
      </c>
      <c r="T14" s="33" t="s">
        <v>9</v>
      </c>
      <c r="U14" s="35" t="s">
        <v>9</v>
      </c>
      <c r="V14" s="33" t="s">
        <v>9</v>
      </c>
      <c r="W14" s="35" t="s">
        <v>9</v>
      </c>
      <c r="X14" s="33" t="s">
        <v>9</v>
      </c>
      <c r="Y14" s="35" t="s">
        <v>9</v>
      </c>
      <c r="Z14" s="33" t="s">
        <v>9</v>
      </c>
      <c r="AA14" s="18" t="s">
        <v>9</v>
      </c>
      <c r="AB14" s="33" t="s">
        <v>9</v>
      </c>
      <c r="AC14" s="18" t="s">
        <v>9</v>
      </c>
      <c r="AD14" s="33" t="s">
        <v>9</v>
      </c>
      <c r="AE14" s="18" t="s">
        <v>9</v>
      </c>
    </row>
    <row r="15" spans="1:31" ht="6" customHeight="1" x14ac:dyDescent="0.4">
      <c r="A15" s="16">
        <v>15</v>
      </c>
      <c r="B15" s="17" t="s">
        <v>328</v>
      </c>
      <c r="C15" s="57" t="s">
        <v>288</v>
      </c>
      <c r="D15" s="36" t="s">
        <v>79</v>
      </c>
      <c r="E15" s="37" t="s">
        <v>381</v>
      </c>
      <c r="F15" s="36" t="s">
        <v>9</v>
      </c>
      <c r="G15" s="37" t="s">
        <v>9</v>
      </c>
      <c r="H15" s="36" t="s">
        <v>9</v>
      </c>
      <c r="I15" s="37" t="s">
        <v>9</v>
      </c>
      <c r="J15" s="33" t="s">
        <v>16</v>
      </c>
      <c r="K15" s="18" t="s">
        <v>361</v>
      </c>
      <c r="L15" s="33" t="s">
        <v>330</v>
      </c>
      <c r="M15" s="62" t="s">
        <v>358</v>
      </c>
      <c r="N15" s="33" t="s">
        <v>352</v>
      </c>
      <c r="O15" s="18" t="s">
        <v>404</v>
      </c>
      <c r="P15" s="33" t="s">
        <v>9</v>
      </c>
      <c r="Q15" s="35" t="s">
        <v>9</v>
      </c>
      <c r="R15" s="33" t="s">
        <v>9</v>
      </c>
      <c r="S15" s="35" t="s">
        <v>9</v>
      </c>
      <c r="T15" s="33" t="s">
        <v>9</v>
      </c>
      <c r="U15" s="35" t="s">
        <v>9</v>
      </c>
      <c r="V15" s="33" t="s">
        <v>9</v>
      </c>
      <c r="W15" s="35" t="s">
        <v>9</v>
      </c>
      <c r="X15" s="33" t="s">
        <v>9</v>
      </c>
      <c r="Y15" s="35" t="s">
        <v>9</v>
      </c>
      <c r="Z15" s="33" t="s">
        <v>9</v>
      </c>
      <c r="AA15" s="18" t="s">
        <v>9</v>
      </c>
      <c r="AB15" s="33" t="s">
        <v>9</v>
      </c>
      <c r="AC15" s="18" t="s">
        <v>9</v>
      </c>
      <c r="AD15" s="33" t="s">
        <v>9</v>
      </c>
      <c r="AE15" s="18" t="s">
        <v>9</v>
      </c>
    </row>
    <row r="16" spans="1:31" ht="6" customHeight="1" x14ac:dyDescent="0.4">
      <c r="A16" s="16">
        <v>16</v>
      </c>
      <c r="B16" s="17" t="s">
        <v>353</v>
      </c>
      <c r="C16" s="57" t="s">
        <v>103</v>
      </c>
      <c r="D16" s="36" t="s">
        <v>79</v>
      </c>
      <c r="E16" s="37" t="s">
        <v>381</v>
      </c>
      <c r="F16" s="36" t="s">
        <v>9</v>
      </c>
      <c r="G16" s="37" t="s">
        <v>9</v>
      </c>
      <c r="H16" s="36" t="s">
        <v>9</v>
      </c>
      <c r="I16" s="37" t="s">
        <v>9</v>
      </c>
      <c r="J16" s="33" t="s">
        <v>16</v>
      </c>
      <c r="K16" s="18" t="s">
        <v>362</v>
      </c>
      <c r="L16" s="33" t="s">
        <v>330</v>
      </c>
      <c r="M16" s="61" t="s">
        <v>379</v>
      </c>
      <c r="N16" s="33" t="s">
        <v>352</v>
      </c>
      <c r="O16" s="18" t="s">
        <v>405</v>
      </c>
      <c r="P16" s="33" t="s">
        <v>9</v>
      </c>
      <c r="Q16" s="35" t="s">
        <v>9</v>
      </c>
      <c r="R16" s="33" t="s">
        <v>9</v>
      </c>
      <c r="S16" s="35" t="s">
        <v>9</v>
      </c>
      <c r="T16" s="33" t="s">
        <v>9</v>
      </c>
      <c r="U16" s="35" t="s">
        <v>9</v>
      </c>
      <c r="V16" s="33" t="s">
        <v>9</v>
      </c>
      <c r="W16" s="35" t="s">
        <v>9</v>
      </c>
      <c r="X16" s="33" t="s">
        <v>9</v>
      </c>
      <c r="Y16" s="35" t="s">
        <v>9</v>
      </c>
      <c r="Z16" s="33" t="s">
        <v>9</v>
      </c>
      <c r="AA16" s="18" t="s">
        <v>9</v>
      </c>
      <c r="AB16" s="33" t="s">
        <v>9</v>
      </c>
      <c r="AC16" s="18" t="s">
        <v>9</v>
      </c>
      <c r="AD16" s="33" t="s">
        <v>9</v>
      </c>
      <c r="AE16" s="18" t="s">
        <v>9</v>
      </c>
    </row>
    <row r="17" spans="1:31" ht="6" customHeight="1" x14ac:dyDescent="0.4">
      <c r="A17" s="16">
        <v>17</v>
      </c>
      <c r="B17" s="17" t="s">
        <v>354</v>
      </c>
      <c r="C17" s="57" t="s">
        <v>103</v>
      </c>
      <c r="D17" s="36" t="s">
        <v>79</v>
      </c>
      <c r="E17" s="37" t="s">
        <v>381</v>
      </c>
      <c r="F17" s="36" t="s">
        <v>9</v>
      </c>
      <c r="G17" s="37" t="s">
        <v>9</v>
      </c>
      <c r="H17" s="36" t="s">
        <v>9</v>
      </c>
      <c r="I17" s="37" t="s">
        <v>9</v>
      </c>
      <c r="J17" s="33" t="s">
        <v>16</v>
      </c>
      <c r="K17" s="18" t="s">
        <v>363</v>
      </c>
      <c r="L17" s="33" t="s">
        <v>330</v>
      </c>
      <c r="M17" s="61" t="s">
        <v>355</v>
      </c>
      <c r="N17" s="33" t="s">
        <v>352</v>
      </c>
      <c r="O17" s="18" t="s">
        <v>406</v>
      </c>
      <c r="P17" s="33" t="s">
        <v>9</v>
      </c>
      <c r="Q17" s="35" t="s">
        <v>9</v>
      </c>
      <c r="R17" s="33" t="s">
        <v>9</v>
      </c>
      <c r="S17" s="35" t="s">
        <v>9</v>
      </c>
      <c r="T17" s="33" t="s">
        <v>9</v>
      </c>
      <c r="U17" s="35" t="s">
        <v>9</v>
      </c>
      <c r="V17" s="33" t="s">
        <v>9</v>
      </c>
      <c r="W17" s="35" t="s">
        <v>9</v>
      </c>
      <c r="X17" s="33" t="s">
        <v>9</v>
      </c>
      <c r="Y17" s="35" t="s">
        <v>9</v>
      </c>
      <c r="Z17" s="33" t="s">
        <v>9</v>
      </c>
      <c r="AA17" s="18" t="s">
        <v>9</v>
      </c>
      <c r="AB17" s="33" t="s">
        <v>9</v>
      </c>
      <c r="AC17" s="18" t="s">
        <v>9</v>
      </c>
      <c r="AD17" s="33" t="s">
        <v>9</v>
      </c>
      <c r="AE17" s="18" t="s">
        <v>9</v>
      </c>
    </row>
    <row r="18" spans="1:31" ht="6" customHeight="1" x14ac:dyDescent="0.4">
      <c r="A18" s="16">
        <v>18</v>
      </c>
      <c r="B18" s="17" t="s">
        <v>369</v>
      </c>
      <c r="C18" s="57" t="s">
        <v>291</v>
      </c>
      <c r="D18" s="36" t="s">
        <v>79</v>
      </c>
      <c r="E18" s="37" t="s">
        <v>381</v>
      </c>
      <c r="F18" s="36" t="s">
        <v>9</v>
      </c>
      <c r="G18" s="37" t="s">
        <v>9</v>
      </c>
      <c r="H18" s="36" t="s">
        <v>9</v>
      </c>
      <c r="I18" s="37" t="s">
        <v>9</v>
      </c>
      <c r="J18" s="33" t="s">
        <v>16</v>
      </c>
      <c r="K18" s="18" t="s">
        <v>380</v>
      </c>
      <c r="L18" s="33" t="s">
        <v>330</v>
      </c>
      <c r="M18" s="61" t="s">
        <v>370</v>
      </c>
      <c r="N18" s="33" t="s">
        <v>383</v>
      </c>
      <c r="O18" s="18" t="s">
        <v>407</v>
      </c>
      <c r="P18" s="33" t="s">
        <v>9</v>
      </c>
      <c r="Q18" s="35" t="s">
        <v>9</v>
      </c>
      <c r="R18" s="33" t="s">
        <v>9</v>
      </c>
      <c r="S18" s="35" t="s">
        <v>9</v>
      </c>
      <c r="T18" s="33" t="s">
        <v>9</v>
      </c>
      <c r="U18" s="35" t="s">
        <v>9</v>
      </c>
      <c r="V18" s="33" t="s">
        <v>9</v>
      </c>
      <c r="W18" s="35" t="s">
        <v>9</v>
      </c>
      <c r="X18" s="33" t="s">
        <v>9</v>
      </c>
      <c r="Y18" s="35" t="s">
        <v>9</v>
      </c>
      <c r="Z18" s="33" t="s">
        <v>9</v>
      </c>
      <c r="AA18" s="18" t="s">
        <v>9</v>
      </c>
      <c r="AB18" s="33" t="s">
        <v>9</v>
      </c>
      <c r="AC18" s="18" t="s">
        <v>9</v>
      </c>
      <c r="AD18" s="33" t="s">
        <v>9</v>
      </c>
      <c r="AE18" s="18" t="s">
        <v>9</v>
      </c>
    </row>
    <row r="19" spans="1:31" ht="6" customHeight="1" x14ac:dyDescent="0.4">
      <c r="A19" s="16">
        <v>19</v>
      </c>
      <c r="B19" s="17" t="s">
        <v>364</v>
      </c>
      <c r="C19" s="57" t="s">
        <v>94</v>
      </c>
      <c r="D19" s="36" t="s">
        <v>79</v>
      </c>
      <c r="E19" s="37" t="s">
        <v>382</v>
      </c>
      <c r="F19" s="36" t="s">
        <v>9</v>
      </c>
      <c r="G19" s="37" t="s">
        <v>9</v>
      </c>
      <c r="H19" s="36" t="s">
        <v>9</v>
      </c>
      <c r="I19" s="37" t="s">
        <v>9</v>
      </c>
      <c r="J19" s="33" t="s">
        <v>16</v>
      </c>
      <c r="K19" s="18" t="s">
        <v>374</v>
      </c>
      <c r="L19" s="33" t="s">
        <v>9</v>
      </c>
      <c r="M19" s="18" t="s">
        <v>9</v>
      </c>
      <c r="N19" s="33" t="s">
        <v>9</v>
      </c>
      <c r="O19" s="18" t="s">
        <v>9</v>
      </c>
      <c r="P19" s="33" t="s">
        <v>9</v>
      </c>
      <c r="Q19" s="35" t="s">
        <v>9</v>
      </c>
      <c r="R19" s="33" t="s">
        <v>9</v>
      </c>
      <c r="S19" s="35" t="s">
        <v>9</v>
      </c>
      <c r="T19" s="33" t="s">
        <v>9</v>
      </c>
      <c r="U19" s="35" t="s">
        <v>9</v>
      </c>
      <c r="V19" s="33" t="s">
        <v>9</v>
      </c>
      <c r="W19" s="35" t="s">
        <v>9</v>
      </c>
      <c r="X19" s="33" t="s">
        <v>9</v>
      </c>
      <c r="Y19" s="35" t="s">
        <v>9</v>
      </c>
      <c r="Z19" s="33" t="s">
        <v>9</v>
      </c>
      <c r="AA19" s="18" t="s">
        <v>9</v>
      </c>
      <c r="AB19" s="33" t="s">
        <v>9</v>
      </c>
      <c r="AC19" s="18" t="s">
        <v>9</v>
      </c>
      <c r="AD19" s="33" t="s">
        <v>9</v>
      </c>
      <c r="AE19" s="18" t="s">
        <v>9</v>
      </c>
    </row>
    <row r="20" spans="1:31" ht="6" customHeight="1" x14ac:dyDescent="0.4">
      <c r="A20" s="16">
        <v>20</v>
      </c>
      <c r="B20" s="17" t="s">
        <v>365</v>
      </c>
      <c r="C20" s="57" t="s">
        <v>94</v>
      </c>
      <c r="D20" s="36" t="s">
        <v>79</v>
      </c>
      <c r="E20" s="37" t="s">
        <v>382</v>
      </c>
      <c r="F20" s="36" t="s">
        <v>9</v>
      </c>
      <c r="G20" s="37" t="s">
        <v>9</v>
      </c>
      <c r="H20" s="36" t="s">
        <v>9</v>
      </c>
      <c r="I20" s="37" t="s">
        <v>9</v>
      </c>
      <c r="J20" s="33" t="s">
        <v>16</v>
      </c>
      <c r="K20" s="18" t="s">
        <v>375</v>
      </c>
      <c r="L20" s="33" t="s">
        <v>9</v>
      </c>
      <c r="M20" s="18" t="s">
        <v>9</v>
      </c>
      <c r="N20" s="33" t="s">
        <v>9</v>
      </c>
      <c r="O20" s="18" t="s">
        <v>9</v>
      </c>
      <c r="P20" s="33" t="s">
        <v>9</v>
      </c>
      <c r="Q20" s="35" t="s">
        <v>9</v>
      </c>
      <c r="R20" s="33" t="s">
        <v>9</v>
      </c>
      <c r="S20" s="35" t="s">
        <v>9</v>
      </c>
      <c r="T20" s="33" t="s">
        <v>9</v>
      </c>
      <c r="U20" s="35" t="s">
        <v>9</v>
      </c>
      <c r="V20" s="33" t="s">
        <v>9</v>
      </c>
      <c r="W20" s="35" t="s">
        <v>9</v>
      </c>
      <c r="X20" s="33" t="s">
        <v>9</v>
      </c>
      <c r="Y20" s="35" t="s">
        <v>9</v>
      </c>
      <c r="Z20" s="33" t="s">
        <v>9</v>
      </c>
      <c r="AA20" s="18" t="s">
        <v>9</v>
      </c>
      <c r="AB20" s="33" t="s">
        <v>9</v>
      </c>
      <c r="AC20" s="18" t="s">
        <v>9</v>
      </c>
      <c r="AD20" s="33" t="s">
        <v>9</v>
      </c>
      <c r="AE20" s="18" t="s">
        <v>9</v>
      </c>
    </row>
    <row r="21" spans="1:31" ht="6" customHeight="1" x14ac:dyDescent="0.4">
      <c r="A21" s="16">
        <v>21</v>
      </c>
      <c r="B21" s="17" t="s">
        <v>366</v>
      </c>
      <c r="C21" s="57" t="s">
        <v>94</v>
      </c>
      <c r="D21" s="36" t="s">
        <v>79</v>
      </c>
      <c r="E21" s="37" t="s">
        <v>382</v>
      </c>
      <c r="F21" s="36" t="s">
        <v>9</v>
      </c>
      <c r="G21" s="37" t="s">
        <v>9</v>
      </c>
      <c r="H21" s="36" t="s">
        <v>9</v>
      </c>
      <c r="I21" s="37" t="s">
        <v>9</v>
      </c>
      <c r="J21" s="33" t="s">
        <v>16</v>
      </c>
      <c r="K21" s="18" t="s">
        <v>376</v>
      </c>
      <c r="L21" s="33" t="s">
        <v>9</v>
      </c>
      <c r="M21" s="18" t="s">
        <v>9</v>
      </c>
      <c r="N21" s="33" t="s">
        <v>9</v>
      </c>
      <c r="O21" s="18" t="s">
        <v>9</v>
      </c>
      <c r="P21" s="33" t="s">
        <v>9</v>
      </c>
      <c r="Q21" s="35" t="s">
        <v>9</v>
      </c>
      <c r="R21" s="33" t="s">
        <v>9</v>
      </c>
      <c r="S21" s="35" t="s">
        <v>9</v>
      </c>
      <c r="T21" s="33" t="s">
        <v>9</v>
      </c>
      <c r="U21" s="35" t="s">
        <v>9</v>
      </c>
      <c r="V21" s="33" t="s">
        <v>9</v>
      </c>
      <c r="W21" s="35" t="s">
        <v>9</v>
      </c>
      <c r="X21" s="33" t="s">
        <v>9</v>
      </c>
      <c r="Y21" s="35" t="s">
        <v>9</v>
      </c>
      <c r="Z21" s="33" t="s">
        <v>9</v>
      </c>
      <c r="AA21" s="18" t="s">
        <v>9</v>
      </c>
      <c r="AB21" s="33" t="s">
        <v>9</v>
      </c>
      <c r="AC21" s="18" t="s">
        <v>9</v>
      </c>
      <c r="AD21" s="33" t="s">
        <v>9</v>
      </c>
      <c r="AE21" s="18" t="s">
        <v>9</v>
      </c>
    </row>
    <row r="22" spans="1:31" ht="6" customHeight="1" x14ac:dyDescent="0.4">
      <c r="A22" s="16">
        <v>22</v>
      </c>
      <c r="B22" s="17" t="s">
        <v>367</v>
      </c>
      <c r="C22" s="57" t="s">
        <v>94</v>
      </c>
      <c r="D22" s="36" t="s">
        <v>79</v>
      </c>
      <c r="E22" s="37" t="s">
        <v>382</v>
      </c>
      <c r="F22" s="36" t="s">
        <v>9</v>
      </c>
      <c r="G22" s="37" t="s">
        <v>9</v>
      </c>
      <c r="H22" s="36" t="s">
        <v>9</v>
      </c>
      <c r="I22" s="37" t="s">
        <v>9</v>
      </c>
      <c r="J22" s="33" t="s">
        <v>16</v>
      </c>
      <c r="K22" s="18" t="s">
        <v>377</v>
      </c>
      <c r="L22" s="33" t="s">
        <v>9</v>
      </c>
      <c r="M22" s="18" t="s">
        <v>9</v>
      </c>
      <c r="N22" s="33" t="s">
        <v>9</v>
      </c>
      <c r="O22" s="18" t="s">
        <v>9</v>
      </c>
      <c r="P22" s="33" t="s">
        <v>9</v>
      </c>
      <c r="Q22" s="35" t="s">
        <v>9</v>
      </c>
      <c r="R22" s="33" t="s">
        <v>9</v>
      </c>
      <c r="S22" s="35" t="s">
        <v>9</v>
      </c>
      <c r="T22" s="33" t="s">
        <v>9</v>
      </c>
      <c r="U22" s="35" t="s">
        <v>9</v>
      </c>
      <c r="V22" s="33" t="s">
        <v>9</v>
      </c>
      <c r="W22" s="35" t="s">
        <v>9</v>
      </c>
      <c r="X22" s="33" t="s">
        <v>9</v>
      </c>
      <c r="Y22" s="35" t="s">
        <v>9</v>
      </c>
      <c r="Z22" s="33" t="s">
        <v>9</v>
      </c>
      <c r="AA22" s="18" t="s">
        <v>9</v>
      </c>
      <c r="AB22" s="33" t="s">
        <v>9</v>
      </c>
      <c r="AC22" s="18" t="s">
        <v>9</v>
      </c>
      <c r="AD22" s="33" t="s">
        <v>9</v>
      </c>
      <c r="AE22" s="18" t="s">
        <v>9</v>
      </c>
    </row>
    <row r="23" spans="1:31" ht="6" customHeight="1" x14ac:dyDescent="0.4">
      <c r="A23" s="16">
        <v>23</v>
      </c>
      <c r="B23" s="17" t="s">
        <v>419</v>
      </c>
      <c r="C23" s="57" t="s">
        <v>94</v>
      </c>
      <c r="D23" s="36" t="s">
        <v>79</v>
      </c>
      <c r="E23" s="37" t="s">
        <v>382</v>
      </c>
      <c r="F23" s="36" t="s">
        <v>9</v>
      </c>
      <c r="G23" s="37" t="s">
        <v>9</v>
      </c>
      <c r="H23" s="36" t="s">
        <v>9</v>
      </c>
      <c r="I23" s="37" t="s">
        <v>9</v>
      </c>
      <c r="J23" s="33" t="s">
        <v>16</v>
      </c>
      <c r="K23" s="18" t="s">
        <v>420</v>
      </c>
      <c r="L23" s="33" t="s">
        <v>9</v>
      </c>
      <c r="M23" s="18" t="s">
        <v>9</v>
      </c>
      <c r="N23" s="33" t="s">
        <v>9</v>
      </c>
      <c r="O23" s="18" t="s">
        <v>9</v>
      </c>
      <c r="P23" s="33" t="s">
        <v>9</v>
      </c>
      <c r="Q23" s="35" t="s">
        <v>9</v>
      </c>
      <c r="R23" s="33" t="s">
        <v>9</v>
      </c>
      <c r="S23" s="35" t="s">
        <v>9</v>
      </c>
      <c r="T23" s="33" t="s">
        <v>9</v>
      </c>
      <c r="U23" s="35" t="s">
        <v>9</v>
      </c>
      <c r="V23" s="33" t="s">
        <v>9</v>
      </c>
      <c r="W23" s="35" t="s">
        <v>9</v>
      </c>
      <c r="X23" s="33" t="s">
        <v>9</v>
      </c>
      <c r="Y23" s="35" t="s">
        <v>9</v>
      </c>
      <c r="Z23" s="33" t="s">
        <v>9</v>
      </c>
      <c r="AA23" s="18" t="s">
        <v>9</v>
      </c>
      <c r="AB23" s="33" t="s">
        <v>9</v>
      </c>
      <c r="AC23" s="18" t="s">
        <v>9</v>
      </c>
      <c r="AD23" s="33" t="s">
        <v>9</v>
      </c>
      <c r="AE23" s="18" t="s">
        <v>9</v>
      </c>
    </row>
  </sheetData>
  <phoneticPr fontId="9" type="noConversion"/>
  <conditionalFormatting sqref="B1:B1048576">
    <cfRule type="duplicateValues" dxfId="2" priority="162"/>
  </conditionalFormatting>
  <conditionalFormatting sqref="B1:B6 B10:B23">
    <cfRule type="duplicateValues" dxfId="1" priority="513"/>
    <cfRule type="duplicateValues" dxfId="0" priority="514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2025-12-22T16:18:22Z</dcterms:modified>
</cp:coreProperties>
</file>