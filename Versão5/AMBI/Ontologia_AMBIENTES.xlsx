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MBI\"/>
    </mc:Choice>
  </mc:AlternateContent>
  <xr:revisionPtr revIDLastSave="0" documentId="13_ncr:1_{ADC11D63-1F25-4F1E-8E96-83F359E7FF80}" xr6:coauthVersionLast="47" xr6:coauthVersionMax="47" xr10:uidLastSave="{00000000-0000-0000-0000-000000000000}"/>
  <bookViews>
    <workbookView xWindow="-120" yWindow="-120" windowWidth="24240" windowHeight="13290" tabRatio="520" activeTab="1" xr2:uid="{00000000-000D-0000-FFFF-FFFF00000000}"/>
  </bookViews>
  <sheets>
    <sheet name="Projeto" sheetId="13" r:id="rId1"/>
    <sheet name="Classes" sheetId="9" r:id="rId2"/>
    <sheet name="Disjunt" sheetId="3" r:id="rId3"/>
    <sheet name="Interop" sheetId="15" r:id="rId4"/>
    <sheet name="FatosIn" sheetId="17" r:id="rId5"/>
  </sheets>
  <definedNames>
    <definedName name="_xlnm._FilterDatabase" localSheetId="1" hidden="1">Classes!$C$1:$C$1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0" i="9" l="1"/>
  <c r="U190" i="9"/>
  <c r="T190" i="9"/>
  <c r="S190" i="9"/>
  <c r="O190" i="9"/>
  <c r="N190" i="9"/>
  <c r="M190" i="9"/>
  <c r="L190" i="9"/>
  <c r="W189" i="9"/>
  <c r="U189" i="9"/>
  <c r="T189" i="9"/>
  <c r="S189" i="9"/>
  <c r="O189" i="9"/>
  <c r="N189" i="9"/>
  <c r="M189" i="9"/>
  <c r="L189" i="9"/>
  <c r="W188" i="9"/>
  <c r="U188" i="9"/>
  <c r="T188" i="9"/>
  <c r="S188" i="9"/>
  <c r="O188" i="9"/>
  <c r="N188" i="9"/>
  <c r="M188" i="9"/>
  <c r="L188" i="9"/>
  <c r="W187" i="9"/>
  <c r="U187" i="9"/>
  <c r="T187" i="9"/>
  <c r="S187" i="9"/>
  <c r="O187" i="9"/>
  <c r="N187" i="9"/>
  <c r="M187" i="9"/>
  <c r="L187" i="9"/>
  <c r="W182" i="9"/>
  <c r="U182" i="9"/>
  <c r="T182" i="9"/>
  <c r="S182" i="9"/>
  <c r="O182" i="9"/>
  <c r="N182" i="9"/>
  <c r="M182" i="9"/>
  <c r="L182" i="9"/>
  <c r="W176" i="9"/>
  <c r="U176" i="9"/>
  <c r="T176" i="9"/>
  <c r="S176" i="9"/>
  <c r="O176" i="9"/>
  <c r="N176" i="9"/>
  <c r="M176" i="9"/>
  <c r="L176" i="9"/>
  <c r="W179" i="9"/>
  <c r="U179" i="9"/>
  <c r="T179" i="9"/>
  <c r="S179" i="9"/>
  <c r="O179" i="9"/>
  <c r="N179" i="9"/>
  <c r="M179" i="9"/>
  <c r="L179" i="9"/>
  <c r="W178" i="9"/>
  <c r="U178" i="9"/>
  <c r="T178" i="9"/>
  <c r="S178" i="9"/>
  <c r="O178" i="9"/>
  <c r="N178" i="9"/>
  <c r="M178" i="9"/>
  <c r="L178" i="9"/>
  <c r="W175" i="9"/>
  <c r="U175" i="9"/>
  <c r="T175" i="9"/>
  <c r="S175" i="9"/>
  <c r="O175" i="9"/>
  <c r="N175" i="9"/>
  <c r="M175" i="9"/>
  <c r="L175" i="9"/>
  <c r="W174" i="9"/>
  <c r="W177" i="9"/>
  <c r="W180" i="9"/>
  <c r="W181" i="9"/>
  <c r="W183" i="9"/>
  <c r="W184" i="9"/>
  <c r="W185" i="9"/>
  <c r="W186" i="9"/>
  <c r="N185" i="9"/>
  <c r="U185" i="9"/>
  <c r="T185" i="9"/>
  <c r="S185" i="9"/>
  <c r="O185" i="9"/>
  <c r="M185" i="9"/>
  <c r="L185" i="9"/>
  <c r="U186" i="9"/>
  <c r="T186" i="9"/>
  <c r="S186" i="9"/>
  <c r="O186" i="9"/>
  <c r="N186" i="9"/>
  <c r="M186" i="9"/>
  <c r="L186" i="9"/>
  <c r="U184" i="9"/>
  <c r="T184" i="9"/>
  <c r="S184" i="9"/>
  <c r="O184" i="9"/>
  <c r="N184" i="9"/>
  <c r="M184" i="9"/>
  <c r="L184" i="9"/>
  <c r="U183" i="9"/>
  <c r="T183" i="9"/>
  <c r="S183" i="9"/>
  <c r="O183" i="9"/>
  <c r="N183" i="9"/>
  <c r="M183" i="9"/>
  <c r="L183" i="9"/>
  <c r="U181" i="9"/>
  <c r="T181" i="9"/>
  <c r="S181" i="9"/>
  <c r="O181" i="9"/>
  <c r="N181" i="9"/>
  <c r="M181" i="9"/>
  <c r="L181" i="9"/>
  <c r="U180" i="9"/>
  <c r="T180" i="9"/>
  <c r="S180" i="9"/>
  <c r="O180" i="9"/>
  <c r="N180" i="9"/>
  <c r="M180" i="9"/>
  <c r="L180" i="9"/>
  <c r="U177" i="9"/>
  <c r="T177" i="9"/>
  <c r="S177" i="9"/>
  <c r="O177" i="9"/>
  <c r="N177" i="9"/>
  <c r="M177" i="9"/>
  <c r="L177" i="9"/>
  <c r="U174" i="9"/>
  <c r="T174" i="9"/>
  <c r="S174" i="9"/>
  <c r="O174" i="9"/>
  <c r="N174" i="9"/>
  <c r="M174" i="9"/>
  <c r="L174" i="9"/>
  <c r="W173" i="9"/>
  <c r="U173" i="9"/>
  <c r="T173" i="9"/>
  <c r="S173" i="9"/>
  <c r="O173" i="9"/>
  <c r="N173" i="9"/>
  <c r="M173" i="9"/>
  <c r="L173" i="9"/>
  <c r="W172" i="9"/>
  <c r="U172" i="9"/>
  <c r="T172" i="9"/>
  <c r="S172" i="9"/>
  <c r="O172" i="9"/>
  <c r="N172" i="9"/>
  <c r="M172" i="9"/>
  <c r="L172" i="9"/>
  <c r="W171" i="9"/>
  <c r="U171" i="9"/>
  <c r="T171" i="9"/>
  <c r="S171" i="9"/>
  <c r="O171" i="9"/>
  <c r="N171" i="9"/>
  <c r="M171" i="9"/>
  <c r="L171" i="9"/>
  <c r="W170" i="9"/>
  <c r="U170" i="9"/>
  <c r="T170" i="9"/>
  <c r="S170" i="9"/>
  <c r="O170" i="9"/>
  <c r="N170" i="9"/>
  <c r="M170" i="9"/>
  <c r="L170" i="9"/>
  <c r="W169" i="9"/>
  <c r="U169" i="9"/>
  <c r="T169" i="9"/>
  <c r="S169" i="9"/>
  <c r="O169" i="9"/>
  <c r="N169" i="9"/>
  <c r="M169" i="9"/>
  <c r="L169" i="9"/>
  <c r="W168" i="9"/>
  <c r="U168" i="9"/>
  <c r="T168" i="9"/>
  <c r="S168" i="9"/>
  <c r="O168" i="9"/>
  <c r="N168" i="9"/>
  <c r="M168" i="9"/>
  <c r="L168" i="9"/>
  <c r="W167" i="9"/>
  <c r="U167" i="9"/>
  <c r="T167" i="9"/>
  <c r="S167" i="9"/>
  <c r="O167" i="9"/>
  <c r="N167" i="9"/>
  <c r="M167" i="9"/>
  <c r="L167" i="9"/>
  <c r="W166" i="9"/>
  <c r="U166" i="9"/>
  <c r="T166" i="9"/>
  <c r="S166" i="9"/>
  <c r="O166" i="9"/>
  <c r="N166" i="9"/>
  <c r="M166" i="9"/>
  <c r="L166" i="9"/>
  <c r="W165" i="9"/>
  <c r="U165" i="9"/>
  <c r="T165" i="9"/>
  <c r="S165" i="9"/>
  <c r="O165" i="9"/>
  <c r="N165" i="9"/>
  <c r="M165" i="9"/>
  <c r="L165" i="9"/>
  <c r="W164" i="9"/>
  <c r="U164" i="9"/>
  <c r="T164" i="9"/>
  <c r="S164" i="9"/>
  <c r="O164" i="9"/>
  <c r="N164" i="9"/>
  <c r="M164" i="9"/>
  <c r="L164" i="9"/>
  <c r="W163" i="9"/>
  <c r="U163" i="9"/>
  <c r="T163" i="9"/>
  <c r="S163" i="9"/>
  <c r="O163" i="9"/>
  <c r="N163" i="9"/>
  <c r="M163" i="9"/>
  <c r="L163" i="9"/>
  <c r="W162" i="9"/>
  <c r="U162" i="9"/>
  <c r="T162" i="9"/>
  <c r="S162" i="9"/>
  <c r="O162" i="9"/>
  <c r="N162" i="9"/>
  <c r="M162" i="9"/>
  <c r="L162" i="9"/>
  <c r="W161" i="9"/>
  <c r="U161" i="9"/>
  <c r="T161" i="9"/>
  <c r="S161" i="9"/>
  <c r="O161" i="9"/>
  <c r="N161" i="9"/>
  <c r="M161" i="9"/>
  <c r="L161" i="9"/>
  <c r="W160" i="9"/>
  <c r="U160" i="9"/>
  <c r="T160" i="9"/>
  <c r="S160" i="9"/>
  <c r="O160" i="9"/>
  <c r="N160" i="9"/>
  <c r="M160" i="9"/>
  <c r="L160" i="9"/>
  <c r="W159" i="9"/>
  <c r="U159" i="9"/>
  <c r="T159" i="9"/>
  <c r="S159" i="9"/>
  <c r="O159" i="9"/>
  <c r="N159" i="9"/>
  <c r="M159" i="9"/>
  <c r="L159" i="9"/>
  <c r="W158" i="9"/>
  <c r="U158" i="9"/>
  <c r="T158" i="9"/>
  <c r="S158" i="9"/>
  <c r="O158" i="9"/>
  <c r="N158" i="9"/>
  <c r="M158" i="9"/>
  <c r="L158" i="9"/>
  <c r="W157" i="9"/>
  <c r="U157" i="9"/>
  <c r="T157" i="9"/>
  <c r="S157" i="9"/>
  <c r="O157" i="9"/>
  <c r="N157" i="9"/>
  <c r="M157" i="9"/>
  <c r="L157" i="9"/>
  <c r="W156" i="9"/>
  <c r="U156" i="9"/>
  <c r="T156" i="9"/>
  <c r="S156" i="9"/>
  <c r="O156" i="9"/>
  <c r="N156" i="9"/>
  <c r="M156" i="9"/>
  <c r="L156" i="9"/>
  <c r="W155" i="9"/>
  <c r="U155" i="9"/>
  <c r="T155" i="9"/>
  <c r="S155" i="9"/>
  <c r="O155" i="9"/>
  <c r="N155" i="9"/>
  <c r="M155" i="9"/>
  <c r="L155" i="9"/>
  <c r="W154" i="9"/>
  <c r="U154" i="9"/>
  <c r="T154" i="9"/>
  <c r="S154" i="9"/>
  <c r="O154" i="9"/>
  <c r="N154" i="9"/>
  <c r="M154" i="9"/>
  <c r="L154" i="9"/>
  <c r="W153" i="9"/>
  <c r="U153" i="9"/>
  <c r="T153" i="9"/>
  <c r="S153" i="9"/>
  <c r="O153" i="9"/>
  <c r="N153" i="9"/>
  <c r="M153" i="9"/>
  <c r="L153" i="9"/>
  <c r="W152" i="9"/>
  <c r="U152" i="9"/>
  <c r="T152" i="9"/>
  <c r="S152" i="9"/>
  <c r="O152" i="9"/>
  <c r="N152" i="9"/>
  <c r="M152" i="9"/>
  <c r="L152" i="9"/>
  <c r="W151" i="9"/>
  <c r="U151" i="9"/>
  <c r="T151" i="9"/>
  <c r="S151" i="9"/>
  <c r="O151" i="9"/>
  <c r="N151" i="9"/>
  <c r="M151" i="9"/>
  <c r="L151" i="9"/>
  <c r="W150" i="9"/>
  <c r="U150" i="9"/>
  <c r="T150" i="9"/>
  <c r="S150" i="9"/>
  <c r="O150" i="9"/>
  <c r="N150" i="9"/>
  <c r="M150" i="9"/>
  <c r="L150" i="9"/>
  <c r="W149" i="9"/>
  <c r="U149" i="9"/>
  <c r="T149" i="9"/>
  <c r="S149" i="9"/>
  <c r="O149" i="9"/>
  <c r="N149" i="9"/>
  <c r="M149" i="9"/>
  <c r="L149" i="9"/>
  <c r="W148" i="9"/>
  <c r="U148" i="9"/>
  <c r="T148" i="9"/>
  <c r="S148" i="9"/>
  <c r="O148" i="9"/>
  <c r="N148" i="9"/>
  <c r="M148" i="9"/>
  <c r="L148" i="9"/>
  <c r="W147" i="9"/>
  <c r="U147" i="9"/>
  <c r="T147" i="9"/>
  <c r="S147" i="9"/>
  <c r="O147" i="9"/>
  <c r="N147" i="9"/>
  <c r="M147" i="9"/>
  <c r="L147" i="9"/>
  <c r="W146" i="9"/>
  <c r="U146" i="9"/>
  <c r="T146" i="9"/>
  <c r="S146" i="9"/>
  <c r="O146" i="9"/>
  <c r="N146" i="9"/>
  <c r="M146" i="9"/>
  <c r="L146" i="9"/>
  <c r="W145" i="9"/>
  <c r="U145" i="9"/>
  <c r="T145" i="9"/>
  <c r="S145" i="9"/>
  <c r="O145" i="9"/>
  <c r="N145" i="9"/>
  <c r="M145" i="9"/>
  <c r="L145" i="9"/>
  <c r="W144" i="9"/>
  <c r="U144" i="9"/>
  <c r="T144" i="9"/>
  <c r="S144" i="9"/>
  <c r="O144" i="9"/>
  <c r="N144" i="9"/>
  <c r="M144" i="9"/>
  <c r="L144" i="9"/>
  <c r="W143" i="9"/>
  <c r="U143" i="9"/>
  <c r="T143" i="9"/>
  <c r="S143" i="9"/>
  <c r="O143" i="9"/>
  <c r="N143" i="9"/>
  <c r="M143" i="9"/>
  <c r="L143" i="9"/>
  <c r="W142" i="9"/>
  <c r="U142" i="9"/>
  <c r="T142" i="9"/>
  <c r="S142" i="9"/>
  <c r="O142" i="9"/>
  <c r="N142" i="9"/>
  <c r="M142" i="9"/>
  <c r="L142" i="9"/>
  <c r="W141" i="9"/>
  <c r="U141" i="9"/>
  <c r="T141" i="9"/>
  <c r="S141" i="9"/>
  <c r="O141" i="9"/>
  <c r="N141" i="9"/>
  <c r="M141" i="9"/>
  <c r="L141" i="9"/>
  <c r="W140" i="9"/>
  <c r="U140" i="9"/>
  <c r="T140" i="9"/>
  <c r="S140" i="9"/>
  <c r="O140" i="9"/>
  <c r="N140" i="9"/>
  <c r="M140" i="9"/>
  <c r="L140" i="9"/>
  <c r="W139" i="9"/>
  <c r="U139" i="9"/>
  <c r="T139" i="9"/>
  <c r="S139" i="9"/>
  <c r="O139" i="9"/>
  <c r="N139" i="9"/>
  <c r="M139" i="9"/>
  <c r="L139" i="9"/>
  <c r="W138" i="9"/>
  <c r="U138" i="9"/>
  <c r="T138" i="9"/>
  <c r="S138" i="9"/>
  <c r="O138" i="9"/>
  <c r="N138" i="9"/>
  <c r="M138" i="9"/>
  <c r="L138" i="9"/>
  <c r="W137" i="9"/>
  <c r="U137" i="9"/>
  <c r="T137" i="9"/>
  <c r="S137" i="9"/>
  <c r="O137" i="9"/>
  <c r="N137" i="9"/>
  <c r="M137" i="9"/>
  <c r="L137" i="9"/>
  <c r="W136" i="9"/>
  <c r="U136" i="9"/>
  <c r="T136" i="9"/>
  <c r="S136" i="9"/>
  <c r="O136" i="9"/>
  <c r="N136" i="9"/>
  <c r="M136" i="9"/>
  <c r="L136" i="9"/>
  <c r="W135" i="9"/>
  <c r="U135" i="9"/>
  <c r="T135" i="9"/>
  <c r="S135" i="9"/>
  <c r="O135" i="9"/>
  <c r="N135" i="9"/>
  <c r="M135" i="9"/>
  <c r="L135" i="9"/>
  <c r="W134" i="9"/>
  <c r="U134" i="9"/>
  <c r="T134" i="9"/>
  <c r="S134" i="9"/>
  <c r="O134" i="9"/>
  <c r="N134" i="9"/>
  <c r="M134" i="9"/>
  <c r="L134" i="9"/>
  <c r="W133" i="9"/>
  <c r="U133" i="9"/>
  <c r="T133" i="9"/>
  <c r="S133" i="9"/>
  <c r="O133" i="9"/>
  <c r="N133" i="9"/>
  <c r="M133" i="9"/>
  <c r="L133" i="9"/>
  <c r="W132" i="9"/>
  <c r="U132" i="9"/>
  <c r="T132" i="9"/>
  <c r="S132" i="9"/>
  <c r="O132" i="9"/>
  <c r="N132" i="9"/>
  <c r="M132" i="9"/>
  <c r="L132" i="9"/>
  <c r="W131" i="9"/>
  <c r="U131" i="9"/>
  <c r="T131" i="9"/>
  <c r="S131" i="9"/>
  <c r="O131" i="9"/>
  <c r="N131" i="9"/>
  <c r="M131" i="9"/>
  <c r="L131" i="9"/>
  <c r="W130" i="9"/>
  <c r="U130" i="9"/>
  <c r="T130" i="9"/>
  <c r="S130" i="9"/>
  <c r="O130" i="9"/>
  <c r="N130" i="9"/>
  <c r="M130" i="9"/>
  <c r="L130" i="9"/>
  <c r="W129" i="9"/>
  <c r="U129" i="9"/>
  <c r="T129" i="9"/>
  <c r="S129" i="9"/>
  <c r="O129" i="9"/>
  <c r="N129" i="9"/>
  <c r="M129" i="9"/>
  <c r="L129" i="9"/>
  <c r="W128" i="9"/>
  <c r="U128" i="9"/>
  <c r="T128" i="9"/>
  <c r="S128" i="9"/>
  <c r="O128" i="9"/>
  <c r="N128" i="9"/>
  <c r="M128" i="9"/>
  <c r="L128" i="9"/>
  <c r="W127" i="9"/>
  <c r="U127" i="9"/>
  <c r="T127" i="9"/>
  <c r="S127" i="9"/>
  <c r="O127" i="9"/>
  <c r="N127" i="9"/>
  <c r="M127" i="9"/>
  <c r="L127" i="9"/>
  <c r="W126" i="9"/>
  <c r="U126" i="9"/>
  <c r="T126" i="9"/>
  <c r="S126" i="9"/>
  <c r="O126" i="9"/>
  <c r="N126" i="9"/>
  <c r="M126" i="9"/>
  <c r="L126" i="9"/>
  <c r="W125" i="9"/>
  <c r="U125" i="9"/>
  <c r="T125" i="9"/>
  <c r="S125" i="9"/>
  <c r="O125" i="9"/>
  <c r="N125" i="9"/>
  <c r="M125" i="9"/>
  <c r="L125" i="9"/>
  <c r="W124" i="9"/>
  <c r="U124" i="9"/>
  <c r="T124" i="9"/>
  <c r="S124" i="9"/>
  <c r="O124" i="9"/>
  <c r="N124" i="9"/>
  <c r="M124" i="9"/>
  <c r="L124" i="9"/>
  <c r="W123" i="9"/>
  <c r="U123" i="9"/>
  <c r="T123" i="9"/>
  <c r="S123" i="9"/>
  <c r="O123" i="9"/>
  <c r="N123" i="9"/>
  <c r="M123" i="9"/>
  <c r="L123" i="9"/>
  <c r="W122" i="9"/>
  <c r="U122" i="9"/>
  <c r="T122" i="9"/>
  <c r="S122" i="9"/>
  <c r="O122" i="9"/>
  <c r="N122" i="9"/>
  <c r="M122" i="9"/>
  <c r="L122" i="9"/>
  <c r="W121" i="9"/>
  <c r="U121" i="9"/>
  <c r="T121" i="9"/>
  <c r="S121" i="9"/>
  <c r="O121" i="9"/>
  <c r="N121" i="9"/>
  <c r="M121" i="9"/>
  <c r="L121" i="9"/>
  <c r="W120" i="9"/>
  <c r="U120" i="9"/>
  <c r="T120" i="9"/>
  <c r="S120" i="9"/>
  <c r="O120" i="9"/>
  <c r="N120" i="9"/>
  <c r="M120" i="9"/>
  <c r="L120" i="9"/>
  <c r="W119" i="9"/>
  <c r="U119" i="9"/>
  <c r="T119" i="9"/>
  <c r="S119" i="9"/>
  <c r="O119" i="9"/>
  <c r="N119" i="9"/>
  <c r="M119" i="9"/>
  <c r="L119" i="9"/>
  <c r="W118" i="9"/>
  <c r="U118" i="9"/>
  <c r="T118" i="9"/>
  <c r="S118" i="9"/>
  <c r="O118" i="9"/>
  <c r="N118" i="9"/>
  <c r="M118" i="9"/>
  <c r="L118" i="9"/>
  <c r="W117" i="9"/>
  <c r="U117" i="9"/>
  <c r="T117" i="9"/>
  <c r="S117" i="9"/>
  <c r="O117" i="9"/>
  <c r="N117" i="9"/>
  <c r="M117" i="9"/>
  <c r="L117" i="9"/>
  <c r="W116" i="9"/>
  <c r="U116" i="9"/>
  <c r="T116" i="9"/>
  <c r="S116" i="9"/>
  <c r="O116" i="9"/>
  <c r="N116" i="9"/>
  <c r="M116" i="9"/>
  <c r="L116" i="9"/>
  <c r="W115" i="9"/>
  <c r="U115" i="9"/>
  <c r="T115" i="9"/>
  <c r="S115" i="9"/>
  <c r="O115" i="9"/>
  <c r="N115" i="9"/>
  <c r="M115" i="9"/>
  <c r="L115" i="9"/>
  <c r="W114" i="9"/>
  <c r="U114" i="9"/>
  <c r="T114" i="9"/>
  <c r="S114" i="9"/>
  <c r="O114" i="9"/>
  <c r="N114" i="9"/>
  <c r="M114" i="9"/>
  <c r="L114" i="9"/>
  <c r="W113" i="9"/>
  <c r="U113" i="9"/>
  <c r="T113" i="9"/>
  <c r="S113" i="9"/>
  <c r="O113" i="9"/>
  <c r="N113" i="9"/>
  <c r="M113" i="9"/>
  <c r="L113" i="9"/>
  <c r="W112" i="9"/>
  <c r="U112" i="9"/>
  <c r="T112" i="9"/>
  <c r="S112" i="9"/>
  <c r="O112" i="9"/>
  <c r="N112" i="9"/>
  <c r="M112" i="9"/>
  <c r="L112" i="9"/>
  <c r="W111" i="9"/>
  <c r="U111" i="9"/>
  <c r="T111" i="9"/>
  <c r="S111" i="9"/>
  <c r="O111" i="9"/>
  <c r="N111" i="9"/>
  <c r="M111" i="9"/>
  <c r="L111" i="9"/>
  <c r="W110" i="9"/>
  <c r="U110" i="9"/>
  <c r="T110" i="9"/>
  <c r="S110" i="9"/>
  <c r="O110" i="9"/>
  <c r="N110" i="9"/>
  <c r="M110" i="9"/>
  <c r="L110" i="9"/>
  <c r="W109" i="9"/>
  <c r="U109" i="9"/>
  <c r="T109" i="9"/>
  <c r="S109" i="9"/>
  <c r="O109" i="9"/>
  <c r="N109" i="9"/>
  <c r="M109" i="9"/>
  <c r="L109" i="9"/>
  <c r="W108" i="9"/>
  <c r="U108" i="9"/>
  <c r="T108" i="9"/>
  <c r="S108" i="9"/>
  <c r="O108" i="9"/>
  <c r="N108" i="9"/>
  <c r="M108" i="9"/>
  <c r="L108" i="9"/>
  <c r="W107" i="9"/>
  <c r="U107" i="9"/>
  <c r="T107" i="9"/>
  <c r="S107" i="9"/>
  <c r="O107" i="9"/>
  <c r="N107" i="9"/>
  <c r="M107" i="9"/>
  <c r="L107" i="9"/>
  <c r="W106" i="9"/>
  <c r="U106" i="9"/>
  <c r="T106" i="9"/>
  <c r="S106" i="9"/>
  <c r="O106" i="9"/>
  <c r="N106" i="9"/>
  <c r="M106" i="9"/>
  <c r="L106" i="9"/>
  <c r="W105" i="9"/>
  <c r="U105" i="9"/>
  <c r="T105" i="9"/>
  <c r="S105" i="9"/>
  <c r="O105" i="9"/>
  <c r="N105" i="9"/>
  <c r="M105" i="9"/>
  <c r="L105" i="9"/>
  <c r="W104" i="9"/>
  <c r="U104" i="9"/>
  <c r="T104" i="9"/>
  <c r="S104" i="9"/>
  <c r="O104" i="9"/>
  <c r="N104" i="9"/>
  <c r="M104" i="9"/>
  <c r="L104" i="9"/>
  <c r="W103" i="9"/>
  <c r="U103" i="9"/>
  <c r="T103" i="9"/>
  <c r="S103" i="9"/>
  <c r="O103" i="9"/>
  <c r="N103" i="9"/>
  <c r="M103" i="9"/>
  <c r="L103" i="9"/>
  <c r="W102" i="9"/>
  <c r="U102" i="9"/>
  <c r="T102" i="9"/>
  <c r="S102" i="9"/>
  <c r="O102" i="9"/>
  <c r="N102" i="9"/>
  <c r="M102" i="9"/>
  <c r="L102" i="9"/>
  <c r="W101" i="9"/>
  <c r="U101" i="9"/>
  <c r="T101" i="9"/>
  <c r="S101" i="9"/>
  <c r="O101" i="9"/>
  <c r="N101" i="9"/>
  <c r="M101" i="9"/>
  <c r="L101" i="9"/>
  <c r="W100" i="9"/>
  <c r="U100" i="9"/>
  <c r="T100" i="9"/>
  <c r="S100" i="9"/>
  <c r="O100" i="9"/>
  <c r="N100" i="9"/>
  <c r="M100" i="9"/>
  <c r="L100" i="9"/>
  <c r="W99" i="9"/>
  <c r="U99" i="9"/>
  <c r="T99" i="9"/>
  <c r="S99" i="9"/>
  <c r="O99" i="9"/>
  <c r="N99" i="9"/>
  <c r="M99" i="9"/>
  <c r="L99" i="9"/>
  <c r="W98" i="9"/>
  <c r="U98" i="9"/>
  <c r="T98" i="9"/>
  <c r="S98" i="9"/>
  <c r="O98" i="9"/>
  <c r="N98" i="9"/>
  <c r="M98" i="9"/>
  <c r="L98" i="9"/>
  <c r="W97" i="9"/>
  <c r="U97" i="9"/>
  <c r="T97" i="9"/>
  <c r="S97" i="9"/>
  <c r="O97" i="9"/>
  <c r="N97" i="9"/>
  <c r="M97" i="9"/>
  <c r="L97" i="9"/>
  <c r="W96" i="9"/>
  <c r="U96" i="9"/>
  <c r="T96" i="9"/>
  <c r="S96" i="9"/>
  <c r="O96" i="9"/>
  <c r="N96" i="9"/>
  <c r="M96" i="9"/>
  <c r="L96" i="9"/>
  <c r="W95" i="9"/>
  <c r="U95" i="9"/>
  <c r="T95" i="9"/>
  <c r="S95" i="9"/>
  <c r="O95" i="9"/>
  <c r="N95" i="9"/>
  <c r="M95" i="9"/>
  <c r="L95" i="9"/>
  <c r="W94" i="9"/>
  <c r="U94" i="9"/>
  <c r="T94" i="9"/>
  <c r="S94" i="9"/>
  <c r="O94" i="9"/>
  <c r="N94" i="9"/>
  <c r="M94" i="9"/>
  <c r="L94" i="9"/>
  <c r="W93" i="9"/>
  <c r="U93" i="9"/>
  <c r="T93" i="9"/>
  <c r="S93" i="9"/>
  <c r="O93" i="9"/>
  <c r="N93" i="9"/>
  <c r="M93" i="9"/>
  <c r="L93" i="9"/>
  <c r="W92" i="9"/>
  <c r="U92" i="9"/>
  <c r="T92" i="9"/>
  <c r="S92" i="9"/>
  <c r="O92" i="9"/>
  <c r="N92" i="9"/>
  <c r="M92" i="9"/>
  <c r="L92" i="9"/>
  <c r="W91" i="9"/>
  <c r="U91" i="9"/>
  <c r="T91" i="9"/>
  <c r="S91" i="9"/>
  <c r="O91" i="9"/>
  <c r="N91" i="9"/>
  <c r="M91" i="9"/>
  <c r="L91" i="9"/>
  <c r="W90" i="9"/>
  <c r="U90" i="9"/>
  <c r="T90" i="9"/>
  <c r="S90" i="9"/>
  <c r="O90" i="9"/>
  <c r="N90" i="9"/>
  <c r="M90" i="9"/>
  <c r="L90" i="9"/>
  <c r="W89" i="9"/>
  <c r="U89" i="9"/>
  <c r="T89" i="9"/>
  <c r="S89" i="9"/>
  <c r="O89" i="9"/>
  <c r="N89" i="9"/>
  <c r="M89" i="9"/>
  <c r="L89" i="9"/>
  <c r="W88" i="9"/>
  <c r="U88" i="9"/>
  <c r="T88" i="9"/>
  <c r="S88" i="9"/>
  <c r="O88" i="9"/>
  <c r="N88" i="9"/>
  <c r="M88" i="9"/>
  <c r="L88" i="9"/>
  <c r="W87" i="9"/>
  <c r="U87" i="9"/>
  <c r="T87" i="9"/>
  <c r="S87" i="9"/>
  <c r="O87" i="9"/>
  <c r="N87" i="9"/>
  <c r="M87" i="9"/>
  <c r="L87" i="9"/>
  <c r="W86" i="9"/>
  <c r="U86" i="9"/>
  <c r="T86" i="9"/>
  <c r="S86" i="9"/>
  <c r="O86" i="9"/>
  <c r="N86" i="9"/>
  <c r="M86" i="9"/>
  <c r="L86" i="9"/>
  <c r="W85" i="9"/>
  <c r="U85" i="9"/>
  <c r="T85" i="9"/>
  <c r="S85" i="9"/>
  <c r="O85" i="9"/>
  <c r="N85" i="9"/>
  <c r="M85" i="9"/>
  <c r="L85" i="9"/>
  <c r="W84" i="9"/>
  <c r="U84" i="9"/>
  <c r="T84" i="9"/>
  <c r="S84" i="9"/>
  <c r="O84" i="9"/>
  <c r="N84" i="9"/>
  <c r="M84" i="9"/>
  <c r="L84" i="9"/>
  <c r="W83" i="9"/>
  <c r="U83" i="9"/>
  <c r="T83" i="9"/>
  <c r="S83" i="9"/>
  <c r="O83" i="9"/>
  <c r="N83" i="9"/>
  <c r="M83" i="9"/>
  <c r="L83" i="9"/>
  <c r="W82" i="9"/>
  <c r="U82" i="9"/>
  <c r="T82" i="9"/>
  <c r="S82" i="9"/>
  <c r="O82" i="9"/>
  <c r="N82" i="9"/>
  <c r="M82" i="9"/>
  <c r="L82" i="9"/>
  <c r="W81" i="9"/>
  <c r="U81" i="9"/>
  <c r="T81" i="9"/>
  <c r="S81" i="9"/>
  <c r="O81" i="9"/>
  <c r="N81" i="9"/>
  <c r="M81" i="9"/>
  <c r="L81" i="9"/>
  <c r="W80" i="9"/>
  <c r="U80" i="9"/>
  <c r="T80" i="9"/>
  <c r="S80" i="9"/>
  <c r="O80" i="9"/>
  <c r="N80" i="9"/>
  <c r="M80" i="9"/>
  <c r="L80" i="9"/>
  <c r="W79" i="9"/>
  <c r="U79" i="9"/>
  <c r="T79" i="9"/>
  <c r="S79" i="9"/>
  <c r="O79" i="9"/>
  <c r="N79" i="9"/>
  <c r="M79" i="9"/>
  <c r="L79" i="9"/>
  <c r="W78" i="9"/>
  <c r="U78" i="9"/>
  <c r="T78" i="9"/>
  <c r="S78" i="9"/>
  <c r="O78" i="9"/>
  <c r="N78" i="9"/>
  <c r="M78" i="9"/>
  <c r="L78" i="9"/>
  <c r="W77" i="9"/>
  <c r="U77" i="9"/>
  <c r="T77" i="9"/>
  <c r="S77" i="9"/>
  <c r="O77" i="9"/>
  <c r="N77" i="9"/>
  <c r="M77" i="9"/>
  <c r="L77" i="9"/>
  <c r="W76" i="9"/>
  <c r="U76" i="9"/>
  <c r="T76" i="9"/>
  <c r="S76" i="9"/>
  <c r="O76" i="9"/>
  <c r="N76" i="9"/>
  <c r="M76" i="9"/>
  <c r="L76" i="9"/>
  <c r="W75" i="9"/>
  <c r="U75" i="9"/>
  <c r="T75" i="9"/>
  <c r="S75" i="9"/>
  <c r="O75" i="9"/>
  <c r="N75" i="9"/>
  <c r="M75" i="9"/>
  <c r="L75" i="9"/>
  <c r="W74" i="9"/>
  <c r="U74" i="9"/>
  <c r="T74" i="9"/>
  <c r="S74" i="9"/>
  <c r="O74" i="9"/>
  <c r="N74" i="9"/>
  <c r="M74" i="9"/>
  <c r="L74" i="9"/>
  <c r="W73" i="9"/>
  <c r="U73" i="9"/>
  <c r="T73" i="9"/>
  <c r="S73" i="9"/>
  <c r="O73" i="9"/>
  <c r="N73" i="9"/>
  <c r="M73" i="9"/>
  <c r="L73" i="9"/>
  <c r="W72" i="9"/>
  <c r="U72" i="9"/>
  <c r="T72" i="9"/>
  <c r="S72" i="9"/>
  <c r="O72" i="9"/>
  <c r="N72" i="9"/>
  <c r="M72" i="9"/>
  <c r="L72" i="9"/>
  <c r="W71" i="9"/>
  <c r="U71" i="9"/>
  <c r="T71" i="9"/>
  <c r="S71" i="9"/>
  <c r="O71" i="9"/>
  <c r="N71" i="9"/>
  <c r="M71" i="9"/>
  <c r="L71" i="9"/>
  <c r="W70" i="9"/>
  <c r="U70" i="9"/>
  <c r="T70" i="9"/>
  <c r="S70" i="9"/>
  <c r="O70" i="9"/>
  <c r="N70" i="9"/>
  <c r="M70" i="9"/>
  <c r="L70" i="9"/>
  <c r="W69" i="9"/>
  <c r="U69" i="9"/>
  <c r="T69" i="9"/>
  <c r="S69" i="9"/>
  <c r="O69" i="9"/>
  <c r="N69" i="9"/>
  <c r="M69" i="9"/>
  <c r="L69" i="9"/>
  <c r="W68" i="9"/>
  <c r="U68" i="9"/>
  <c r="T68" i="9"/>
  <c r="S68" i="9"/>
  <c r="O68" i="9"/>
  <c r="N68" i="9"/>
  <c r="M68" i="9"/>
  <c r="L68" i="9"/>
  <c r="W67" i="9"/>
  <c r="U67" i="9"/>
  <c r="T67" i="9"/>
  <c r="S67" i="9"/>
  <c r="O67" i="9"/>
  <c r="N67" i="9"/>
  <c r="M67" i="9"/>
  <c r="L67" i="9"/>
  <c r="W66" i="9"/>
  <c r="U66" i="9"/>
  <c r="T66" i="9"/>
  <c r="S66" i="9"/>
  <c r="O66" i="9"/>
  <c r="N66" i="9"/>
  <c r="M66" i="9"/>
  <c r="L66" i="9"/>
  <c r="W65" i="9"/>
  <c r="U65" i="9"/>
  <c r="T65" i="9"/>
  <c r="S65" i="9"/>
  <c r="O65" i="9"/>
  <c r="N65" i="9"/>
  <c r="M65" i="9"/>
  <c r="L65" i="9"/>
  <c r="W64" i="9"/>
  <c r="U64" i="9"/>
  <c r="T64" i="9"/>
  <c r="S64" i="9"/>
  <c r="O64" i="9"/>
  <c r="N64" i="9"/>
  <c r="M64" i="9"/>
  <c r="L64" i="9"/>
  <c r="W63" i="9"/>
  <c r="U63" i="9"/>
  <c r="T63" i="9"/>
  <c r="S63" i="9"/>
  <c r="O63" i="9"/>
  <c r="N63" i="9"/>
  <c r="M63" i="9"/>
  <c r="L63" i="9"/>
  <c r="W62" i="9"/>
  <c r="U62" i="9"/>
  <c r="T62" i="9"/>
  <c r="S62" i="9"/>
  <c r="O62" i="9"/>
  <c r="N62" i="9"/>
  <c r="M62" i="9"/>
  <c r="L62" i="9"/>
  <c r="W61" i="9"/>
  <c r="U61" i="9"/>
  <c r="T61" i="9"/>
  <c r="S61" i="9"/>
  <c r="O61" i="9"/>
  <c r="N61" i="9"/>
  <c r="M61" i="9"/>
  <c r="L61" i="9"/>
  <c r="W60" i="9"/>
  <c r="U60" i="9"/>
  <c r="T60" i="9"/>
  <c r="S60" i="9"/>
  <c r="O60" i="9"/>
  <c r="N60" i="9"/>
  <c r="M60" i="9"/>
  <c r="L60" i="9"/>
  <c r="W59" i="9"/>
  <c r="U59" i="9"/>
  <c r="T59" i="9"/>
  <c r="S59" i="9"/>
  <c r="O59" i="9"/>
  <c r="N59" i="9"/>
  <c r="M59" i="9"/>
  <c r="L59" i="9"/>
  <c r="W58" i="9"/>
  <c r="U58" i="9"/>
  <c r="T58" i="9"/>
  <c r="S58" i="9"/>
  <c r="O58" i="9"/>
  <c r="N58" i="9"/>
  <c r="M58" i="9"/>
  <c r="L58" i="9"/>
  <c r="W57" i="9"/>
  <c r="U57" i="9"/>
  <c r="T57" i="9"/>
  <c r="S57" i="9"/>
  <c r="O57" i="9"/>
  <c r="N57" i="9"/>
  <c r="M57" i="9"/>
  <c r="L57" i="9"/>
  <c r="W56" i="9"/>
  <c r="U56" i="9"/>
  <c r="T56" i="9"/>
  <c r="S56" i="9"/>
  <c r="O56" i="9"/>
  <c r="N56" i="9"/>
  <c r="M56" i="9"/>
  <c r="L56" i="9"/>
  <c r="W55" i="9"/>
  <c r="U55" i="9"/>
  <c r="T55" i="9"/>
  <c r="S55" i="9"/>
  <c r="O55" i="9"/>
  <c r="N55" i="9"/>
  <c r="M55" i="9"/>
  <c r="L55" i="9"/>
  <c r="W54" i="9"/>
  <c r="U54" i="9"/>
  <c r="T54" i="9"/>
  <c r="S54" i="9"/>
  <c r="O54" i="9"/>
  <c r="N54" i="9"/>
  <c r="M54" i="9"/>
  <c r="L54" i="9"/>
  <c r="W53" i="9"/>
  <c r="U53" i="9"/>
  <c r="T53" i="9"/>
  <c r="S53" i="9"/>
  <c r="O53" i="9"/>
  <c r="N53" i="9"/>
  <c r="M53" i="9"/>
  <c r="L53" i="9"/>
  <c r="W52" i="9"/>
  <c r="U52" i="9"/>
  <c r="T52" i="9"/>
  <c r="S52" i="9"/>
  <c r="O52" i="9"/>
  <c r="N52" i="9"/>
  <c r="M52" i="9"/>
  <c r="L52" i="9"/>
  <c r="W51" i="9"/>
  <c r="U51" i="9"/>
  <c r="T51" i="9"/>
  <c r="S51" i="9"/>
  <c r="O51" i="9"/>
  <c r="N51" i="9"/>
  <c r="M51" i="9"/>
  <c r="L51" i="9"/>
  <c r="W50" i="9"/>
  <c r="U50" i="9"/>
  <c r="T50" i="9"/>
  <c r="S50" i="9"/>
  <c r="O50" i="9"/>
  <c r="N50" i="9"/>
  <c r="M50" i="9"/>
  <c r="L50" i="9"/>
  <c r="W49" i="9"/>
  <c r="U49" i="9"/>
  <c r="T49" i="9"/>
  <c r="S49" i="9"/>
  <c r="O49" i="9"/>
  <c r="N49" i="9"/>
  <c r="M49" i="9"/>
  <c r="L49" i="9"/>
  <c r="W48" i="9"/>
  <c r="U48" i="9"/>
  <c r="T48" i="9"/>
  <c r="S48" i="9"/>
  <c r="O48" i="9"/>
  <c r="N48" i="9"/>
  <c r="M48" i="9"/>
  <c r="L48" i="9"/>
  <c r="W47" i="9"/>
  <c r="U47" i="9"/>
  <c r="T47" i="9"/>
  <c r="S47" i="9"/>
  <c r="O47" i="9"/>
  <c r="N47" i="9"/>
  <c r="M47" i="9"/>
  <c r="L47" i="9"/>
  <c r="W46" i="9"/>
  <c r="U46" i="9"/>
  <c r="T46" i="9"/>
  <c r="S46" i="9"/>
  <c r="O46" i="9"/>
  <c r="N46" i="9"/>
  <c r="M46" i="9"/>
  <c r="L46" i="9"/>
  <c r="W45" i="9"/>
  <c r="U45" i="9"/>
  <c r="T45" i="9"/>
  <c r="S45" i="9"/>
  <c r="O45" i="9"/>
  <c r="N45" i="9"/>
  <c r="M45" i="9"/>
  <c r="L45" i="9"/>
  <c r="W44" i="9"/>
  <c r="U44" i="9"/>
  <c r="T44" i="9"/>
  <c r="S44" i="9"/>
  <c r="O44" i="9"/>
  <c r="N44" i="9"/>
  <c r="M44" i="9"/>
  <c r="L44" i="9"/>
  <c r="W43" i="9"/>
  <c r="U43" i="9"/>
  <c r="T43" i="9"/>
  <c r="S43" i="9"/>
  <c r="O43" i="9"/>
  <c r="N43" i="9"/>
  <c r="M43" i="9"/>
  <c r="L43" i="9"/>
  <c r="W42" i="9"/>
  <c r="U42" i="9"/>
  <c r="T42" i="9"/>
  <c r="S42" i="9"/>
  <c r="O42" i="9"/>
  <c r="N42" i="9"/>
  <c r="M42" i="9"/>
  <c r="L42" i="9"/>
  <c r="W41" i="9"/>
  <c r="U41" i="9"/>
  <c r="T41" i="9"/>
  <c r="S41" i="9"/>
  <c r="O41" i="9"/>
  <c r="N41" i="9"/>
  <c r="M41" i="9"/>
  <c r="L41" i="9"/>
  <c r="W40" i="9"/>
  <c r="U40" i="9"/>
  <c r="T40" i="9"/>
  <c r="S40" i="9"/>
  <c r="O40" i="9"/>
  <c r="N40" i="9"/>
  <c r="M40" i="9"/>
  <c r="L40" i="9"/>
  <c r="W39" i="9"/>
  <c r="U39" i="9"/>
  <c r="T39" i="9"/>
  <c r="S39" i="9"/>
  <c r="O39" i="9"/>
  <c r="N39" i="9"/>
  <c r="M39" i="9"/>
  <c r="L39" i="9"/>
  <c r="W38" i="9"/>
  <c r="U38" i="9"/>
  <c r="T38" i="9"/>
  <c r="S38" i="9"/>
  <c r="O38" i="9"/>
  <c r="N38" i="9"/>
  <c r="M38" i="9"/>
  <c r="L38" i="9"/>
  <c r="W37" i="9"/>
  <c r="U37" i="9"/>
  <c r="T37" i="9"/>
  <c r="S37" i="9"/>
  <c r="O37" i="9"/>
  <c r="N37" i="9"/>
  <c r="M37" i="9"/>
  <c r="L37" i="9"/>
  <c r="W36" i="9"/>
  <c r="U36" i="9"/>
  <c r="T36" i="9"/>
  <c r="S36" i="9"/>
  <c r="O36" i="9"/>
  <c r="N36" i="9"/>
  <c r="M36" i="9"/>
  <c r="L36" i="9"/>
  <c r="W35" i="9"/>
  <c r="U35" i="9"/>
  <c r="T35" i="9"/>
  <c r="S35" i="9"/>
  <c r="O35" i="9"/>
  <c r="N35" i="9"/>
  <c r="M35" i="9"/>
  <c r="L35" i="9"/>
  <c r="W34" i="9"/>
  <c r="U34" i="9"/>
  <c r="T34" i="9"/>
  <c r="S34" i="9"/>
  <c r="O34" i="9"/>
  <c r="N34" i="9"/>
  <c r="M34" i="9"/>
  <c r="L34" i="9"/>
  <c r="W33" i="9"/>
  <c r="U33" i="9"/>
  <c r="T33" i="9"/>
  <c r="S33" i="9"/>
  <c r="O33" i="9"/>
  <c r="N33" i="9"/>
  <c r="M33" i="9"/>
  <c r="L33" i="9"/>
  <c r="W32" i="9"/>
  <c r="U32" i="9"/>
  <c r="T32" i="9"/>
  <c r="S32" i="9"/>
  <c r="O32" i="9"/>
  <c r="N32" i="9"/>
  <c r="M32" i="9"/>
  <c r="L32" i="9"/>
  <c r="W31" i="9"/>
  <c r="U31" i="9"/>
  <c r="T31" i="9"/>
  <c r="S31" i="9"/>
  <c r="O31" i="9"/>
  <c r="N31" i="9"/>
  <c r="M31" i="9"/>
  <c r="L31" i="9"/>
  <c r="W30" i="9"/>
  <c r="U30" i="9"/>
  <c r="T30" i="9"/>
  <c r="S30" i="9"/>
  <c r="O30" i="9"/>
  <c r="N30" i="9"/>
  <c r="M30" i="9"/>
  <c r="L30" i="9"/>
  <c r="W29" i="9"/>
  <c r="U29" i="9"/>
  <c r="T29" i="9"/>
  <c r="S29" i="9"/>
  <c r="O29" i="9"/>
  <c r="N29" i="9"/>
  <c r="M29" i="9"/>
  <c r="L29" i="9"/>
  <c r="W28" i="9"/>
  <c r="U28" i="9"/>
  <c r="T28" i="9"/>
  <c r="S28" i="9"/>
  <c r="O28" i="9"/>
  <c r="N28" i="9"/>
  <c r="M28" i="9"/>
  <c r="L28" i="9"/>
  <c r="W27" i="9"/>
  <c r="U27" i="9"/>
  <c r="T27" i="9"/>
  <c r="S27" i="9"/>
  <c r="O27" i="9"/>
  <c r="N27" i="9"/>
  <c r="M27" i="9"/>
  <c r="L27" i="9"/>
  <c r="W26" i="9"/>
  <c r="U26" i="9"/>
  <c r="T26" i="9"/>
  <c r="S26" i="9"/>
  <c r="O26" i="9"/>
  <c r="N26" i="9"/>
  <c r="M26" i="9"/>
  <c r="L26" i="9"/>
  <c r="W25" i="9"/>
  <c r="U25" i="9"/>
  <c r="T25" i="9"/>
  <c r="S25" i="9"/>
  <c r="O25" i="9"/>
  <c r="N25" i="9"/>
  <c r="M25" i="9"/>
  <c r="L25" i="9"/>
  <c r="W24" i="9"/>
  <c r="U24" i="9"/>
  <c r="T24" i="9"/>
  <c r="S24" i="9"/>
  <c r="O24" i="9"/>
  <c r="N24" i="9"/>
  <c r="M24" i="9"/>
  <c r="L24" i="9"/>
  <c r="W23" i="9"/>
  <c r="U23" i="9"/>
  <c r="T23" i="9"/>
  <c r="S23" i="9"/>
  <c r="O23" i="9"/>
  <c r="N23" i="9"/>
  <c r="M23" i="9"/>
  <c r="L23" i="9"/>
  <c r="W22" i="9"/>
  <c r="U22" i="9"/>
  <c r="T22" i="9"/>
  <c r="S22" i="9"/>
  <c r="O22" i="9"/>
  <c r="N22" i="9"/>
  <c r="M22" i="9"/>
  <c r="L22" i="9"/>
  <c r="W21" i="9"/>
  <c r="U21" i="9"/>
  <c r="T21" i="9"/>
  <c r="S21" i="9"/>
  <c r="O21" i="9"/>
  <c r="N21" i="9"/>
  <c r="M21" i="9"/>
  <c r="L21" i="9"/>
  <c r="W20" i="9"/>
  <c r="U20" i="9"/>
  <c r="T20" i="9"/>
  <c r="S20" i="9"/>
  <c r="O20" i="9"/>
  <c r="N20" i="9"/>
  <c r="M20" i="9"/>
  <c r="L20" i="9"/>
  <c r="W19" i="9"/>
  <c r="U19" i="9"/>
  <c r="T19" i="9"/>
  <c r="S19" i="9"/>
  <c r="O19" i="9"/>
  <c r="N19" i="9"/>
  <c r="M19" i="9"/>
  <c r="L19" i="9"/>
  <c r="W18" i="9"/>
  <c r="U18" i="9"/>
  <c r="T18" i="9"/>
  <c r="S18" i="9"/>
  <c r="O18" i="9"/>
  <c r="N18" i="9"/>
  <c r="M18" i="9"/>
  <c r="L18" i="9"/>
  <c r="W17" i="9"/>
  <c r="U17" i="9"/>
  <c r="T17" i="9"/>
  <c r="S17" i="9"/>
  <c r="O17" i="9"/>
  <c r="N17" i="9"/>
  <c r="M17" i="9"/>
  <c r="L17" i="9"/>
  <c r="W16" i="9"/>
  <c r="U16" i="9"/>
  <c r="T16" i="9"/>
  <c r="S16" i="9"/>
  <c r="O16" i="9"/>
  <c r="N16" i="9"/>
  <c r="M16" i="9"/>
  <c r="L16" i="9"/>
  <c r="W15" i="9"/>
  <c r="U15" i="9"/>
  <c r="T15" i="9"/>
  <c r="S15" i="9"/>
  <c r="O15" i="9"/>
  <c r="N15" i="9"/>
  <c r="M15" i="9"/>
  <c r="L15" i="9"/>
  <c r="W14" i="9"/>
  <c r="U14" i="9"/>
  <c r="T14" i="9"/>
  <c r="S14" i="9"/>
  <c r="O14" i="9"/>
  <c r="N14" i="9"/>
  <c r="M14" i="9"/>
  <c r="L14" i="9"/>
  <c r="W13" i="9"/>
  <c r="U13" i="9"/>
  <c r="T13" i="9"/>
  <c r="S13" i="9"/>
  <c r="O13" i="9"/>
  <c r="N13" i="9"/>
  <c r="M13" i="9"/>
  <c r="L13" i="9"/>
  <c r="W12" i="9"/>
  <c r="U12" i="9"/>
  <c r="T12" i="9"/>
  <c r="S12" i="9"/>
  <c r="O12" i="9"/>
  <c r="N12" i="9"/>
  <c r="M12" i="9"/>
  <c r="L12" i="9"/>
  <c r="W11" i="9"/>
  <c r="U11" i="9"/>
  <c r="T11" i="9"/>
  <c r="S11" i="9"/>
  <c r="O11" i="9"/>
  <c r="N11" i="9"/>
  <c r="M11" i="9"/>
  <c r="L11" i="9"/>
  <c r="W10" i="9"/>
  <c r="U10" i="9"/>
  <c r="T10" i="9"/>
  <c r="S10" i="9"/>
  <c r="O10" i="9"/>
  <c r="N10" i="9"/>
  <c r="M10" i="9"/>
  <c r="L10" i="9"/>
  <c r="W9" i="9"/>
  <c r="U9" i="9"/>
  <c r="T9" i="9"/>
  <c r="S9" i="9"/>
  <c r="O9" i="9"/>
  <c r="N9" i="9"/>
  <c r="M9" i="9"/>
  <c r="L9" i="9"/>
  <c r="W8" i="9"/>
  <c r="U8" i="9"/>
  <c r="T8" i="9"/>
  <c r="S8" i="9"/>
  <c r="O8" i="9"/>
  <c r="N8" i="9"/>
  <c r="M8" i="9"/>
  <c r="L8" i="9"/>
  <c r="W7" i="9"/>
  <c r="U7" i="9"/>
  <c r="T7" i="9"/>
  <c r="S7" i="9"/>
  <c r="O7" i="9"/>
  <c r="N7" i="9"/>
  <c r="M7" i="9"/>
  <c r="L7" i="9"/>
  <c r="W6" i="9"/>
  <c r="U6" i="9"/>
  <c r="T6" i="9"/>
  <c r="S6" i="9"/>
  <c r="O6" i="9"/>
  <c r="N6" i="9"/>
  <c r="M6" i="9"/>
  <c r="L6" i="9"/>
  <c r="W5" i="9"/>
  <c r="U5" i="9"/>
  <c r="T5" i="9"/>
  <c r="S5" i="9"/>
  <c r="O5" i="9"/>
  <c r="N5" i="9"/>
  <c r="M5" i="9"/>
  <c r="L5" i="9"/>
  <c r="W4" i="9"/>
  <c r="U4" i="9"/>
  <c r="T4" i="9"/>
  <c r="S4" i="9"/>
  <c r="O4" i="9"/>
  <c r="N4" i="9"/>
  <c r="M4" i="9"/>
  <c r="L4" i="9"/>
  <c r="W3" i="9"/>
  <c r="U3" i="9"/>
  <c r="T3" i="9"/>
  <c r="S3" i="9"/>
  <c r="O3" i="9"/>
  <c r="N3" i="9"/>
  <c r="M3" i="9"/>
  <c r="L3" i="9"/>
  <c r="W2" i="9"/>
  <c r="U2" i="9"/>
  <c r="T2" i="9"/>
  <c r="S2" i="9"/>
  <c r="O2" i="9"/>
  <c r="N2" i="9"/>
  <c r="M2" i="9"/>
  <c r="L2" i="9"/>
  <c r="AA182" i="9"/>
  <c r="Q182" i="9"/>
  <c r="AA176" i="9"/>
  <c r="Q185" i="9"/>
  <c r="Q157" i="9"/>
  <c r="AA82" i="9"/>
  <c r="Q28" i="9"/>
  <c r="Q66" i="9"/>
  <c r="AA116" i="9"/>
  <c r="Q86" i="9"/>
  <c r="AA103" i="9"/>
  <c r="AA126" i="9"/>
  <c r="AA51" i="9"/>
  <c r="AA174" i="9"/>
  <c r="Q120" i="9"/>
  <c r="AA93" i="9"/>
  <c r="Q31" i="9"/>
  <c r="AA47" i="9"/>
  <c r="Q27" i="9"/>
  <c r="AA131" i="9"/>
  <c r="AA111" i="9"/>
  <c r="AA108" i="9"/>
  <c r="AA132" i="9"/>
  <c r="AA171" i="9"/>
  <c r="Q81" i="9"/>
  <c r="AA38" i="9"/>
  <c r="AA180" i="9"/>
  <c r="Q119" i="9"/>
  <c r="AA72" i="9"/>
  <c r="AA164" i="9"/>
  <c r="AA163" i="9"/>
  <c r="AA95" i="9"/>
  <c r="Q37" i="9"/>
  <c r="Q130" i="9"/>
  <c r="AA169" i="9"/>
  <c r="Q107" i="9"/>
  <c r="AA60" i="9"/>
  <c r="Q129" i="9"/>
  <c r="Q96" i="9"/>
  <c r="Q39" i="9"/>
  <c r="AA170" i="9"/>
  <c r="AA71" i="9"/>
  <c r="AA36" i="9"/>
  <c r="Q33" i="9"/>
  <c r="AA101" i="9"/>
  <c r="AA186" i="9"/>
  <c r="AA7" i="9"/>
  <c r="AA45" i="9"/>
  <c r="AA145" i="9"/>
  <c r="Q29" i="9"/>
  <c r="Q59" i="9"/>
  <c r="Q170" i="9"/>
  <c r="Q76" i="9"/>
  <c r="AA43" i="9"/>
  <c r="AA66" i="9"/>
  <c r="Q68" i="9"/>
  <c r="AA69" i="9"/>
  <c r="Q160" i="9"/>
  <c r="Q42" i="9"/>
  <c r="Q117" i="9"/>
  <c r="AA125" i="9"/>
  <c r="Q15" i="9"/>
  <c r="Q74" i="9"/>
  <c r="AA92" i="9"/>
  <c r="Q161" i="9"/>
  <c r="AA179" i="9"/>
  <c r="AA181" i="9"/>
  <c r="Q125" i="9"/>
  <c r="AA50" i="9"/>
  <c r="Q174" i="9"/>
  <c r="Q163" i="9"/>
  <c r="AA84" i="9"/>
  <c r="AA42" i="9"/>
  <c r="Q109" i="9"/>
  <c r="Q72" i="9"/>
  <c r="AA19" i="9"/>
  <c r="AA142" i="9"/>
  <c r="Q88" i="9"/>
  <c r="AA61" i="9"/>
  <c r="Q166" i="9"/>
  <c r="Q180" i="9"/>
  <c r="AA44" i="9"/>
  <c r="Q169" i="9"/>
  <c r="Q149" i="9"/>
  <c r="Q184" i="9"/>
  <c r="AA99" i="9"/>
  <c r="AA139" i="9"/>
  <c r="Q49" i="9"/>
  <c r="AA6" i="9"/>
  <c r="AA149" i="9"/>
  <c r="Q87" i="9"/>
  <c r="AA40" i="9"/>
  <c r="AA67" i="9"/>
  <c r="Q9" i="9"/>
  <c r="AA63" i="9"/>
  <c r="Q150" i="9"/>
  <c r="Q164" i="9"/>
  <c r="AA137" i="9"/>
  <c r="Q75" i="9"/>
  <c r="AA28" i="9"/>
  <c r="Q97" i="9"/>
  <c r="Q32" i="9"/>
  <c r="AA183" i="9"/>
  <c r="Q52" i="9"/>
  <c r="Q77" i="9"/>
  <c r="AA158" i="9"/>
  <c r="AA150" i="9"/>
  <c r="Q158" i="9"/>
  <c r="AA177" i="9"/>
  <c r="AA162" i="9"/>
  <c r="AA64" i="9"/>
  <c r="AA120" i="9"/>
  <c r="Q13" i="9"/>
  <c r="AA86" i="9"/>
  <c r="AA15" i="9"/>
  <c r="Q173" i="9"/>
  <c r="AA154" i="9"/>
  <c r="AA73" i="9"/>
  <c r="AA155" i="9"/>
  <c r="AA56" i="9"/>
  <c r="AA141" i="9"/>
  <c r="Q71" i="9"/>
  <c r="Q67" i="9"/>
  <c r="AA46" i="9"/>
  <c r="Q40" i="9"/>
  <c r="AA166" i="9"/>
  <c r="Q136" i="9"/>
  <c r="AA41" i="9"/>
  <c r="Q58" i="9"/>
  <c r="Q7" i="9"/>
  <c r="Q60" i="9"/>
  <c r="Q102" i="9"/>
  <c r="AA32" i="9"/>
  <c r="Q142" i="9"/>
  <c r="AA26" i="9"/>
  <c r="Q85" i="9"/>
  <c r="AA76" i="9"/>
  <c r="Q179" i="9"/>
  <c r="AA151" i="9"/>
  <c r="Q93" i="9"/>
  <c r="AA18" i="9"/>
  <c r="Q70" i="9"/>
  <c r="Q131" i="9"/>
  <c r="AA52" i="9"/>
  <c r="Q116" i="9"/>
  <c r="Q30" i="9"/>
  <c r="AA109" i="9"/>
  <c r="Q153" i="9"/>
  <c r="AA110" i="9"/>
  <c r="Q56" i="9"/>
  <c r="AA29" i="9"/>
  <c r="AA144" i="9"/>
  <c r="Q53" i="9"/>
  <c r="Q141" i="9"/>
  <c r="Q41" i="9"/>
  <c r="Q21" i="9"/>
  <c r="AA39" i="9"/>
  <c r="Q105" i="9"/>
  <c r="AA107" i="9"/>
  <c r="Q17" i="9"/>
  <c r="Q144" i="9"/>
  <c r="AA117" i="9"/>
  <c r="Q55" i="9"/>
  <c r="AA8" i="9"/>
  <c r="Q73" i="9"/>
  <c r="Q134" i="9"/>
  <c r="AA31" i="9"/>
  <c r="Q22" i="9"/>
  <c r="Q132" i="9"/>
  <c r="AA105" i="9"/>
  <c r="Q43" i="9"/>
  <c r="Q126" i="9"/>
  <c r="Q65" i="9"/>
  <c r="Q82" i="9"/>
  <c r="AA121" i="9"/>
  <c r="Q104" i="9"/>
  <c r="Q135" i="9"/>
  <c r="Q108" i="9"/>
  <c r="AA173" i="9"/>
  <c r="Q11" i="9"/>
  <c r="AA133" i="9"/>
  <c r="Q155" i="9"/>
  <c r="AA22" i="9"/>
  <c r="Q156" i="9"/>
  <c r="Q172" i="9"/>
  <c r="Q159" i="9"/>
  <c r="Q148" i="9"/>
  <c r="Q80" i="9"/>
  <c r="Q143" i="9"/>
  <c r="Q46" i="9"/>
  <c r="Q154" i="9"/>
  <c r="Q20" i="9"/>
  <c r="AA185" i="9"/>
  <c r="AA167" i="9"/>
  <c r="Q63" i="9"/>
  <c r="Q115" i="9"/>
  <c r="AA104" i="9"/>
  <c r="Q139" i="9"/>
  <c r="Q19" i="9"/>
  <c r="AA178" i="9"/>
  <c r="AA119" i="9"/>
  <c r="Q61" i="9"/>
  <c r="Q50" i="9"/>
  <c r="AA161" i="9"/>
  <c r="Q99" i="9"/>
  <c r="AA20" i="9"/>
  <c r="AA25" i="9"/>
  <c r="AA98" i="9"/>
  <c r="Q111" i="9"/>
  <c r="Q121" i="9"/>
  <c r="AA78" i="9"/>
  <c r="Q24" i="9"/>
  <c r="Q54" i="9"/>
  <c r="AA112" i="9"/>
  <c r="AA138" i="9"/>
  <c r="AA130" i="9"/>
  <c r="AA62" i="9"/>
  <c r="AA74" i="9"/>
  <c r="Q45" i="9"/>
  <c r="Q26" i="9"/>
  <c r="AA75" i="9"/>
  <c r="Q62" i="9"/>
  <c r="Q112" i="9"/>
  <c r="AA85" i="9"/>
  <c r="Q23" i="9"/>
  <c r="AA94" i="9"/>
  <c r="Q138" i="9"/>
  <c r="Q100" i="9"/>
  <c r="Q118" i="9"/>
  <c r="AA34" i="9"/>
  <c r="AA106" i="9"/>
  <c r="AA87" i="9"/>
  <c r="Q38" i="9"/>
  <c r="Q89" i="9"/>
  <c r="AA10" i="9"/>
  <c r="AA30" i="9"/>
  <c r="Q90" i="9"/>
  <c r="AA122" i="9"/>
  <c r="AA118" i="9"/>
  <c r="Q79" i="9"/>
  <c r="AA83" i="9"/>
  <c r="AA68" i="9"/>
  <c r="AA70" i="9"/>
  <c r="Q69" i="9"/>
  <c r="Q122" i="9"/>
  <c r="AA165" i="9"/>
  <c r="Q176" i="9"/>
  <c r="Q178" i="9"/>
  <c r="AA129" i="9"/>
  <c r="AA96" i="9"/>
  <c r="AA80" i="9"/>
  <c r="Q146" i="9"/>
  <c r="AA53" i="9"/>
  <c r="Q165" i="9"/>
  <c r="AA91" i="9"/>
  <c r="Q140" i="9"/>
  <c r="Q83" i="9"/>
  <c r="AA33" i="9"/>
  <c r="Q152" i="9"/>
  <c r="Q123" i="9"/>
  <c r="Q151" i="9"/>
  <c r="Q94" i="9"/>
  <c r="AA135" i="9"/>
  <c r="Q168" i="9"/>
  <c r="AA175" i="9"/>
  <c r="AA55" i="9"/>
  <c r="Q114" i="9"/>
  <c r="Q124" i="9"/>
  <c r="AA97" i="9"/>
  <c r="Q35" i="9"/>
  <c r="Q186" i="9"/>
  <c r="AA172" i="9"/>
  <c r="Q78" i="9"/>
  <c r="AA147" i="9"/>
  <c r="Q57" i="9"/>
  <c r="AA14" i="9"/>
  <c r="Q34" i="9"/>
  <c r="Q127" i="9"/>
  <c r="AA48" i="9"/>
  <c r="Q84" i="9"/>
  <c r="AA81" i="9"/>
  <c r="AA77" i="9"/>
  <c r="Q162" i="9"/>
  <c r="Q12" i="9"/>
  <c r="Q8" i="9"/>
  <c r="AA11" i="9"/>
  <c r="AA134" i="9"/>
  <c r="Q48" i="9"/>
  <c r="AA21" i="9"/>
  <c r="AA168" i="9"/>
  <c r="Q44" i="9"/>
  <c r="Q98" i="9"/>
  <c r="AA160" i="9"/>
  <c r="Q133" i="9"/>
  <c r="AA90" i="9"/>
  <c r="Q36" i="9"/>
  <c r="AA9" i="9"/>
  <c r="AA156" i="9"/>
  <c r="AA59" i="9"/>
  <c r="AA54" i="9"/>
  <c r="AA37" i="9"/>
  <c r="AA184" i="9"/>
  <c r="AA140" i="9"/>
  <c r="Q110" i="9"/>
  <c r="AA128" i="9"/>
  <c r="Q64" i="9"/>
  <c r="AA152" i="9"/>
  <c r="AA89" i="9"/>
  <c r="AA100" i="9"/>
  <c r="AA57" i="9"/>
  <c r="AA102" i="9"/>
  <c r="Q181" i="9"/>
  <c r="AA113" i="9"/>
  <c r="AA159" i="9"/>
  <c r="Q101" i="9"/>
  <c r="AA5" i="9"/>
  <c r="AA124" i="9"/>
  <c r="Q106" i="9"/>
  <c r="Q167" i="9"/>
  <c r="Q14" i="9"/>
  <c r="AA123" i="9"/>
  <c r="AA88" i="9"/>
  <c r="Q91" i="9"/>
  <c r="AA114" i="9"/>
  <c r="AA35" i="9"/>
  <c r="Q18" i="9"/>
  <c r="Q113" i="9"/>
  <c r="AA127" i="9"/>
  <c r="Q128" i="9"/>
  <c r="AA24" i="9"/>
  <c r="Q175" i="9"/>
  <c r="AA23" i="9"/>
  <c r="AA146" i="9"/>
  <c r="Q92" i="9"/>
  <c r="AA65" i="9"/>
  <c r="AA3" i="9"/>
  <c r="AA143" i="9"/>
  <c r="AA12" i="9"/>
  <c r="AA2" i="9"/>
  <c r="AA115" i="9"/>
  <c r="Q25" i="9"/>
  <c r="Q183" i="9"/>
  <c r="AA157" i="9"/>
  <c r="Q95" i="9"/>
  <c r="AA16" i="9"/>
  <c r="AA153" i="9"/>
  <c r="Q51" i="9"/>
  <c r="Q47" i="9"/>
  <c r="AA49" i="9"/>
  <c r="AA13" i="9"/>
  <c r="Q145" i="9"/>
  <c r="Q16" i="9"/>
  <c r="AA136" i="9"/>
  <c r="Q177" i="9"/>
  <c r="AA58" i="9"/>
  <c r="Q171" i="9"/>
  <c r="AA27" i="9"/>
  <c r="AA79" i="9"/>
  <c r="AA17" i="9"/>
  <c r="AA4" i="9"/>
  <c r="Q137" i="9"/>
  <c r="AA148" i="9"/>
  <c r="Q10" i="9"/>
  <c r="Q147" i="9"/>
  <c r="Q103" i="9"/>
  <c r="AA188" i="9"/>
  <c r="Q188" i="9"/>
  <c r="AA187" i="9"/>
  <c r="Q187" i="9"/>
  <c r="AA190" i="9"/>
  <c r="AA189" i="9"/>
  <c r="Q189" i="9"/>
  <c r="Q190" i="9"/>
  <c r="B21" i="13" l="1"/>
  <c r="B20" i="13"/>
  <c r="B26" i="13"/>
  <c r="B18" i="13" l="1"/>
  <c r="B6" i="13"/>
  <c r="B5" i="13"/>
</calcChain>
</file>

<file path=xl/sharedStrings.xml><?xml version="1.0" encoding="utf-8"?>
<sst xmlns="http://schemas.openxmlformats.org/spreadsheetml/2006/main" count="6789" uniqueCount="848">
  <si>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</si>
  <si>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</si>
  <si>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</si>
  <si>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</si>
  <si>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</si>
  <si>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</si>
  <si>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</si>
  <si>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</si>
  <si>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</si>
  <si>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</si>
  <si>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</si>
  <si>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</si>
  <si>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</si>
  <si>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</si>
  <si>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</si>
  <si>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</si>
  <si>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</si>
  <si>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</si>
  <si>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</si>
  <si>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</si>
  <si>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</si>
  <si>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</si>
  <si>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</si>
  <si>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</si>
  <si>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</si>
  <si>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</si>
  <si>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</si>
  <si>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</si>
  <si>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</si>
  <si>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</si>
  <si>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</si>
  <si>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</si>
  <si>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</si>
  <si>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</si>
  <si>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</si>
  <si>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</si>
  <si>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</si>
  <si>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</si>
  <si>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</si>
  <si>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</si>
  <si>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Interoperabilidade</t>
  </si>
  <si>
    <t>00Super
Class
4</t>
  </si>
  <si>
    <t>00Super
Class
2</t>
  </si>
  <si>
    <t>00Super
Class
3</t>
  </si>
  <si>
    <t>00Raiz</t>
  </si>
  <si>
    <t>000 Traducción Classe 5</t>
  </si>
  <si>
    <t>Ambiente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</si>
  <si>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</si>
  <si>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</si>
  <si>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</si>
  <si>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</si>
  <si>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</si>
  <si>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</si>
  <si>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</si>
  <si>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</si>
  <si>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</si>
  <si>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</si>
  <si>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</si>
  <si>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</si>
  <si>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</si>
  <si>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</si>
  <si>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</si>
  <si>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</si>
  <si>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</si>
  <si>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</si>
  <si>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</si>
  <si>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</si>
  <si>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</si>
  <si>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</si>
  <si>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</si>
  <si>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</si>
  <si>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</si>
  <si>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</si>
  <si>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</si>
  <si>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>Classe</t>
  </si>
  <si>
    <t>Fato</t>
  </si>
  <si>
    <t>descrição</t>
  </si>
  <si>
    <t>nome</t>
  </si>
  <si>
    <t>Val</t>
  </si>
  <si>
    <t>Equivalente a</t>
  </si>
  <si>
    <t>Projeto</t>
  </si>
  <si>
    <t>é.dentro.de</t>
  </si>
  <si>
    <t>Escola.Politécnica</t>
  </si>
  <si>
    <t>Instituto.de.Química</t>
  </si>
  <si>
    <t>sigla</t>
  </si>
  <si>
    <t>"IMA"</t>
  </si>
  <si>
    <t>"CT"</t>
  </si>
  <si>
    <t>"POLI"</t>
  </si>
  <si>
    <t>"COPPE"</t>
  </si>
  <si>
    <t>"EQ"</t>
  </si>
  <si>
    <t>"IQ"</t>
  </si>
  <si>
    <t>Instituto.de.Matemática</t>
  </si>
  <si>
    <t>"IM"</t>
  </si>
  <si>
    <t>órgão</t>
  </si>
  <si>
    <t>"UFRJ"</t>
  </si>
  <si>
    <t>"CIDUNI"</t>
  </si>
  <si>
    <t>Escola.de.Química</t>
  </si>
  <si>
    <t>"Instituto de Macromoléculas"</t>
  </si>
  <si>
    <t>"Escola de Química"</t>
  </si>
  <si>
    <t>"Instituto de Química"</t>
  </si>
  <si>
    <t>"Instituto de Matemática"</t>
  </si>
  <si>
    <t>"Escola Politécnica"</t>
  </si>
  <si>
    <t>"Centro de Tecnologia"</t>
  </si>
  <si>
    <t>unidade.académica</t>
  </si>
  <si>
    <t>"Instituto Virtual Internacional de Mudanças Globais"</t>
  </si>
  <si>
    <t>"Gremio da Coppe"</t>
  </si>
  <si>
    <t>"Laboratório de Ensaios Não destrutivos, Corrosão e Revestimento Anti-corrosivo"</t>
  </si>
  <si>
    <t>"LNDC"</t>
  </si>
  <si>
    <t>"IVIG"</t>
  </si>
  <si>
    <t>"GREMIO"</t>
  </si>
  <si>
    <t>"Laboratório de Geotécnica"</t>
  </si>
  <si>
    <t>"LABGEO"</t>
  </si>
  <si>
    <t>Prédio.CT</t>
  </si>
  <si>
    <t>Prédio.IMA</t>
  </si>
  <si>
    <t>Prédio.IVIG</t>
  </si>
  <si>
    <t>Prédio.LNDC</t>
  </si>
  <si>
    <t>Prédio.Gremio</t>
  </si>
  <si>
    <t>Bloco.A</t>
  </si>
  <si>
    <t>"A"</t>
  </si>
  <si>
    <t>Bloco.AB</t>
  </si>
  <si>
    <t>Bloco.ABC</t>
  </si>
  <si>
    <t>Bloco.B</t>
  </si>
  <si>
    <t>Bloco.C</t>
  </si>
  <si>
    <t>Bloco.D</t>
  </si>
  <si>
    <t>Bloco.E</t>
  </si>
  <si>
    <t>Bloco.F</t>
  </si>
  <si>
    <t>Bloco.G</t>
  </si>
  <si>
    <t>Bloco.H</t>
  </si>
  <si>
    <t>Bloco.I</t>
  </si>
  <si>
    <t>Bloco.K</t>
  </si>
  <si>
    <t>Bloco.L</t>
  </si>
  <si>
    <t>"AB"</t>
  </si>
  <si>
    <t>"ABC"</t>
  </si>
  <si>
    <t>"K"</t>
  </si>
  <si>
    <t>"B"</t>
  </si>
  <si>
    <t>"C"</t>
  </si>
  <si>
    <t>"D"</t>
  </si>
  <si>
    <t>"E"</t>
  </si>
  <si>
    <t>"F"</t>
  </si>
  <si>
    <t>"G"</t>
  </si>
  <si>
    <t>"H"</t>
  </si>
  <si>
    <t>"I"</t>
  </si>
  <si>
    <t>"J"</t>
  </si>
  <si>
    <t>Bloco.J</t>
  </si>
  <si>
    <t>"L"</t>
  </si>
  <si>
    <t>Bloco.M</t>
  </si>
  <si>
    <t>Bloco.N</t>
  </si>
  <si>
    <t>Bloco.O</t>
  </si>
  <si>
    <t>Bloco.P</t>
  </si>
  <si>
    <t>Bloco.Q</t>
  </si>
  <si>
    <t>"M"</t>
  </si>
  <si>
    <t>"N"</t>
  </si>
  <si>
    <t>"O"</t>
  </si>
  <si>
    <t>"P"</t>
  </si>
  <si>
    <t>"Q"</t>
  </si>
  <si>
    <t>"POLI-COPPE"</t>
  </si>
  <si>
    <t>"Instituto de Física"</t>
  </si>
  <si>
    <t>"IF"</t>
  </si>
  <si>
    <t>"CCMN"</t>
  </si>
  <si>
    <t>"Bloco A"</t>
  </si>
  <si>
    <t>"Bloco AB"</t>
  </si>
  <si>
    <t>"Bloco ABC"</t>
  </si>
  <si>
    <t>"Bloco B"</t>
  </si>
  <si>
    <t>"Bloco C"</t>
  </si>
  <si>
    <t>"Bloco D"</t>
  </si>
  <si>
    <t>"Bloco E"</t>
  </si>
  <si>
    <t>"Bloco F"</t>
  </si>
  <si>
    <t>"Bloco G"</t>
  </si>
  <si>
    <t>"Bloco H"</t>
  </si>
  <si>
    <t>"Bloco I"</t>
  </si>
  <si>
    <t>"Bloco J"</t>
  </si>
  <si>
    <t>"Bloco K"</t>
  </si>
  <si>
    <t>"Bloco L"</t>
  </si>
  <si>
    <t>"Bloco M"</t>
  </si>
  <si>
    <t>"Bloco N"</t>
  </si>
  <si>
    <t>"Bloco O"</t>
  </si>
  <si>
    <t>"Bloco P"</t>
  </si>
  <si>
    <t>"Bloco Q"</t>
  </si>
  <si>
    <t>CategoriaRvt</t>
  </si>
  <si>
    <t>ClasseIfc</t>
  </si>
  <si>
    <t>ABNT</t>
  </si>
  <si>
    <t>Eixo.Estrutural</t>
  </si>
  <si>
    <t>Andar.Cobertura</t>
  </si>
  <si>
    <t>Andar de cobertura do edifício.</t>
  </si>
  <si>
    <t>Arquitetura</t>
  </si>
  <si>
    <t>Andar.Tipo</t>
  </si>
  <si>
    <t>Andar tipo do edifício.</t>
  </si>
  <si>
    <t>Andar.Customizado</t>
  </si>
  <si>
    <t>Andar único do edifício. Andares que não são típicos e são projetados sob medida.</t>
  </si>
  <si>
    <t>Andar.Variável</t>
  </si>
  <si>
    <t>Andar único do edifício. Andares que não são típicos.</t>
  </si>
  <si>
    <t>Andar.Palco</t>
  </si>
  <si>
    <t>Andar único do edifício. Em prédios que tem salas de espetáculos é o andar que contem o palco ou tela de projeção.</t>
  </si>
  <si>
    <t>Andar.Especial</t>
  </si>
  <si>
    <t>Andar único do edifício. Identifica o andar que se destaca por sua dupla altura ou alguma característica que o torna único.</t>
  </si>
  <si>
    <t>Andar.Técnico</t>
  </si>
  <si>
    <t>Andar técnico do edifício.</t>
  </si>
  <si>
    <t>Andar.Mezanino</t>
  </si>
  <si>
    <t>Andar parcial mais baixo introduzido no pé-direito de um andar, com acesso apenas pelo interior do recinto.</t>
  </si>
  <si>
    <t>Andar.Acesso</t>
  </si>
  <si>
    <t>Andar de acesso ao edifício.</t>
  </si>
  <si>
    <t>Andar.Subsolo</t>
  </si>
  <si>
    <t>Andar do subsolo do prédio.</t>
  </si>
  <si>
    <t>Plano.de.Bloco.Fundação</t>
  </si>
  <si>
    <t>Plano horizontal dos blocos de fundação do edifício.</t>
  </si>
  <si>
    <t>Plano.de.Estacas</t>
  </si>
  <si>
    <t>Plano horizontal das estacas de fundação do edifício.</t>
  </si>
  <si>
    <t>Gabarito.Freático</t>
  </si>
  <si>
    <t>Gabarito.Subterrâneo</t>
  </si>
  <si>
    <t>Gabarito.Aéreo</t>
  </si>
  <si>
    <t>Gabarito de altura permitida para realizar voos segurança com UAS (drones). Estabelecido pela ANAC (Agência Nacional de Aviação Civil). Especialmente em regiões próximas a aeroportos.</t>
  </si>
  <si>
    <t>Gabarito.Hídrico</t>
  </si>
  <si>
    <t>Gabarito.Municipal</t>
  </si>
  <si>
    <t>Gabarito de altura máxima permitida para as edificações em cada área urbana. Estabelecido por leis municipais de uso e ocupação do solo. Não pode ser ultrapassado pelo projeto.</t>
  </si>
  <si>
    <t>Eixos.Estruturais</t>
  </si>
  <si>
    <t>Eixos de projeto usados para localização dos pilares, simetrias, corpos, etc.</t>
  </si>
  <si>
    <t>Eixo.Estrutural.Irregular</t>
  </si>
  <si>
    <t>Eixos de projeto dispostos de modo irregular usados para localização dos pilares, simetrias, corpos, etc.</t>
  </si>
  <si>
    <t>Eixo.Estrutural.Radial</t>
  </si>
  <si>
    <t>Eixos de projeto dispostos radialmente usados para localização dos pilares, simetrias, corpos, etc.</t>
  </si>
  <si>
    <t>Eixo.Estrutural.Retangular</t>
  </si>
  <si>
    <t>Eixos de projeto dispostos de modo matricial regular usados para localização dos pilares, simetrias, corpos, etc.</t>
  </si>
  <si>
    <t>Eixo.Estrutural.Triangular</t>
  </si>
  <si>
    <t>Eixos de projeto dispostos de modo inclinado ou triangular usados para localização dos pilares, simetrias, corpos, etc.</t>
  </si>
  <si>
    <t>Fachada.Principal</t>
  </si>
  <si>
    <t>Fachada.Fundos</t>
  </si>
  <si>
    <t>Área.Bruta</t>
  </si>
  <si>
    <t>Camarim</t>
  </si>
  <si>
    <t>Proscênio</t>
  </si>
  <si>
    <t>Palco</t>
  </si>
  <si>
    <t>Espaço exposto aos espectadores, onde os atores se apresentam. Pode ser elevado, plano, giratório, italiano, arena, entre outros formatos.</t>
  </si>
  <si>
    <t>Fundo.do.Palco</t>
  </si>
  <si>
    <t>Espaço oculto e posterior ao palco, atrás da área de atuação dos artistas. Pode abrigar diversos elementos cenográficos, técnicos e funcionais à peça.</t>
  </si>
  <si>
    <t>Coxia</t>
  </si>
  <si>
    <t>Foso</t>
  </si>
  <si>
    <t>Espaço entre a plateia e o palco, normalmente abaixo do palco, para acomodar a orquestra durante um espetáculo musical ou de dança.</t>
  </si>
  <si>
    <t>Plateia</t>
  </si>
  <si>
    <t>Espaço no nível do palco, onde o público se acomoda com visão frontal ao palco.</t>
  </si>
  <si>
    <t>Balção</t>
  </si>
  <si>
    <t>Espaço integrado à plateia, mas em nível superior onde o público se acomoda com visão frontal do palco.</t>
  </si>
  <si>
    <t>Camarote</t>
  </si>
  <si>
    <t>Espaço integrado à sala de espetáculo, geralmente reservado e com melhor visibilidade e conforto.</t>
  </si>
  <si>
    <t>Galeria</t>
  </si>
  <si>
    <t>Apartamento</t>
  </si>
  <si>
    <t>Zona espacial é uma decomposição não hierárquica e potencialmente sobreposta do projeto sob alguma condição.</t>
  </si>
  <si>
    <t>Zona.de.Construção</t>
  </si>
  <si>
    <t>Zona espacial é usada para representar uma zona de construção para o processo de fabricação.</t>
  </si>
  <si>
    <t>Zona.de.Interferência</t>
  </si>
  <si>
    <t>Zona espacial é usada para definir uma interferência entre ocorrências de Ifcspatialelement.</t>
  </si>
  <si>
    <t>Zona.de.Ocupação</t>
  </si>
  <si>
    <t>Zona espacial é usada para representar uma zona de ocupação particular.</t>
  </si>
  <si>
    <t>Zona.de.Reserva</t>
  </si>
  <si>
    <t>Zona espacial que representa algum tipo de reserva dentro do projeto para uso futuro.</t>
  </si>
  <si>
    <t>Zona.de.Transporte</t>
  </si>
  <si>
    <t>Zona espacial é usada para representar uma área primariamente dedicada à circulação de pessoas ou veículos.</t>
  </si>
  <si>
    <t>Zonas.de.Sistemas</t>
  </si>
  <si>
    <t>Zona.de.Térmica</t>
  </si>
  <si>
    <t>Zona espacial é usada para representar uma zona térmica com características homogêneas.</t>
  </si>
  <si>
    <t>Zona.de.Iluminação</t>
  </si>
  <si>
    <t>Zona espacial é usada para representar uma zona de iluminação; uma zona de luz natural.</t>
  </si>
  <si>
    <t>Zona.de.Ventilação</t>
  </si>
  <si>
    <t>Zona espacial é usada para representar uma zona de ventilação.</t>
  </si>
  <si>
    <t>Zonas.de.Segurança</t>
  </si>
  <si>
    <t>Zona.de.Segurança.Incêndio</t>
  </si>
  <si>
    <t>Zona espacial é usada para representar uma zona de segurança contra incêndios, ou compartimento.</t>
  </si>
  <si>
    <t>Zona.de.Segurança</t>
  </si>
  <si>
    <t>Zona espacial é usada para representar uma zona para planejamento de segurança e trabalho, acessos, etc.</t>
  </si>
  <si>
    <t>Instituto.de.Fisica</t>
  </si>
  <si>
    <t>Prédio.GEO</t>
  </si>
  <si>
    <t>Ambiente do Centro de Tecnologia da UFRJ</t>
  </si>
  <si>
    <t>000 Translate Classe 5</t>
  </si>
  <si>
    <t>Prof. José Luis Menegotto - DEG/POLI/UFRJ</t>
  </si>
  <si>
    <t>Explanation</t>
  </si>
  <si>
    <t>Idioma</t>
  </si>
  <si>
    <t>pt</t>
  </si>
  <si>
    <t>es</t>
  </si>
  <si>
    <t>en</t>
  </si>
  <si>
    <t>categoria.revit</t>
  </si>
  <si>
    <t>classe.ifc</t>
  </si>
  <si>
    <t>"[ OST_Rooms , OST_MEPSpaces ]"</t>
  </si>
  <si>
    <t>Advertência</t>
  </si>
  <si>
    <t>Aviso</t>
  </si>
  <si>
    <t>Alert</t>
  </si>
  <si>
    <t>Traduções al español e inglês incorporadas. As traduções devem ser constantemente revisadas</t>
  </si>
  <si>
    <t>Sala.D104</t>
  </si>
  <si>
    <t>"Laboratório de Informática"</t>
  </si>
  <si>
    <t>"D104"</t>
  </si>
  <si>
    <t>Sala.D101</t>
  </si>
  <si>
    <t>"Departamento de Expressão Gráfica"</t>
  </si>
  <si>
    <t>"D101"</t>
  </si>
  <si>
    <t>Elementos.Horizontais</t>
  </si>
  <si>
    <t>Elementos.Prediais</t>
  </si>
  <si>
    <t>Cotas.de.Fundações</t>
  </si>
  <si>
    <t>Elementos.Estruturantes</t>
  </si>
  <si>
    <t>Informação</t>
  </si>
  <si>
    <t>Contêiner</t>
  </si>
  <si>
    <t>Vistas.do.Projeto</t>
  </si>
  <si>
    <t>Orientação.Norte</t>
  </si>
  <si>
    <t>Orientação.Sul</t>
  </si>
  <si>
    <t>Orientação.Leste</t>
  </si>
  <si>
    <t>Orientação.Oeste</t>
  </si>
  <si>
    <t>Orientação.Solar</t>
  </si>
  <si>
    <t>Símbolo.de.Norte</t>
  </si>
  <si>
    <t>Elemento simbólico de referência da posição do Norte Verdadeiro: marcador de Símbolo de Norte.</t>
  </si>
  <si>
    <t>Símbolo.de.Eixo</t>
  </si>
  <si>
    <t>Elemento simbólico de referência da posição do Eixo Estrutural: marcador de Eixo.</t>
  </si>
  <si>
    <t>Unidades.Autônomas</t>
  </si>
  <si>
    <t>Sanitário.Masculino</t>
  </si>
  <si>
    <t>Sanitário.Feminino</t>
  </si>
  <si>
    <t>Sanitário.Indiferenciado</t>
  </si>
  <si>
    <t>[ IfcBuildingStorey ]</t>
  </si>
  <si>
    <t>[ IfcGrid ]</t>
  </si>
  <si>
    <t>[ IfcGridIRREGULAR ]</t>
  </si>
  <si>
    <t>[ IfcGridRADIAL ]</t>
  </si>
  <si>
    <t>[ IfcGridRECTANGULAR ]</t>
  </si>
  <si>
    <t>[ IfcGridTRIANGULAR ]</t>
  </si>
  <si>
    <t>[ IfcSpaceGFA ]</t>
  </si>
  <si>
    <t>[ IfcExternalSpatialElementEXTERNAL ]</t>
  </si>
  <si>
    <t>[ IfcExternalSpatialElementEXTERNAL_FIRE ]</t>
  </si>
  <si>
    <t>[ IfcExternalSpatialElementEXTERNAL_WATER ]</t>
  </si>
  <si>
    <t>[ IfcSpaceEXTERNAL ]</t>
  </si>
  <si>
    <t>[ IfcSpacePARKING ]</t>
  </si>
  <si>
    <t>[ IfcSpace ]</t>
  </si>
  <si>
    <t>[ IfcSpaceSPACE ]</t>
  </si>
  <si>
    <t>[ IfcSpatialZone ]</t>
  </si>
  <si>
    <t>[ IfcSpatialZoneCONSTRUCTION ]</t>
  </si>
  <si>
    <t>[ IfcSpatialZoneINTERFERENCE ]</t>
  </si>
  <si>
    <t>[ IfcSpatialZoneOCCUPANCY ]</t>
  </si>
  <si>
    <t>[ IfcSpatialZoneRESERVATION ]</t>
  </si>
  <si>
    <t>[ IfcSpatialZoneTRANSPORT ]</t>
  </si>
  <si>
    <t>[ IfcSpatialZoneTHERMAL ]</t>
  </si>
  <si>
    <t>[ IfcSpatialZoneLIGHTING ]</t>
  </si>
  <si>
    <t>[ IfcSpatialZoneVENTILATION ]</t>
  </si>
  <si>
    <t>[ IfcSpatialZoneFIRESAFETY ]</t>
  </si>
  <si>
    <t>[ IfcSpatialZoneSECURITY ]</t>
  </si>
  <si>
    <t>[ OST_Levels , OST_LevelHeads ]</t>
  </si>
  <si>
    <t>[ OST_ElevationMarks ]</t>
  </si>
  <si>
    <t>[ OST_Grids ]</t>
  </si>
  <si>
    <t>[ OST_Areas ]</t>
  </si>
  <si>
    <t>[ OST_Rooms , OST_MEPSpaces ]</t>
  </si>
  <si>
    <t>[ OST_ZoneEquipment , OST_MEPSystemZone , OST_MEPZone ]</t>
  </si>
  <si>
    <t>Zona.Definida</t>
  </si>
  <si>
    <t>Campus</t>
  </si>
  <si>
    <t>Unidades_Funcionais_Zonas_Ambientes</t>
  </si>
  <si>
    <t>Formalizar elementos do projeto BIM. Unidades_Funcionais Zonas e Ambientes. Ambientes do Centro de Tecnologia da UFRJ</t>
  </si>
  <si>
    <t>Formalizar elementos del proyecto BIM. Unidades_Funcionales Zonas y Ambientes. Ambientes del Centro Tecnológico de la UFRJ</t>
  </si>
  <si>
    <t>Sala.D105</t>
  </si>
  <si>
    <t>Sala.D107</t>
  </si>
  <si>
    <t>Sala.D111</t>
  </si>
  <si>
    <t>Sala.D115</t>
  </si>
  <si>
    <t>"Sala de aula D107"</t>
  </si>
  <si>
    <t>"Sala de aula D105"</t>
  </si>
  <si>
    <t>"Sala de aula D111"</t>
  </si>
  <si>
    <t>"Sala de aula D115 - Revoluti."</t>
  </si>
  <si>
    <t>"D105"</t>
  </si>
  <si>
    <t>"D107"</t>
  </si>
  <si>
    <t>"D111"</t>
  </si>
  <si>
    <t>"D115"</t>
  </si>
  <si>
    <t>"Laboratório de Informática LIG - Revoluti."</t>
  </si>
  <si>
    <t>[ 4U.70 ]</t>
  </si>
  <si>
    <t>[ 4U.74.02 ]</t>
  </si>
  <si>
    <t>[ 4U.26.10.02 ]</t>
  </si>
  <si>
    <t>[ 4U.26.10 ]</t>
  </si>
  <si>
    <t>[ 4A.07.10.07 ]</t>
  </si>
  <si>
    <t>[ 4A.13.13 ]</t>
  </si>
  <si>
    <t>Tipos.de.Andares</t>
  </si>
  <si>
    <t>[ - ]</t>
  </si>
  <si>
    <t>Analema.Solar</t>
  </si>
  <si>
    <t>[ OST_Sun ]</t>
  </si>
  <si>
    <t>[ OST_SunPath2 ]</t>
  </si>
  <si>
    <t>[ OST_SunsetText ]</t>
  </si>
  <si>
    <t>[ OST_SunSurface ]</t>
  </si>
  <si>
    <t>[ OST_SunStudy ]</t>
  </si>
  <si>
    <t>[ OST_SunriseText ]</t>
  </si>
  <si>
    <t>[ OST_SunPath1 ]</t>
  </si>
  <si>
    <t>Sol</t>
  </si>
  <si>
    <t>Sol.Percurso.1</t>
  </si>
  <si>
    <t>Sol.Percurso.2</t>
  </si>
  <si>
    <t>Sol.Texto.Amanhecer</t>
  </si>
  <si>
    <t>Sol.Texto.Anoitecer</t>
  </si>
  <si>
    <t>Sol.Estudo</t>
  </si>
  <si>
    <t>Sol.Superfície</t>
  </si>
  <si>
    <t>[ OST_GenericAnnotation ]</t>
  </si>
  <si>
    <t>[ IfcAnnotationSYMBOL ]</t>
  </si>
  <si>
    <t>Eixo.Simetria.Local</t>
  </si>
  <si>
    <t>Eixo.Simetria.Principal</t>
  </si>
  <si>
    <t>Elemento simbólico de referência da posição de um Eixo de Simetria Axial Principal do Edifício.</t>
  </si>
  <si>
    <t>Elemento simbólico de referência da posição de um Eixo de Simetria Axial Secundário ou Local de uma Parte do Edifício.</t>
  </si>
  <si>
    <t>Elementos.Espaciais</t>
  </si>
  <si>
    <t>Vista.Interna</t>
  </si>
  <si>
    <t>Fachada.Inespecífica</t>
  </si>
  <si>
    <t>Símbolo.de.Andar</t>
  </si>
  <si>
    <t>Elemento simbólico de referência da posição de cada Andar do projeto: o marcador de andar poderá ser declarado com um tipo específco na categoria OST_LevelHeads.</t>
  </si>
  <si>
    <t>[ OST_Elev , OST_ElevationMarks ]</t>
  </si>
  <si>
    <t>Símbolo de Elevação de uma Vista Interna definida no projeto, para paginação de banheiros e cozinhas, por exemplo: o marcador da vista poderá ser declarado com um tipo específco.</t>
  </si>
  <si>
    <t>Cotas.Gabaritadas</t>
  </si>
  <si>
    <t>Elementos.de.Elevações</t>
  </si>
  <si>
    <t>Ambientes.Gerais</t>
  </si>
  <si>
    <t>"Pavimento 1"</t>
  </si>
  <si>
    <t>"Pavimento 2"</t>
  </si>
  <si>
    <t>"Pavimento 3"</t>
  </si>
  <si>
    <t>"Pavimento 4"</t>
  </si>
  <si>
    <t>"Simbolo de tipo de Level usado em Revit"</t>
  </si>
  <si>
    <t>Ambiente.Articulador</t>
  </si>
  <si>
    <t>Nave.Industrial</t>
  </si>
  <si>
    <t>Galpão.Industrial</t>
  </si>
  <si>
    <t>Espaço superior para acomodar o público com preços mais acessíveis.</t>
  </si>
  <si>
    <t>Espaço lateral ao palco, usado para a entrada e saída dos artistas.</t>
  </si>
  <si>
    <t xml:space="preserve">Espaços arquitetônicos que têm função de articular outros ambientes e areas de um projeto: Podem ser Circulações, Halls, Escadas, Elevadores, Foyers, Saídas de Emergência, etc... </t>
  </si>
  <si>
    <t>Espaços arquitetônicos que ainda não tem sido especificados com uma funcionalidade definida ou que ainda não tem uma classe definida nesta Ontologia.</t>
  </si>
  <si>
    <t>Sanitário.WC</t>
  </si>
  <si>
    <t>Sanitário.PNE</t>
  </si>
  <si>
    <t>Manufatura</t>
  </si>
  <si>
    <t>Sanitários.Coletivos</t>
  </si>
  <si>
    <t>Espaço frontal do palco, próximo à plateia. Integra arquitetonicamente à cena cumprindo funções estéticas e acústicas, chamada também de boca de cena.</t>
  </si>
  <si>
    <t>Representa um Apartamento de edifício residencial.</t>
  </si>
  <si>
    <t>Representa um Bloco Edificado que contem outras unidades autônomas sem função específica.</t>
  </si>
  <si>
    <t>Representa um Bloco Edificado de uma Unidade Educativa.</t>
  </si>
  <si>
    <t>Representa um Bloco Edificado que contem outras unidades autônomas com função residencial.</t>
  </si>
  <si>
    <t>Representa um Bloco Edificado de uma Unidade de Saúde do SUS.</t>
  </si>
  <si>
    <t>Representa um Bloco Edificado de uma Unidade de Saúde da Rede Privada.</t>
  </si>
  <si>
    <t>Representa um Bloco Edificado de uma Unidade de Saúde da Rede Privada conveniada com o SUS.</t>
  </si>
  <si>
    <t>Doca</t>
  </si>
  <si>
    <t>Estacionamento</t>
  </si>
  <si>
    <t>Espaços arquitetônicos exteriores dedicados para Carga e Descarga tipo Doca.</t>
  </si>
  <si>
    <t>Espaços arquitetônicos exteriores dedicados para Armazenamento temporário de produtos tipo pátio.</t>
  </si>
  <si>
    <t>Espaços arquitetônicos exteriores dedicados para usar como vaga de estacionamento de veículos, incluindo acesso.</t>
  </si>
  <si>
    <t xml:space="preserve">Pátio.Logístico </t>
  </si>
  <si>
    <t>Setor</t>
  </si>
  <si>
    <t>Departamento</t>
  </si>
  <si>
    <t>Divisão</t>
  </si>
  <si>
    <t>Representa um Setor funcional administrativo de um edifício institucional.</t>
  </si>
  <si>
    <t>Representa uma Divisão funcional administrativa de um edifício institucional.</t>
  </si>
  <si>
    <t>Representa uma Departamento funcional administrativo de um edifício institucional.</t>
  </si>
  <si>
    <t>[ OST_Rooms , OST_MEPSpaces , OST_MEPZone ]</t>
  </si>
  <si>
    <t>Prédio.Indiferenciado</t>
  </si>
  <si>
    <t>Prédio.Residencial</t>
  </si>
  <si>
    <t>Prédio.Educativo</t>
  </si>
  <si>
    <t>Prédio.Hospital.SUS</t>
  </si>
  <si>
    <t>Prédio.Hospital.Privado</t>
  </si>
  <si>
    <t>Prédio.Hospital.Conveniado</t>
  </si>
  <si>
    <t>Prédio.Casa</t>
  </si>
  <si>
    <t>Representa um Bloco Edificado que é uma Casa ou Unidade Residencial Individual.</t>
  </si>
  <si>
    <t>tipo.revit</t>
  </si>
  <si>
    <t>"Nome da familia Room Tag usada em Revit"</t>
  </si>
  <si>
    <t>"Nome da Família de Massa ou Massa InPlace dada em Revit"</t>
  </si>
  <si>
    <t>Fachada.Lateral.Derecha</t>
  </si>
  <si>
    <t>Fachada.Lateral.Esquerda</t>
  </si>
  <si>
    <t>Símbolo de Elevação da Fachada Principal. Relativa ao Norte do projeto de Revit. O marcador da vista poderá ser declarado com um tipo específco.</t>
  </si>
  <si>
    <t>Símbolo de Elevação da Fachada dos Fundos. Relativa à Fachada Principal ou Norte de Projeto Revit. O marcador da vista poderá ser declarado com um tipo específco.</t>
  </si>
  <si>
    <t>Símbolo de Elevação da Fachada Lateral Direita. Relativa à Fachada Principal ou Norte de Projeto Revit. O marcador da vista poderá ser declarado com um tipo específco.</t>
  </si>
  <si>
    <t>Símbolo de Elevação da Fachada Lateral Esquerda. Relativa à Fachada Principal ou Norte de Projeto Revit. O marcador da vista poderá ser declarado com um tipo específco.</t>
  </si>
  <si>
    <t>Símbolo de Elevação de uma Fachada Secundária. Relativa à Fachada Principal ou Norte de Projeto Revit. O marcador da vista poderá ser declarado com um tipo específco.</t>
  </si>
  <si>
    <t>Eixos.de.Simetrias</t>
  </si>
  <si>
    <t>Espaços arquitetônicos com tratamento acústico especializado para eliminar as reflexões sonoras (eco).</t>
  </si>
  <si>
    <t>Espaços arquitetônicos com tratamento acústico especializado para aumentar o tempo de reflexão sonoras.</t>
  </si>
  <si>
    <t>Espaços arquitetônicos dimensionados e equipados para expor obras de arte ou produtos, para museus, exposições, etc.</t>
  </si>
  <si>
    <t>Espaços arquitetônicos dimensionados e equipados para guardar produtos em baixas temperaturas, como Espaços arquitetônicos de frezzers, Espaços arquitetônicos refrigeradas, etc.</t>
  </si>
  <si>
    <t>Espaços arquitetônicos dimensionados e equipados para servidores informáticos de atividades virtuais telemáticas.</t>
  </si>
  <si>
    <t>Espaços arquitetônicos dimensionados e equipados para atividades esportivas, etc.</t>
  </si>
  <si>
    <t>Espaços arquitetônicos dimensionados e equipados para atividades esportivas ao ar livre ou coberta tipo Quadra de esporte.</t>
  </si>
  <si>
    <t>Espaços arquitetônicos dimensionados e equipados para atividades esportivas aquáticas ao ar livre ou coberta tipo Piscina de esporte.</t>
  </si>
  <si>
    <t>Espaços arquitetônicos dimensionados e equipados para o público ver um evento esportivo tipo Arquibancada.</t>
  </si>
  <si>
    <t>Espaços arquitetônicos dimensionados e equipados para Vestiário esportivo.</t>
  </si>
  <si>
    <t>Espaços arquitetônicos dimensionados e equipados com peças sanitárias para uso masculino.</t>
  </si>
  <si>
    <t>Espaços arquitetônicos dimensionados e equipados com peças sanitárias para uso comum feminino e masculino.</t>
  </si>
  <si>
    <t>Espaços arquitetônicos dimensionados e equipados com peças sanitárias para uso por pessoas com necessidades especiais (PNE).</t>
  </si>
  <si>
    <t>Espaços arquitetônicos dimensionados e equipados com peças sanitárias de um banheiro pequenho.</t>
  </si>
  <si>
    <t>Espaços arquitetônicos dimensionados e equipados para trabalho comercial administrativo.</t>
  </si>
  <si>
    <t>Espaços arquitetônicos dimensionados e equipados para função residencial de Estar - Espaços arquitetônicos, Varandas, etc.</t>
  </si>
  <si>
    <t>Espaços arquitetônicos dimensionados e equipados para função residencial íntima - Quartos, Vestidores, etc.</t>
  </si>
  <si>
    <t>Espaços arquitetônicos dimensionados e equipados para função residencial de higiene - Banheiros, WC, etc.</t>
  </si>
  <si>
    <t>Espaços arquitetônicos dimensionados e equipados para função residencial de serviço - Areas, Cozinhas, etc.</t>
  </si>
  <si>
    <t>Espaços arquitetônicos dimensionados e equipados para função residencial de Lazer como Espaços arquitetônicos de TV, jogos, etc.</t>
  </si>
  <si>
    <t>Espaços arquitetônicos dimensionados e equipados para função residencial de atividades profissionais.</t>
  </si>
  <si>
    <t>Espaços arquitetônicos dimensionados e equipados para atividade hospitalar para realizar Terapias com pacientes (Fisioterapias, respiratórias, etc).</t>
  </si>
  <si>
    <t>Espaços arquitetônicos dimensionados e equipados para atividade hospitalar para realizar Atendimento de Emergências.</t>
  </si>
  <si>
    <t>Espaços arquitetônicos dimensionados e equipados para atividade hospitalar para realizar Triagem de Pacientes ou Materiais.</t>
  </si>
  <si>
    <t>Espaços arquitetônicos dimensionados e equipados para atividades esportivas de corridas em pistas de esporte.</t>
  </si>
  <si>
    <t>Espaços arquitetônicos dimensionados e equipados para Recepção, Guarda e Distribuição de elementos tipo depósito logístico.</t>
  </si>
  <si>
    <t>Ambientes.Esportivos</t>
  </si>
  <si>
    <t>Ambientes.Comerciais</t>
  </si>
  <si>
    <t>Ambientes.Habitacionais</t>
  </si>
  <si>
    <t>Ambientes.de.Risco</t>
  </si>
  <si>
    <t>Ambientes.Culturais</t>
  </si>
  <si>
    <t>Ambientes.Industriais</t>
  </si>
  <si>
    <t>Elementos.Englobantes</t>
  </si>
  <si>
    <t>Elementos.de.Implantação</t>
  </si>
  <si>
    <t>Se refere ao local de implantação tipo Campus onde se encontra o projeto. Usada para projetos urbanos implantados em Lotes grandes tipo Campus.</t>
  </si>
  <si>
    <t>Se refere ao local de implantação tipo Lote urbano onde se encontra o projeto.  Usada para projetos urbanos implantados em lotes normais.</t>
  </si>
  <si>
    <t>Espaço exterior arvorizado de um projeto implantado.</t>
  </si>
  <si>
    <t>Espaço exterior de um projeto implantado.</t>
  </si>
  <si>
    <t>Delimitação de espaço construível para implantar o projeto.</t>
  </si>
  <si>
    <t>Áreas.Exteriores</t>
  </si>
  <si>
    <t>Áreas.Exteriores.Hídricas</t>
  </si>
  <si>
    <t>Áreas.Exteriores.Arvorizadas</t>
  </si>
  <si>
    <t>Construção.Vizinha</t>
  </si>
  <si>
    <t>Lote.Urbano</t>
  </si>
  <si>
    <t>Espaço exterior coberto com água ao redor do edifício implantado.</t>
  </si>
  <si>
    <t>Espaço ocupado por construções vizinhas ao local de implantação.</t>
  </si>
  <si>
    <t>Delimitação de espaço de Área Bruta do Projeto implantado.</t>
  </si>
  <si>
    <t>Espaços arquitetônicos dimensionados e equipados para a preparação de artistas.</t>
  </si>
  <si>
    <t>Espaço Industrial dimensionado e equipado com fornos ou equipamentos pesados para processamento de metais e ligas.</t>
  </si>
  <si>
    <t>Espaço Industrial dimensionado e equipado como uma Linha de Produção de bens em larga escala (automóveis, eletrônicos, têxteis e alimentos, etc.). É uma linha de montagem de máquinas automatizadas</t>
  </si>
  <si>
    <t>Espaço Industrial tipo Galpão.</t>
  </si>
  <si>
    <t>Espaços arquitetônicos dimensionados e equipados para Ensino ou Pesquisa em fabricação robótica, impressão 3D, corte a laser e outras tecnologias de fabricação.</t>
  </si>
  <si>
    <t>Divisas.e.Entorno</t>
  </si>
  <si>
    <t>Oficina</t>
  </si>
  <si>
    <t>Espaço Industrial dimensionado e equipado como uma Oficina de Produção de bens em media ou baixa escala (móveis, equipamentos, pequenos veículos etc.). É preparado para montagens.</t>
  </si>
  <si>
    <t>Oficina.de.Pintura</t>
  </si>
  <si>
    <t>Espaço Industrial dimensionado e equipado como uma Oficina de Pintura de bens em media ou baixa escala (móveis, equipamentos, pequenos veículos etc.). É preparado para montagens.</t>
  </si>
  <si>
    <t>Espaço Industrial tipo Grande Nave Industrial.</t>
  </si>
  <si>
    <t>[ 4A.43.04 ]</t>
  </si>
  <si>
    <t>[ 4A.43.37.61 ]</t>
  </si>
  <si>
    <t>[ 4A.43.37.61 , 4A.43.55.16 ]</t>
  </si>
  <si>
    <t>Zona.de.Biossegurança</t>
  </si>
  <si>
    <t>Zona espacial é usada para representar uma zona de biossegurança, normalmente onde a ventilação é crítica.</t>
  </si>
  <si>
    <t>[ 4A.01.13.04 ]</t>
  </si>
  <si>
    <t>[ 4A.01.13.07 ]</t>
  </si>
  <si>
    <t>[ 4A.04.07 ]</t>
  </si>
  <si>
    <t>Áreas.de.Preservação</t>
  </si>
  <si>
    <t>[ 4A.01.07 ]</t>
  </si>
  <si>
    <t>Espaço exterior protegido por algum tipo de disposição de preservação ambiental.</t>
  </si>
  <si>
    <t>Analítica.Espacial</t>
  </si>
  <si>
    <t>Heliodom ou Analema solar: sol.</t>
  </si>
  <si>
    <t>Heliodom Analema solar: caminho solar 1.</t>
  </si>
  <si>
    <t>Heliodom Amanhecer: texto de saída do sol.</t>
  </si>
  <si>
    <t>Heliodom Anoitecer: texto de posta do sol.</t>
  </si>
  <si>
    <t>Heliodom de Estudo Solar.</t>
  </si>
  <si>
    <t>Heliodom Superfície do sol.</t>
  </si>
  <si>
    <t>Análise de orientação da Envoltoria. Elementos orientados ao Norte, relativos ao Norte Verdadeiro ou Solar.</t>
  </si>
  <si>
    <t>Análise de orientação da Envoltoria. Elementos orientados ao Sul, relativos ao Norte Verdadeiro ou Solar.</t>
  </si>
  <si>
    <t>Análise de orientação da Envoltoria. Elementos orientados ao Oeste, relativos ao Norte Verdadeiro ou Solar.</t>
  </si>
  <si>
    <t>Análise de orientação da Envoltoria. Elementos orientados ao Leste, relativos ao Norte Verdadeiro ou Solar.</t>
  </si>
  <si>
    <t>Espaços arquitetônicos dimensionados e equipados para guardar produtos culturais como bibliotecas, hemerotecas, mapotecas, discotecas, midiatecas, etc.</t>
  </si>
  <si>
    <t>Ambiente.Shaft</t>
  </si>
  <si>
    <t xml:space="preserve">Espaços arquitetônicos que têm função de passagem vertical para sistemas prediais de tubulações e dutos. </t>
  </si>
  <si>
    <t>[ 4A.13.01 ]</t>
  </si>
  <si>
    <t>Espaços arquitetônicos dimensionados e equipados para atividade hospitalar para realizar Diagnóstico por Imagens (Tomografias, Ressonâncias, Ecografias, etc.)</t>
  </si>
  <si>
    <t>Delimitação de espaço de Afastamentos do Lote.</t>
  </si>
  <si>
    <t>Delimitação de espaço de Recuo Frontal do Lote.</t>
  </si>
  <si>
    <t>[ 4A.01.01.16 ]</t>
  </si>
  <si>
    <t>[ 4A.01.01.19 ]</t>
  </si>
  <si>
    <t>[ 4A.01.01.10 ]</t>
  </si>
  <si>
    <t>[ 4A.01 ]</t>
  </si>
  <si>
    <t>Recuo</t>
  </si>
  <si>
    <t>Afastamento</t>
  </si>
  <si>
    <t>Siderúrgico</t>
  </si>
  <si>
    <t>Espaços arquitetônicos dimensionados e equipados para atividades comerciais como compra, venda ou trocas de produtos com participação de público. Podem ser bilheterias ou espaços de atendimento.</t>
  </si>
  <si>
    <t>Espaços arquitetônicos dimensionados e equipados para atividades de alimentação de atendimento ao público como restaurantes, bares, quiosque, etc.</t>
  </si>
  <si>
    <t>Espaços arquitetônicos dimensionados e equipados para atividades de Limpeza e Manutenção predial, etc.</t>
  </si>
  <si>
    <t>Espaços arquitetônicos dimensionados e equipados para atividades que devam permanecer blindadas pelo uso de explosivos ou emissores de radiação.</t>
  </si>
  <si>
    <t xml:space="preserve">Espaços arquitetônicos dimensionados e equipados para atividades referentes a manipulação animal como biotérios ou espaços de sepultamento como cemitério ou necrotérios. </t>
  </si>
  <si>
    <t>Espaços arquitetônicos dimensionados e equipados para atividades que precisem espaços de quarentena ou controles temporários.</t>
  </si>
  <si>
    <t>Espaços arquitetônicos dimensionados e equipados para atividade hospitalar para realizar atividade de Análise Clínica.</t>
  </si>
  <si>
    <t>Espaços arquitetônicos dimensionados e equipados para atividade hospitalar para realizar atividade Quirúrgica.</t>
  </si>
  <si>
    <t>Espaços arquitetônicos dimensionados e equipados para atividade hospitalar para realizar atividades Terapéuticas em Piscina, etc.</t>
  </si>
  <si>
    <t>Espaços arquitetônicos dimensionados e equipados para atividade hospitalar para realizar atividades de Espera.</t>
  </si>
  <si>
    <t>Espaços arquitetônicos dimensionados e equipados para atividade hospitalar para realizar atividades de Consulta Médica.</t>
  </si>
  <si>
    <t>Espaços arquitetônicos dimensionados e equipados para atividade hospitalar para realizar atividades de Enfermagem.</t>
  </si>
  <si>
    <t>Espaços arquitetônicos dimensionados e equipados para atividade de Laboratório de Risco Biológico Baixo. Práticas básicas de microbiologia. Sem barreiras especiais.</t>
  </si>
  <si>
    <t>Espaços arquitetônicos dimensionados e equipados para atividade de Laboratório de Risco Biológico Moderado. Com barreiras primárias (EPIs, pia, descontaminação). Acesso restrito.</t>
  </si>
  <si>
    <t>Espaços arquitetônicos dimensionados e equipados para atividade de Laboratório de Risco Biológico Alto. Com contenção avançada (cabines de segurança, ventilação controlada, chuveiros de água). Acesso rigoroso.</t>
  </si>
  <si>
    <t>Espaços arquitetônicos dimensionados e equipados para atividade de Laboratório de Risco  Biológico Muito Alto. Com máxima contenção (macacões com ar filtrado, chuveiro químico, zonas isoladas).</t>
  </si>
  <si>
    <t>Espaços arquitetônicos dimensionados e equipados para atividades de Ensino e Pesquisa Artística relacionadas à plástica, como pintura, escultura, etc.</t>
  </si>
  <si>
    <t>Espaços arquitetônicos dimensionados e equipados para atividades de Ensino e Pesquisa de Ciências.</t>
  </si>
  <si>
    <t>Espaços arquitetônicos dimensionados e equipados para atividade hospitalar de atividades gerais de assistência à saúde.</t>
  </si>
  <si>
    <t>Espaços arquitetônicos dimensionados e equipados para atividade hospitalar para realizar processo de Internação.</t>
  </si>
  <si>
    <t>Espaços arquitetônicos dimensionados e equipados para atividade hospitalar para realizar processo de Internação de Cuidados Intensivos.</t>
  </si>
  <si>
    <t>Espaços arquitetônicos dimensionados e equipados para atividade hospitalar para realizar movimentação Veicular.</t>
  </si>
  <si>
    <t>Espaços arquitetônicos dimensionados e equipados para atividades infantis.</t>
  </si>
  <si>
    <t>Espaços arquitetônicos dimensionados e equipados para atividades de Ensino e Pesquisa geral</t>
  </si>
  <si>
    <t>Espaços arquitetônicos dimensionados e equipados para Ensino ou Pesquisa em Informática.</t>
  </si>
  <si>
    <t>Espaços arquitetônicos dimensionados e equipados para Ensino ou Pesquisa em Química.</t>
  </si>
  <si>
    <t>Espaços arquitetônicos dimensionados e equipados para Ensino ou Pesquisa em Física.</t>
  </si>
  <si>
    <t>Espaços arquitetônicos dimensionados e equipados para Ensino ou Pesquisa em Biologia.</t>
  </si>
  <si>
    <t>Espaços arquitetônicos dimensionados e equipados para Ensino ou Pesquisa em Música ou Artes Performáticas.</t>
  </si>
  <si>
    <t>Espaços arquitetônicos dimensionados e equipados para Ensino ou Pesquisa em habilidades técnicas, gráficas, eletrônicas, etc.</t>
  </si>
  <si>
    <t>Espaços arquitetônicos dimensionados e equipados para atividades escolares recreativas.</t>
  </si>
  <si>
    <t>Espaços arquitetônicos com tratamento acústico especializado como estúdios de gravação, radio e TV, etc.</t>
  </si>
  <si>
    <t>Espaços arquitetônicos dimensionados e equipados para atividades ou processos relativos a atos judiciais.</t>
  </si>
  <si>
    <t>Ambientes.Formativos</t>
  </si>
  <si>
    <t>Ambientes.de.Saúde</t>
  </si>
  <si>
    <t>HIS</t>
  </si>
  <si>
    <t>Representa uma Unidade Habitacional de Interesse Social.</t>
  </si>
  <si>
    <t>Gabarito que define o nível superior da zona saturada de água subterrânea ou lençol freático.</t>
  </si>
  <si>
    <t>Gabarito de profundidade. Pode ser usado para definir a cota superior de um projeto subterrâneo, como linha de metrô ou instalações especiais urbanas. Usado como limite de referência de penetração em profundidade para novos projetos.</t>
  </si>
  <si>
    <t>Gabarito que define os níveis variáveis de um corpo de água natural, como o mar ou crescentes máximas e mínimas de rios e lagoas. Referência para projetos em zonas litorais ou alagáveis.</t>
  </si>
  <si>
    <t>Ambientes.Específicos</t>
  </si>
  <si>
    <t>Ambiente.Telemático</t>
  </si>
  <si>
    <t>Ambiente.Acústico</t>
  </si>
  <si>
    <t>Ambiente.Anecóico</t>
  </si>
  <si>
    <t>Ambiente.Grande</t>
  </si>
  <si>
    <t>Ambiente.Reverberante</t>
  </si>
  <si>
    <t>Ambiente.Expositivo</t>
  </si>
  <si>
    <t>Ambiente.Teca</t>
  </si>
  <si>
    <t>Ambiente.Frio</t>
  </si>
  <si>
    <t>Ambiente.Gastronômico</t>
  </si>
  <si>
    <t>Ambiente.Manutenção</t>
  </si>
  <si>
    <t>Ambiente.Quarentena</t>
  </si>
  <si>
    <t>Ambiente.Estacionamento</t>
  </si>
  <si>
    <t>Ambiente.Tribunal</t>
  </si>
  <si>
    <t>Ambiente.Tério</t>
  </si>
  <si>
    <t>Ambiente.Blindado</t>
  </si>
  <si>
    <t>Ambiente.Logístico</t>
  </si>
  <si>
    <t>Espaços arquitetônicos dimensionados como grandes ambientes estruturantes de um projeto, como plateias de cinema, teatro, etc.</t>
  </si>
  <si>
    <t>Ambiente.Trabalho</t>
  </si>
  <si>
    <t>Ambiente.Trocas</t>
  </si>
  <si>
    <t>Ambiente.Social</t>
  </si>
  <si>
    <t>Ambiente.Intimo</t>
  </si>
  <si>
    <t>Ambiente.Higiene</t>
  </si>
  <si>
    <t>Ambiente.Serviço</t>
  </si>
  <si>
    <t xml:space="preserve">Ambiente.Lazer </t>
  </si>
  <si>
    <t>Ambiente.Profissional</t>
  </si>
  <si>
    <t>Ambiente.Saúde</t>
  </si>
  <si>
    <t>Ambiente.Análises</t>
  </si>
  <si>
    <t>Ambiente.Quirúrgico</t>
  </si>
  <si>
    <t>Ambiente.Internação</t>
  </si>
  <si>
    <t>Ambiente.UTI</t>
  </si>
  <si>
    <t>Ambiente.Imagem</t>
  </si>
  <si>
    <t>Ambiente.Terapia</t>
  </si>
  <si>
    <t>Ambiente.Hidroterapia</t>
  </si>
  <si>
    <t>Ambiente.Emergência</t>
  </si>
  <si>
    <t>Ambiente.Triagem</t>
  </si>
  <si>
    <t>Ambiente.Veicular</t>
  </si>
  <si>
    <t>Ambiente.Espera</t>
  </si>
  <si>
    <t>Ambiente.Consultório</t>
  </si>
  <si>
    <t>Ambiente.Enfermagem</t>
  </si>
  <si>
    <t>Ambiente.Infantil</t>
  </si>
  <si>
    <t>Ambiente.Ensino</t>
  </si>
  <si>
    <t>Ambiente.Ensino.Artístico</t>
  </si>
  <si>
    <t>Ambiente.Ensino.Científico</t>
  </si>
  <si>
    <t>Ambiente.Ensino.Técnico</t>
  </si>
  <si>
    <t>Ambiente.Ensino.Informática</t>
  </si>
  <si>
    <t>Ambiente.Ensino.Química</t>
  </si>
  <si>
    <t>Ambiente.Ensino.Física</t>
  </si>
  <si>
    <t>Ambiente.Ensino.Biologia</t>
  </si>
  <si>
    <t>Ambiente.Ensino.Música</t>
  </si>
  <si>
    <t>Ambiente.Ensino.FabLab</t>
  </si>
  <si>
    <t>Ambiente.Recreativo</t>
  </si>
  <si>
    <t>Ambiente.Biossegurança.NB1</t>
  </si>
  <si>
    <t>Ambiente.Biossegurança.NB2</t>
  </si>
  <si>
    <t>Ambiente.Biossegurança.NB3</t>
  </si>
  <si>
    <t>Ambiente.Biossegurança.NB4</t>
  </si>
  <si>
    <t>Ambiente.Esportivo</t>
  </si>
  <si>
    <t>Ambiente.Quadra.Esportiva</t>
  </si>
  <si>
    <t>Ambiente.Piscina.Esportiva</t>
  </si>
  <si>
    <t>Ambiente.Pista.Esportiva</t>
  </si>
  <si>
    <t>Ambiente.Arquibancada</t>
  </si>
  <si>
    <t>Ambiente.Vestiário.Esportivo</t>
  </si>
  <si>
    <t>Ambiente.Paramentação</t>
  </si>
  <si>
    <t>Espaços arquitetônicos dimensionados e equipados para atividade de Paramentação de profissional que trabalha em ambiente de contenção de Biossegurança.</t>
  </si>
  <si>
    <t>Espaços arquitetônicos dimensionados e equipados para atividades de ingresso, estadia e egresso de veículos.</t>
  </si>
  <si>
    <t>[ Verificar em 4A.... ]</t>
  </si>
  <si>
    <t>[ Verificar em 4U.... ]</t>
  </si>
  <si>
    <t>Ambiente.Biossegurança.NB1 or Ambiente.Biossegurança.NB2 or Ambiente.Biossegurança.NB3 or Ambiente.Biossegurança.NB4</t>
  </si>
  <si>
    <t>Define um contêiner de informação de acordo à norma NBR 19650-1. Definição do Projeto.</t>
  </si>
  <si>
    <t>Requisito.Espacial</t>
  </si>
  <si>
    <t>Requisito.Mobiliário</t>
  </si>
  <si>
    <t>Requisito.Equipamento</t>
  </si>
  <si>
    <t>Requisito.Sistemas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</si>
  <si>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</si>
  <si>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</si>
  <si>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</si>
  <si>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</si>
  <si>
    <t>Gestão</t>
  </si>
  <si>
    <t>uso</t>
  </si>
  <si>
    <t>"[ OST_Mass ]"</t>
  </si>
  <si>
    <t>"[ OST_Levels ]"</t>
  </si>
  <si>
    <t>"[ IfcBuildingStorey ]"</t>
  </si>
  <si>
    <t>"[ IfcSpace ]"</t>
  </si>
  <si>
    <t>ponto.xyz</t>
  </si>
  <si>
    <t>"[ 10.0 29.0 0.0 ]"</t>
  </si>
  <si>
    <t>identificador.ifc</t>
  </si>
  <si>
    <t>ambiente.código</t>
  </si>
  <si>
    <t>Conceito</t>
  </si>
  <si>
    <t>Contêineres</t>
  </si>
  <si>
    <t>Define un contenedor de información de acuerdo con la norma NBR 19650-1.</t>
  </si>
  <si>
    <t>[ 5I ]</t>
  </si>
  <si>
    <t>Andar</t>
  </si>
  <si>
    <t>Andar de edifício.</t>
  </si>
  <si>
    <t>De.Arquitetura</t>
  </si>
  <si>
    <t>[ OST_MEPZone ]</t>
  </si>
  <si>
    <t>código.abnt</t>
  </si>
  <si>
    <t>Novo Edifício</t>
  </si>
  <si>
    <t>Edifício existente</t>
  </si>
  <si>
    <t>Campus existente</t>
  </si>
  <si>
    <t>Zonificação existente</t>
  </si>
  <si>
    <t>Compartimento existente</t>
  </si>
  <si>
    <t>Novo Compartimento</t>
  </si>
  <si>
    <t>Andar do prédio existente</t>
  </si>
  <si>
    <t>Novo Campus</t>
  </si>
  <si>
    <t>Nova Zonificação</t>
  </si>
  <si>
    <t>Novo Andar do edifício</t>
  </si>
  <si>
    <t>Espaços.Existentes</t>
  </si>
  <si>
    <t>Espaços.Novos</t>
  </si>
  <si>
    <t>CT.Projeto</t>
  </si>
  <si>
    <t>CT.Ambientes</t>
  </si>
  <si>
    <t>CT.Pavimentos</t>
  </si>
  <si>
    <t>CT.Pavto1</t>
  </si>
  <si>
    <t>CT.Pavto2</t>
  </si>
  <si>
    <t>CT.Pavto3</t>
  </si>
  <si>
    <t>CT.Pavto4</t>
  </si>
  <si>
    <t>UFRJ.Campus</t>
  </si>
  <si>
    <t>Novo Bloco Edificado</t>
  </si>
  <si>
    <t>Bloco Edificado existente</t>
  </si>
  <si>
    <t>"Contêiner: Pavimentos do CT."</t>
  </si>
  <si>
    <t>"Contêiner: Ambientes do CT."</t>
  </si>
  <si>
    <t>"Contêiner: UFRJ - Cidade Universitária - RJ."</t>
  </si>
  <si>
    <t>"Contêiner: Campus Cidade Universitária de Rio de Janeiro."</t>
  </si>
  <si>
    <t>"[ OST_Rooms ]"</t>
  </si>
  <si>
    <t>"Simbolo de Tag para Ambientes usado em Revit"</t>
  </si>
  <si>
    <t>Mesa.01</t>
  </si>
  <si>
    <t>Layout</t>
  </si>
  <si>
    <t>Mobiliários</t>
  </si>
  <si>
    <t>Equipamentos</t>
  </si>
  <si>
    <t>"[ OST_Furniture ]"</t>
  </si>
  <si>
    <t>"Nome da familia de Mobiliário usado em Revit"</t>
  </si>
  <si>
    <t>"[ IfcFurniture ]"</t>
  </si>
  <si>
    <t>Mesa.02</t>
  </si>
  <si>
    <t>Mesa.03</t>
  </si>
  <si>
    <t>"[ 12.0 29.0 0.0 ]"</t>
  </si>
  <si>
    <t>"[ 14.0 29.0 0.0 ]"</t>
  </si>
  <si>
    <t>número.de.inventário</t>
  </si>
  <si>
    <t>"inv.m.10001"</t>
  </si>
  <si>
    <t>"inv.m.10002"</t>
  </si>
  <si>
    <t>"inv.m.10003"</t>
  </si>
  <si>
    <t>"Mesa de computador articulada 60x60"</t>
  </si>
  <si>
    <t>item.de.inventário</t>
  </si>
  <si>
    <t>Sala.de.Aula</t>
  </si>
  <si>
    <t>Sala.LIG</t>
  </si>
  <si>
    <t>Sanit.Fem.1D</t>
  </si>
  <si>
    <t>Sanit.Mas.1D</t>
  </si>
  <si>
    <t>"S. Fem."</t>
  </si>
  <si>
    <t>"S. Masc."</t>
  </si>
  <si>
    <t>"DSan1"</t>
  </si>
  <si>
    <t>"DSan2"</t>
  </si>
  <si>
    <t>Coppe2</t>
  </si>
  <si>
    <t>"Instituto Alberto Luiz Coimbra."</t>
  </si>
  <si>
    <t>"Primeira Sede da COPPE, distribuida dentro dos Blocos do prédio do CT."</t>
  </si>
  <si>
    <t>Coppe1</t>
  </si>
  <si>
    <t>"Segunda Sede da COPPE, conhecida como COPPE 2 com novos blocos edificados."</t>
  </si>
  <si>
    <t>"LIG da POLI dedicado ao ensino de Expressão Gráfica."</t>
  </si>
  <si>
    <t>"Departamento de Expressão Gráfica da Escola Politécnica."</t>
  </si>
  <si>
    <t>"Bloco da POLI-COPPE F no CT da UFRJ."</t>
  </si>
  <si>
    <t>"Bloco da POLI-COPPE G no CT da UFRJ."</t>
  </si>
  <si>
    <t>"Bloco da POLI-COPPE H no CT da UFRJ."</t>
  </si>
  <si>
    <t>"Bloco da POLI-COPPE I no CT da UFRJ."</t>
  </si>
  <si>
    <t>"Sala de aula de Desenho com pranchetas."</t>
  </si>
  <si>
    <t>"Bloco da POLI A no CT da UFRJ."</t>
  </si>
  <si>
    <t>"Bloco da POLI AB no CT da UFRJ."</t>
  </si>
  <si>
    <t>"Bloco da POLI ABC no CT da UFRJ."</t>
  </si>
  <si>
    <t>"Bloco da POLI B no CT da UFRJ."</t>
  </si>
  <si>
    <t>"Bloco da POLI C no CT da UFRJ."</t>
  </si>
  <si>
    <t>"Bloco da POLI D no CT da UFRJ."</t>
  </si>
  <si>
    <t>"Bloco da E da Escola de Química no CT da UFRJ."</t>
  </si>
  <si>
    <t>"Bloco do CCMN na UFRJ."</t>
  </si>
  <si>
    <t>"Bloco da POLI na UFRJ."</t>
  </si>
  <si>
    <t>"Bloco L da COPPE na UFRJ."</t>
  </si>
  <si>
    <t>"Bloco M da COPPE na UFRJ."</t>
  </si>
  <si>
    <t>"Bloco N da COPPE na UFRJ."</t>
  </si>
  <si>
    <t>"Bloco O da COPPE na UFRJ."</t>
  </si>
  <si>
    <t>"Bloco P da COPPE na UFRJ."</t>
  </si>
  <si>
    <t>"Bloco Q da COPPE na UFRJ."</t>
  </si>
  <si>
    <t>"Bloco do Insituto de Macromoléculas."</t>
  </si>
  <si>
    <t>"Bloco da COPPE."</t>
  </si>
  <si>
    <t>"1° Pavimento do Edifício."</t>
  </si>
  <si>
    <t>"2° Pavimento do Edifício."</t>
  </si>
  <si>
    <t>"3° Pavimento do Edifício."</t>
  </si>
  <si>
    <t>"4° Pavimento do Edifício."</t>
  </si>
  <si>
    <t>"Bloco do Centro de Tecnologia da UFRJ."</t>
  </si>
  <si>
    <t>"Bloco da COPPE na UFRJ."</t>
  </si>
  <si>
    <t>"Bloco K da POLI-COPPE na UFRJ."</t>
  </si>
  <si>
    <t>"Instituição de Ensino Superior."</t>
  </si>
  <si>
    <t>"ID da Instância ou GlobalID."</t>
  </si>
  <si>
    <t>é.indivíduo.de</t>
  </si>
  <si>
    <t>San.Fem</t>
  </si>
  <si>
    <t>San.Mas</t>
  </si>
  <si>
    <t>Blocos.Edilícios</t>
  </si>
  <si>
    <t>Zonas.Prediais</t>
  </si>
  <si>
    <t>Zonificação</t>
  </si>
  <si>
    <t>Eq.Bancada.1</t>
  </si>
  <si>
    <t>Eq.Vaso.1</t>
  </si>
  <si>
    <t>Eq.Pia.1</t>
  </si>
  <si>
    <t>"Símbolo de Revit usado"</t>
  </si>
  <si>
    <t>é.requisito.hidrossanitário</t>
  </si>
  <si>
    <t>marca</t>
  </si>
  <si>
    <t>"Deca"</t>
  </si>
  <si>
    <t>modelo</t>
  </si>
  <si>
    <t>"Bancada X"</t>
  </si>
  <si>
    <t>"Vaso X"</t>
  </si>
  <si>
    <t>"Pia X"</t>
  </si>
  <si>
    <t>"[ OST_PlumbingFixtures , OST_PlumbingEquipment ]"</t>
  </si>
  <si>
    <t>"[ IfcSanitaryTerminal ]"</t>
  </si>
  <si>
    <t>Sala.D203</t>
  </si>
  <si>
    <t>"Departamento de Estruturas"</t>
  </si>
  <si>
    <t>"D203"</t>
  </si>
  <si>
    <t>"Departamento de Estruturas da Escola Politécnica."</t>
  </si>
  <si>
    <t>"Ambiente utilizado por professores de uma instituição de ensino."</t>
  </si>
  <si>
    <t>"Ambiente utilizado para o ensino de disciplinas gerais, sem necessidade de equipamentos especiais."</t>
  </si>
  <si>
    <t>"Ambiente utilizado para o ensino de disciplinas TIC, que utilizam computadores."</t>
  </si>
  <si>
    <t>"Ambiente utilizado como sanitário feminino padrão."</t>
  </si>
  <si>
    <t>"Ambiente utilizado como sanitário masculino padrão."</t>
  </si>
  <si>
    <t>"Sanitário Feminino localizado no 1° pavimento do Bloco D do CT."</t>
  </si>
  <si>
    <t>"Sanitário Masculino localizado no 1° pavimento do Bloco D do CT."</t>
  </si>
  <si>
    <t>Eq.Mic.1</t>
  </si>
  <si>
    <t>"Mictório X"</t>
  </si>
  <si>
    <t>"Vaso sanitário para os sanitários do projeto."</t>
  </si>
  <si>
    <t>"Bancada para os sanitários do projeto."</t>
  </si>
  <si>
    <t>"Pia para as bancadas sanitárias do projeto."</t>
  </si>
  <si>
    <t>"Mictório para sanitários masculinos do projeto."</t>
  </si>
  <si>
    <t>"Requisitos para os sanitários femininos."</t>
  </si>
  <si>
    <t>"Requisitos para os sanitários masculinos."</t>
  </si>
  <si>
    <t>"SAN-01"</t>
  </si>
  <si>
    <t>"SAN-02"</t>
  </si>
  <si>
    <t>Indivíduo (não duplicados)</t>
  </si>
  <si>
    <t>Depto.Acadêmico</t>
  </si>
  <si>
    <t>"Sala de aula de desenho com pranchetas."</t>
  </si>
  <si>
    <t>"Mesa de computador inventariada"</t>
  </si>
  <si>
    <t>Campus.Existente</t>
  </si>
  <si>
    <t>Edifício.Existente</t>
  </si>
  <si>
    <t>Bloco.Existente</t>
  </si>
  <si>
    <t>Zona.Existente</t>
  </si>
  <si>
    <t>Andar.Existente</t>
  </si>
  <si>
    <t>Compartimento.Existente</t>
  </si>
  <si>
    <t>Campus.Novo</t>
  </si>
  <si>
    <t>Compartimento.Novo</t>
  </si>
  <si>
    <t>Andar.Novo</t>
  </si>
  <si>
    <t>Zona.Novo</t>
  </si>
  <si>
    <t>Bloco.Novo</t>
  </si>
  <si>
    <t>Edifício.Novo</t>
  </si>
  <si>
    <t>Móvel.Novo</t>
  </si>
  <si>
    <t>Equipamento.Novo</t>
  </si>
  <si>
    <t>Móvel.Inventariado</t>
  </si>
  <si>
    <t>Equipamento.Inventariado</t>
  </si>
  <si>
    <t>Área.Edificável</t>
  </si>
  <si>
    <t>Móvel Inventariado</t>
  </si>
  <si>
    <t>Móvel Novo</t>
  </si>
  <si>
    <t>Equipamento Inventariado</t>
  </si>
  <si>
    <t>Equipamento Novo</t>
  </si>
  <si>
    <t>Req.Eq.San.F</t>
  </si>
  <si>
    <t>Req.Eq.San.M</t>
  </si>
  <si>
    <t>"[ 1D.21.11.24 , 4A.07.10.07 ]"</t>
  </si>
  <si>
    <t>"[ 1D.21.11.24 , 4U ]"</t>
  </si>
  <si>
    <t>"[ 1D.21.11.24 , 4A ]"</t>
  </si>
  <si>
    <t>"[ 1D.21.11.24 ]"</t>
  </si>
  <si>
    <t>"[ 1D.21.31.17.11 , 3E.42 ]"</t>
  </si>
  <si>
    <t>Espacialidade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</si>
</sst>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2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E598"/>
      </patternFill>
    </fill>
    <fill>
      <patternFill patternType="solid">
        <fgColor theme="5" tint="0.79998168889431442"/>
        <bgColor rgb="FFD9F2D0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4" fillId="5" borderId="4" xfId="0" applyFont="1" applyFill="1" applyBorder="1" applyAlignment="1">
      <alignment vertical="center" wrapText="1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8" fillId="4" borderId="4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left" vertical="center" wrapText="1"/>
    </xf>
    <xf numFmtId="0" fontId="3" fillId="3" borderId="4" xfId="0" applyFont="1" applyFill="1" applyBorder="1" applyAlignment="1">
      <alignment horizontal="left" vertical="center" wrapText="1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9" fillId="8" borderId="4" xfId="0" applyFont="1" applyFill="1" applyBorder="1" applyAlignment="1">
      <alignment horizontal="left" vertical="center"/>
    </xf>
    <xf numFmtId="0" fontId="4" fillId="10" borderId="4" xfId="0" applyFont="1" applyFill="1" applyBorder="1" applyAlignment="1">
      <alignment horizontal="left" vertical="center"/>
    </xf>
    <xf numFmtId="0" fontId="9" fillId="8" borderId="4" xfId="0" applyFont="1" applyFill="1" applyBorder="1" applyAlignment="1">
      <alignment horizontal="left" vertical="center" wrapText="1"/>
    </xf>
    <xf numFmtId="0" fontId="4" fillId="12" borderId="4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6" fillId="11" borderId="4" xfId="0" applyFont="1" applyFill="1" applyBorder="1" applyAlignment="1">
      <alignment horizontal="left" vertical="center"/>
    </xf>
    <xf numFmtId="0" fontId="3" fillId="3" borderId="8" xfId="0" applyFont="1" applyFill="1" applyBorder="1" applyAlignment="1">
      <alignment horizontal="left" vertical="center" wrapText="1"/>
    </xf>
    <xf numFmtId="0" fontId="2" fillId="5" borderId="4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left" vertical="center" wrapText="1"/>
    </xf>
    <xf numFmtId="0" fontId="2" fillId="14" borderId="4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 wrapText="1"/>
    </xf>
    <xf numFmtId="0" fontId="6" fillId="16" borderId="4" xfId="0" applyFont="1" applyFill="1" applyBorder="1" applyAlignment="1">
      <alignment horizontal="left" vertical="center" wrapText="1"/>
    </xf>
    <xf numFmtId="0" fontId="6" fillId="17" borderId="4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18" borderId="4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1" fillId="3" borderId="4" xfId="0" applyFont="1" applyFill="1" applyBorder="1" applyAlignment="1">
      <alignment horizontal="left" vertical="center" wrapText="1"/>
    </xf>
    <xf numFmtId="0" fontId="9" fillId="19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2" fillId="15" borderId="4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4" fillId="2" borderId="4" xfId="0" applyFont="1" applyFill="1" applyBorder="1" applyAlignment="1">
      <alignment horizontal="left" vertical="center"/>
    </xf>
    <xf numFmtId="0" fontId="2" fillId="21" borderId="4" xfId="0" applyFont="1" applyFill="1" applyBorder="1" applyAlignment="1">
      <alignment horizontal="left" vertical="center"/>
    </xf>
    <xf numFmtId="0" fontId="7" fillId="2" borderId="4" xfId="0" applyFont="1" applyFill="1" applyBorder="1" applyAlignment="1">
      <alignment horizontal="left" vertical="center"/>
    </xf>
    <xf numFmtId="0" fontId="4" fillId="5" borderId="4" xfId="0" applyFont="1" applyFill="1" applyBorder="1" applyAlignment="1">
      <alignment horizontal="left" vertical="center"/>
    </xf>
    <xf numFmtId="0" fontId="4" fillId="15" borderId="4" xfId="0" applyFont="1" applyFill="1" applyBorder="1" applyAlignment="1">
      <alignment horizontal="left" vertical="center"/>
    </xf>
    <xf numFmtId="0" fontId="2" fillId="13" borderId="4" xfId="0" applyFont="1" applyFill="1" applyBorder="1" applyAlignment="1">
      <alignment horizontal="right" vertical="center"/>
    </xf>
    <xf numFmtId="0" fontId="10" fillId="0" borderId="0" xfId="0" applyFont="1" applyAlignment="1">
      <alignment horizontal="left" vertical="center"/>
    </xf>
    <xf numFmtId="0" fontId="3" fillId="2" borderId="4" xfId="0" applyFont="1" applyFill="1" applyBorder="1" applyAlignment="1">
      <alignment horizontal="right" vertical="center" wrapText="1"/>
    </xf>
    <xf numFmtId="0" fontId="2" fillId="0" borderId="0" xfId="0" applyFont="1" applyAlignment="1">
      <alignment horizontal="right" vertical="center"/>
    </xf>
    <xf numFmtId="0" fontId="9" fillId="8" borderId="4" xfId="0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2" fillId="15" borderId="4" xfId="0" applyFont="1" applyFill="1" applyBorder="1" applyAlignment="1">
      <alignment vertical="center"/>
    </xf>
    <xf numFmtId="0" fontId="3" fillId="3" borderId="4" xfId="0" applyFont="1" applyFill="1" applyBorder="1" applyAlignment="1">
      <alignment vertical="center" wrapText="1"/>
    </xf>
    <xf numFmtId="0" fontId="2" fillId="0" borderId="0" xfId="0" applyFont="1" applyAlignment="1">
      <alignment vertical="center"/>
    </xf>
    <xf numFmtId="0" fontId="3" fillId="3" borderId="8" xfId="0" applyFont="1" applyFill="1" applyBorder="1" applyAlignment="1">
      <alignment vertical="center" wrapText="1"/>
    </xf>
    <xf numFmtId="0" fontId="2" fillId="20" borderId="8" xfId="0" applyFont="1" applyFill="1" applyBorder="1" applyAlignment="1">
      <alignment vertical="center" wrapText="1"/>
    </xf>
    <xf numFmtId="0" fontId="10" fillId="0" borderId="0" xfId="0" applyFont="1" applyAlignment="1">
      <alignment vertical="center"/>
    </xf>
  </cellXfs>
  <cellStyles count="1">
    <cellStyle name="Normal" xfId="0" builtinId="0"/>
  </cellStyles>
  <dxfs count="8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6"/>
  <sheetViews>
    <sheetView zoomScale="160" zoomScaleNormal="160" workbookViewId="0">
      <pane ySplit="1" topLeftCell="A2" activePane="bottomLeft" state="frozen"/>
      <selection pane="bottomLeft" activeCell="B26" sqref="B26"/>
    </sheetView>
  </sheetViews>
  <sheetFormatPr defaultRowHeight="9" customHeight="1" x14ac:dyDescent="0.25"/>
  <cols>
    <col min="1" max="1" width="9.28515625" customWidth="1"/>
    <col min="2" max="2" width="51.7109375" bestFit="1" customWidth="1"/>
    <col min="3" max="3" width="3.42578125" style="42" bestFit="1" customWidth="1"/>
  </cols>
  <sheetData>
    <row r="1" spans="1:3" ht="14.25" customHeight="1" x14ac:dyDescent="0.25">
      <c r="A1" s="15" t="s">
        <v>47</v>
      </c>
      <c r="B1" s="15" t="s">
        <v>48</v>
      </c>
      <c r="C1" s="40" t="s">
        <v>273</v>
      </c>
    </row>
    <row r="2" spans="1:3" ht="9" customHeight="1" x14ac:dyDescent="0.25">
      <c r="A2" s="16" t="s">
        <v>49</v>
      </c>
      <c r="B2" s="16" t="s">
        <v>50</v>
      </c>
      <c r="C2" s="41" t="s">
        <v>274</v>
      </c>
    </row>
    <row r="3" spans="1:3" ht="9" customHeight="1" x14ac:dyDescent="0.25">
      <c r="A3" s="16" t="s">
        <v>51</v>
      </c>
      <c r="B3" s="16" t="s">
        <v>343</v>
      </c>
      <c r="C3" s="41" t="s">
        <v>274</v>
      </c>
    </row>
    <row r="4" spans="1:3" ht="9" customHeight="1" x14ac:dyDescent="0.25">
      <c r="A4" s="17" t="s">
        <v>52</v>
      </c>
      <c r="B4" s="17" t="s">
        <v>33</v>
      </c>
      <c r="C4" s="41" t="s">
        <v>274</v>
      </c>
    </row>
    <row r="5" spans="1:3" ht="9" customHeight="1" x14ac:dyDescent="0.25">
      <c r="A5" s="17" t="s">
        <v>53</v>
      </c>
      <c r="B5" s="17" t="str">
        <f>_xlfn.CONCAT(B4,"Prop")</f>
        <v>BIMProp</v>
      </c>
      <c r="C5" s="41" t="s">
        <v>274</v>
      </c>
    </row>
    <row r="6" spans="1:3" ht="9" customHeight="1" x14ac:dyDescent="0.25">
      <c r="A6" s="17" t="s">
        <v>54</v>
      </c>
      <c r="B6" s="17" t="str">
        <f>_xlfn.CONCAT(B4,"Data")</f>
        <v>BIMData</v>
      </c>
      <c r="C6" s="41" t="s">
        <v>274</v>
      </c>
    </row>
    <row r="7" spans="1:3" ht="9" customHeight="1" x14ac:dyDescent="0.25">
      <c r="A7" s="17" t="s">
        <v>55</v>
      </c>
      <c r="B7" s="18" t="s">
        <v>56</v>
      </c>
      <c r="C7" s="41" t="s">
        <v>274</v>
      </c>
    </row>
    <row r="8" spans="1:3" ht="9" customHeight="1" x14ac:dyDescent="0.25">
      <c r="A8" s="17" t="s">
        <v>57</v>
      </c>
      <c r="B8" s="17" t="s">
        <v>271</v>
      </c>
      <c r="C8" s="41" t="s">
        <v>274</v>
      </c>
    </row>
    <row r="9" spans="1:3" ht="9" customHeight="1" x14ac:dyDescent="0.25">
      <c r="A9" s="17" t="s">
        <v>58</v>
      </c>
      <c r="B9" s="17" t="s">
        <v>59</v>
      </c>
      <c r="C9" s="41" t="s">
        <v>274</v>
      </c>
    </row>
    <row r="10" spans="1:3" ht="9" customHeight="1" x14ac:dyDescent="0.25">
      <c r="A10" s="17" t="s">
        <v>60</v>
      </c>
      <c r="B10" s="17" t="s">
        <v>61</v>
      </c>
      <c r="C10" s="41" t="s">
        <v>274</v>
      </c>
    </row>
    <row r="11" spans="1:3" ht="9" customHeight="1" x14ac:dyDescent="0.25">
      <c r="A11" s="17" t="s">
        <v>62</v>
      </c>
      <c r="B11" s="17" t="s">
        <v>61</v>
      </c>
      <c r="C11" s="41" t="s">
        <v>274</v>
      </c>
    </row>
    <row r="12" spans="1:3" ht="9" customHeight="1" x14ac:dyDescent="0.25">
      <c r="A12" s="17" t="s">
        <v>63</v>
      </c>
      <c r="B12" s="17" t="s">
        <v>61</v>
      </c>
      <c r="C12" s="41" t="s">
        <v>274</v>
      </c>
    </row>
    <row r="13" spans="1:3" ht="9" customHeight="1" x14ac:dyDescent="0.25">
      <c r="A13" s="17" t="s">
        <v>64</v>
      </c>
      <c r="B13" s="17" t="s">
        <v>61</v>
      </c>
      <c r="C13" s="41" t="s">
        <v>274</v>
      </c>
    </row>
    <row r="14" spans="1:3" ht="9" customHeight="1" x14ac:dyDescent="0.25">
      <c r="A14" s="17" t="s">
        <v>65</v>
      </c>
      <c r="B14" s="17" t="s">
        <v>61</v>
      </c>
      <c r="C14" s="41" t="s">
        <v>274</v>
      </c>
    </row>
    <row r="15" spans="1:3" ht="9" customHeight="1" x14ac:dyDescent="0.25">
      <c r="A15" s="17" t="s">
        <v>66</v>
      </c>
      <c r="B15" s="17" t="s">
        <v>61</v>
      </c>
      <c r="C15" s="41" t="s">
        <v>274</v>
      </c>
    </row>
    <row r="16" spans="1:3" ht="9" customHeight="1" x14ac:dyDescent="0.25">
      <c r="A16" s="17" t="s">
        <v>67</v>
      </c>
      <c r="B16" s="17" t="s">
        <v>61</v>
      </c>
      <c r="C16" s="41" t="s">
        <v>274</v>
      </c>
    </row>
    <row r="17" spans="1:3" ht="9" customHeight="1" x14ac:dyDescent="0.25">
      <c r="A17" s="17" t="s">
        <v>68</v>
      </c>
      <c r="B17" s="17" t="s">
        <v>269</v>
      </c>
      <c r="C17" s="41" t="s">
        <v>274</v>
      </c>
    </row>
    <row r="18" spans="1:3" ht="9" customHeight="1" x14ac:dyDescent="0.25">
      <c r="A18" s="17" t="s">
        <v>69</v>
      </c>
      <c r="B18" s="19">
        <f ca="1">NOW()</f>
        <v>46217.607994560189</v>
      </c>
      <c r="C18" s="41" t="s">
        <v>274</v>
      </c>
    </row>
    <row r="19" spans="1:3" ht="9" customHeight="1" x14ac:dyDescent="0.25">
      <c r="A19" s="17" t="s">
        <v>280</v>
      </c>
      <c r="B19" s="19" t="s">
        <v>283</v>
      </c>
      <c r="C19" s="41" t="s">
        <v>274</v>
      </c>
    </row>
    <row r="20" spans="1:3" ht="9" customHeight="1" x14ac:dyDescent="0.25">
      <c r="A20" s="17" t="s">
        <v>281</v>
      </c>
      <c r="B20" s="19" t="str">
        <f>_xlfn.TRANSLATE(B19,"pt","es")</f>
        <v>Traducciones al español e inglés incorporadas. Las traducciones deben revisarse constantemente</v>
      </c>
      <c r="C20" s="41" t="s">
        <v>275</v>
      </c>
    </row>
    <row r="21" spans="1:3" ht="9" customHeight="1" x14ac:dyDescent="0.25">
      <c r="A21" s="17" t="s">
        <v>282</v>
      </c>
      <c r="B21" s="19" t="str">
        <f>_xlfn.TRANSLATE(B19,"pt","es")</f>
        <v>Traducciones al español e inglés incorporadas. Las traducciones deben revisarse constantemente</v>
      </c>
      <c r="C21" s="41" t="s">
        <v>276</v>
      </c>
    </row>
    <row r="22" spans="1:3" ht="9" customHeight="1" x14ac:dyDescent="0.25">
      <c r="A22" s="17" t="s">
        <v>70</v>
      </c>
      <c r="B22" s="17" t="s">
        <v>61</v>
      </c>
      <c r="C22" s="41" t="s">
        <v>274</v>
      </c>
    </row>
    <row r="23" spans="1:3" ht="9" customHeight="1" x14ac:dyDescent="0.25">
      <c r="A23" s="17" t="s">
        <v>71</v>
      </c>
      <c r="B23" s="17" t="s">
        <v>61</v>
      </c>
      <c r="C23" s="41" t="s">
        <v>274</v>
      </c>
    </row>
    <row r="24" spans="1:3" ht="9" customHeight="1" x14ac:dyDescent="0.25">
      <c r="A24" s="17" t="s">
        <v>72</v>
      </c>
      <c r="B24" s="20" t="s">
        <v>344</v>
      </c>
      <c r="C24" s="41" t="s">
        <v>274</v>
      </c>
    </row>
    <row r="25" spans="1:3" ht="9" customHeight="1" x14ac:dyDescent="0.25">
      <c r="A25" s="17" t="s">
        <v>73</v>
      </c>
      <c r="B25" s="20" t="s">
        <v>345</v>
      </c>
      <c r="C25" s="41" t="s">
        <v>275</v>
      </c>
    </row>
    <row r="26" spans="1:3" ht="9" customHeight="1" x14ac:dyDescent="0.25">
      <c r="A26" s="17" t="s">
        <v>272</v>
      </c>
      <c r="B26" s="20" t="str">
        <f>_xlfn.TRANSLATE(B24,"pt","en")</f>
        <v>Formalize elements of the BIM project. Unidades_Funcionais Zones and Environments. Environments of the UFRJ Technology Center</v>
      </c>
      <c r="C26" s="41" t="s">
        <v>276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/>
  <dimension ref="A1:AA190"/>
  <sheetViews>
    <sheetView tabSelected="1" zoomScale="205" zoomScaleNormal="205" workbookViewId="0">
      <pane ySplit="1" topLeftCell="A172" activePane="bottomLeft" state="frozen"/>
      <selection pane="bottomLeft" activeCell="E187" sqref="E187:E190"/>
    </sheetView>
  </sheetViews>
  <sheetFormatPr defaultColWidth="9.140625" defaultRowHeight="6.75" customHeight="1" x14ac:dyDescent="0.25"/>
  <cols>
    <col min="1" max="1" width="3.140625" style="54" bestFit="1" customWidth="1"/>
    <col min="2" max="2" width="5.7109375" style="38" bestFit="1" customWidth="1"/>
    <col min="3" max="3" width="7.42578125" style="38" customWidth="1"/>
    <col min="4" max="4" width="11.7109375" style="38" customWidth="1"/>
    <col min="5" max="5" width="13.7109375" style="38" bestFit="1" customWidth="1"/>
    <col min="6" max="6" width="12.7109375" style="38" customWidth="1"/>
    <col min="7" max="10" width="6.7109375" style="38" customWidth="1"/>
    <col min="11" max="11" width="56.42578125" style="38" customWidth="1"/>
    <col min="12" max="12" width="6.85546875" style="38" customWidth="1"/>
    <col min="13" max="13" width="11.140625" style="38" customWidth="1"/>
    <col min="14" max="14" width="9.5703125" style="38" customWidth="1"/>
    <col min="15" max="15" width="12.28515625" style="38" customWidth="1"/>
    <col min="16" max="16" width="82.42578125" style="38" bestFit="1" customWidth="1"/>
    <col min="17" max="17" width="83.85546875" style="38" bestFit="1" customWidth="1"/>
    <col min="18" max="18" width="8.140625" style="60" customWidth="1"/>
    <col min="19" max="19" width="6.85546875" style="38" customWidth="1"/>
    <col min="20" max="20" width="11.140625" style="38" customWidth="1"/>
    <col min="21" max="21" width="12.85546875" style="38" bestFit="1" customWidth="1"/>
    <col min="22" max="22" width="6.42578125" style="38" customWidth="1"/>
    <col min="23" max="23" width="7.28515625" style="52" customWidth="1"/>
    <col min="24" max="24" width="26" style="52" bestFit="1" customWidth="1"/>
    <col min="25" max="25" width="19.7109375" style="52" customWidth="1"/>
    <col min="26" max="26" width="14.5703125" style="63" customWidth="1"/>
    <col min="27" max="27" width="70.85546875" style="38" bestFit="1" customWidth="1"/>
    <col min="28" max="16384" width="9.140625" style="38"/>
  </cols>
  <sheetData>
    <row r="1" spans="1:27" s="26" customFormat="1" ht="48" customHeight="1" x14ac:dyDescent="0.25">
      <c r="A1" s="53">
        <v>0</v>
      </c>
      <c r="B1" s="25" t="s">
        <v>44</v>
      </c>
      <c r="C1" s="25" t="s">
        <v>42</v>
      </c>
      <c r="D1" s="25" t="s">
        <v>43</v>
      </c>
      <c r="E1" s="25" t="s">
        <v>41</v>
      </c>
      <c r="F1" s="25" t="s">
        <v>37</v>
      </c>
      <c r="G1" s="44" t="s">
        <v>0</v>
      </c>
      <c r="H1" s="44" t="s">
        <v>1</v>
      </c>
      <c r="I1" s="44" t="s">
        <v>2</v>
      </c>
      <c r="J1" s="44" t="s">
        <v>3</v>
      </c>
      <c r="K1" s="44" t="s">
        <v>4</v>
      </c>
      <c r="L1" s="14" t="s">
        <v>5</v>
      </c>
      <c r="M1" s="14" t="s">
        <v>6</v>
      </c>
      <c r="N1" s="14" t="s">
        <v>7</v>
      </c>
      <c r="O1" s="14" t="s">
        <v>8</v>
      </c>
      <c r="P1" s="14" t="s">
        <v>38</v>
      </c>
      <c r="Q1" s="14" t="s">
        <v>45</v>
      </c>
      <c r="R1" s="59" t="s">
        <v>40</v>
      </c>
      <c r="S1" s="14" t="s">
        <v>34</v>
      </c>
      <c r="T1" s="14" t="s">
        <v>39</v>
      </c>
      <c r="U1" s="14" t="s">
        <v>36</v>
      </c>
      <c r="V1" s="14" t="s">
        <v>35</v>
      </c>
      <c r="W1" s="45" t="s">
        <v>9</v>
      </c>
      <c r="X1" s="28" t="s">
        <v>178</v>
      </c>
      <c r="Y1" s="28" t="s">
        <v>179</v>
      </c>
      <c r="Z1" s="61" t="s">
        <v>180</v>
      </c>
      <c r="AA1" s="39" t="s">
        <v>270</v>
      </c>
    </row>
    <row r="2" spans="1:27" s="36" customFormat="1" ht="6.75" customHeight="1" x14ac:dyDescent="0.25">
      <c r="A2" s="51">
        <v>2</v>
      </c>
      <c r="B2" s="29" t="s">
        <v>675</v>
      </c>
      <c r="C2" s="29" t="s">
        <v>665</v>
      </c>
      <c r="D2" s="29" t="s">
        <v>294</v>
      </c>
      <c r="E2" s="30" t="s">
        <v>676</v>
      </c>
      <c r="F2" s="30" t="s">
        <v>295</v>
      </c>
      <c r="G2" s="46" t="s">
        <v>10</v>
      </c>
      <c r="H2" s="46" t="s">
        <v>10</v>
      </c>
      <c r="I2" s="46" t="s">
        <v>10</v>
      </c>
      <c r="J2" s="46" t="s">
        <v>10</v>
      </c>
      <c r="K2" s="46" t="s">
        <v>10</v>
      </c>
      <c r="L2" s="31" t="str">
        <f t="shared" ref="L2:M17" si="0">CONCATENATE("", C2)</f>
        <v>Gestão</v>
      </c>
      <c r="M2" s="31" t="str">
        <f t="shared" si="0"/>
        <v>Informação</v>
      </c>
      <c r="N2" s="31" t="str">
        <f t="shared" ref="N2:O17" si="1">(SUBSTITUTE(SUBSTITUTE(CONCATENATE("",E2),"."," ")," De "," de "))</f>
        <v>Contêineres</v>
      </c>
      <c r="O2" s="31" t="str">
        <f t="shared" si="1"/>
        <v>Contêiner</v>
      </c>
      <c r="P2" s="32" t="s">
        <v>656</v>
      </c>
      <c r="Q2" s="32" t="s">
        <v>677</v>
      </c>
      <c r="R2" s="58" t="s">
        <v>10</v>
      </c>
      <c r="S2" s="32" t="str">
        <f t="shared" ref="S2:U17" si="2">SUBSTITUTE(C2, ".", " ")</f>
        <v>Gestão</v>
      </c>
      <c r="T2" s="32" t="str">
        <f t="shared" si="2"/>
        <v>Informação</v>
      </c>
      <c r="U2" s="32" t="str">
        <f t="shared" si="2"/>
        <v>Contêineres</v>
      </c>
      <c r="V2" s="32" t="s">
        <v>184</v>
      </c>
      <c r="W2" s="47" t="str">
        <f t="shared" ref="W2:W66" si="3">CONCATENATE("Key-AMB-",A2)</f>
        <v>Key-AMB-2</v>
      </c>
      <c r="X2" s="32" t="s">
        <v>10</v>
      </c>
      <c r="Y2" s="32" t="s">
        <v>10</v>
      </c>
      <c r="Z2" s="58" t="s">
        <v>678</v>
      </c>
      <c r="AA2" s="32" t="str">
        <f t="shared" ref="AA2:AA65" si="4">_xlfn.TRANSLATE(P2,"pt","en")</f>
        <v>Defines an information container in accordance with the NBR 19650-1 standard. Project Definition.</v>
      </c>
    </row>
    <row r="3" spans="1:27" s="36" customFormat="1" ht="6.75" customHeight="1" x14ac:dyDescent="0.25">
      <c r="A3" s="51">
        <v>3</v>
      </c>
      <c r="B3" s="29" t="s">
        <v>675</v>
      </c>
      <c r="C3" s="29" t="s">
        <v>665</v>
      </c>
      <c r="D3" s="29" t="s">
        <v>294</v>
      </c>
      <c r="E3" s="30" t="s">
        <v>676</v>
      </c>
      <c r="F3" s="30" t="s">
        <v>657</v>
      </c>
      <c r="G3" s="46" t="s">
        <v>10</v>
      </c>
      <c r="H3" s="46" t="s">
        <v>10</v>
      </c>
      <c r="I3" s="46" t="s">
        <v>10</v>
      </c>
      <c r="J3" s="46" t="s">
        <v>10</v>
      </c>
      <c r="K3" s="46" t="s">
        <v>10</v>
      </c>
      <c r="L3" s="31" t="str">
        <f t="shared" si="0"/>
        <v>Gestão</v>
      </c>
      <c r="M3" s="31" t="str">
        <f t="shared" si="0"/>
        <v>Informação</v>
      </c>
      <c r="N3" s="31" t="str">
        <f t="shared" si="1"/>
        <v>Contêineres</v>
      </c>
      <c r="O3" s="31" t="str">
        <f t="shared" si="1"/>
        <v>Requisito Espacial</v>
      </c>
      <c r="P3" s="32" t="s">
        <v>661</v>
      </c>
      <c r="Q3" s="32" t="s">
        <v>677</v>
      </c>
      <c r="R3" s="58" t="s">
        <v>10</v>
      </c>
      <c r="S3" s="32" t="str">
        <f t="shared" si="2"/>
        <v>Gestão</v>
      </c>
      <c r="T3" s="32" t="str">
        <f t="shared" si="2"/>
        <v>Informação</v>
      </c>
      <c r="U3" s="32" t="str">
        <f t="shared" si="2"/>
        <v>Contêineres</v>
      </c>
      <c r="V3" s="32" t="s">
        <v>184</v>
      </c>
      <c r="W3" s="47" t="str">
        <f t="shared" si="3"/>
        <v>Key-AMB-3</v>
      </c>
      <c r="X3" s="32" t="s">
        <v>10</v>
      </c>
      <c r="Y3" s="32" t="s">
        <v>10</v>
      </c>
      <c r="Z3" s="58" t="s">
        <v>10</v>
      </c>
      <c r="AA3" s="32" t="str">
        <f t="shared" si="4"/>
        <v>Defines an information container in accordance with the NBR 19650-1 standard. Spatial Requirements for the Project.</v>
      </c>
    </row>
    <row r="4" spans="1:27" s="36" customFormat="1" ht="6.75" customHeight="1" x14ac:dyDescent="0.25">
      <c r="A4" s="51">
        <v>4</v>
      </c>
      <c r="B4" s="29" t="s">
        <v>675</v>
      </c>
      <c r="C4" s="29" t="s">
        <v>665</v>
      </c>
      <c r="D4" s="29" t="s">
        <v>294</v>
      </c>
      <c r="E4" s="30" t="s">
        <v>676</v>
      </c>
      <c r="F4" s="30" t="s">
        <v>658</v>
      </c>
      <c r="G4" s="46" t="s">
        <v>10</v>
      </c>
      <c r="H4" s="46" t="s">
        <v>10</v>
      </c>
      <c r="I4" s="46" t="s">
        <v>10</v>
      </c>
      <c r="J4" s="46" t="s">
        <v>10</v>
      </c>
      <c r="K4" s="46" t="s">
        <v>10</v>
      </c>
      <c r="L4" s="31" t="str">
        <f t="shared" si="0"/>
        <v>Gestão</v>
      </c>
      <c r="M4" s="31" t="str">
        <f t="shared" si="0"/>
        <v>Informação</v>
      </c>
      <c r="N4" s="31" t="str">
        <f t="shared" si="1"/>
        <v>Contêineres</v>
      </c>
      <c r="O4" s="31" t="str">
        <f t="shared" si="1"/>
        <v>Requisito Mobiliário</v>
      </c>
      <c r="P4" s="32" t="s">
        <v>662</v>
      </c>
      <c r="Q4" s="32" t="s">
        <v>677</v>
      </c>
      <c r="R4" s="58" t="s">
        <v>10</v>
      </c>
      <c r="S4" s="32" t="str">
        <f t="shared" si="2"/>
        <v>Gestão</v>
      </c>
      <c r="T4" s="32" t="str">
        <f t="shared" si="2"/>
        <v>Informação</v>
      </c>
      <c r="U4" s="32" t="str">
        <f t="shared" si="2"/>
        <v>Contêineres</v>
      </c>
      <c r="V4" s="32" t="s">
        <v>184</v>
      </c>
      <c r="W4" s="47" t="str">
        <f t="shared" si="3"/>
        <v>Key-AMB-4</v>
      </c>
      <c r="X4" s="32" t="s">
        <v>10</v>
      </c>
      <c r="Y4" s="32" t="s">
        <v>10</v>
      </c>
      <c r="Z4" s="58" t="s">
        <v>10</v>
      </c>
      <c r="AA4" s="32" t="str">
        <f t="shared" si="4"/>
        <v>Defines an information container in accordance with the NBR 19650-1 standard. Furniture Requirements for the Project.</v>
      </c>
    </row>
    <row r="5" spans="1:27" s="36" customFormat="1" ht="6.75" customHeight="1" x14ac:dyDescent="0.25">
      <c r="A5" s="51">
        <v>5</v>
      </c>
      <c r="B5" s="29" t="s">
        <v>675</v>
      </c>
      <c r="C5" s="29" t="s">
        <v>665</v>
      </c>
      <c r="D5" s="29" t="s">
        <v>294</v>
      </c>
      <c r="E5" s="30" t="s">
        <v>676</v>
      </c>
      <c r="F5" s="30" t="s">
        <v>659</v>
      </c>
      <c r="G5" s="46" t="s">
        <v>10</v>
      </c>
      <c r="H5" s="46" t="s">
        <v>10</v>
      </c>
      <c r="I5" s="46" t="s">
        <v>10</v>
      </c>
      <c r="J5" s="46" t="s">
        <v>10</v>
      </c>
      <c r="K5" s="46" t="s">
        <v>10</v>
      </c>
      <c r="L5" s="31" t="str">
        <f t="shared" si="0"/>
        <v>Gestão</v>
      </c>
      <c r="M5" s="31" t="str">
        <f t="shared" si="0"/>
        <v>Informação</v>
      </c>
      <c r="N5" s="31" t="str">
        <f t="shared" si="1"/>
        <v>Contêineres</v>
      </c>
      <c r="O5" s="31" t="str">
        <f t="shared" si="1"/>
        <v>Requisito Equipamento</v>
      </c>
      <c r="P5" s="32" t="s">
        <v>663</v>
      </c>
      <c r="Q5" s="32" t="s">
        <v>677</v>
      </c>
      <c r="R5" s="58" t="s">
        <v>10</v>
      </c>
      <c r="S5" s="32" t="str">
        <f t="shared" si="2"/>
        <v>Gestão</v>
      </c>
      <c r="T5" s="32" t="str">
        <f t="shared" si="2"/>
        <v>Informação</v>
      </c>
      <c r="U5" s="32" t="str">
        <f t="shared" si="2"/>
        <v>Contêineres</v>
      </c>
      <c r="V5" s="32" t="s">
        <v>184</v>
      </c>
      <c r="W5" s="47" t="str">
        <f t="shared" si="3"/>
        <v>Key-AMB-5</v>
      </c>
      <c r="X5" s="32" t="s">
        <v>10</v>
      </c>
      <c r="Y5" s="32" t="s">
        <v>10</v>
      </c>
      <c r="Z5" s="58" t="s">
        <v>10</v>
      </c>
      <c r="AA5" s="32" t="str">
        <f t="shared" si="4"/>
        <v>Defines an information container in accordance with the NBR 19650-1 standard. Equipment Requirements for the Project.</v>
      </c>
    </row>
    <row r="6" spans="1:27" s="36" customFormat="1" ht="6.75" customHeight="1" x14ac:dyDescent="0.25">
      <c r="A6" s="51">
        <v>6</v>
      </c>
      <c r="B6" s="29" t="s">
        <v>675</v>
      </c>
      <c r="C6" s="29" t="s">
        <v>665</v>
      </c>
      <c r="D6" s="29" t="s">
        <v>294</v>
      </c>
      <c r="E6" s="30" t="s">
        <v>676</v>
      </c>
      <c r="F6" s="30" t="s">
        <v>660</v>
      </c>
      <c r="G6" s="46" t="s">
        <v>10</v>
      </c>
      <c r="H6" s="46" t="s">
        <v>10</v>
      </c>
      <c r="I6" s="46" t="s">
        <v>10</v>
      </c>
      <c r="J6" s="46" t="s">
        <v>10</v>
      </c>
      <c r="K6" s="46" t="s">
        <v>10</v>
      </c>
      <c r="L6" s="31" t="str">
        <f t="shared" si="0"/>
        <v>Gestão</v>
      </c>
      <c r="M6" s="31" t="str">
        <f t="shared" si="0"/>
        <v>Informação</v>
      </c>
      <c r="N6" s="31" t="str">
        <f t="shared" si="1"/>
        <v>Contêineres</v>
      </c>
      <c r="O6" s="31" t="str">
        <f t="shared" si="1"/>
        <v>Requisito Sistemas</v>
      </c>
      <c r="P6" s="32" t="s">
        <v>664</v>
      </c>
      <c r="Q6" s="32" t="s">
        <v>677</v>
      </c>
      <c r="R6" s="58" t="s">
        <v>10</v>
      </c>
      <c r="S6" s="32" t="str">
        <f t="shared" si="2"/>
        <v>Gestão</v>
      </c>
      <c r="T6" s="32" t="str">
        <f t="shared" si="2"/>
        <v>Informação</v>
      </c>
      <c r="U6" s="32" t="str">
        <f t="shared" si="2"/>
        <v>Contêineres</v>
      </c>
      <c r="V6" s="32" t="s">
        <v>184</v>
      </c>
      <c r="W6" s="47" t="str">
        <f t="shared" si="3"/>
        <v>Key-AMB-6</v>
      </c>
      <c r="X6" s="32" t="s">
        <v>10</v>
      </c>
      <c r="Y6" s="32" t="s">
        <v>10</v>
      </c>
      <c r="Z6" s="58" t="s">
        <v>10</v>
      </c>
      <c r="AA6" s="32" t="str">
        <f t="shared" si="4"/>
        <v>Defines an information container in accordance with the NBR 19650-1 standard. Building Systems Requirements for the Project.</v>
      </c>
    </row>
    <row r="7" spans="1:27" s="36" customFormat="1" ht="6.75" customHeight="1" x14ac:dyDescent="0.25">
      <c r="A7" s="51">
        <v>7</v>
      </c>
      <c r="B7" s="29" t="s">
        <v>675</v>
      </c>
      <c r="C7" s="29" t="s">
        <v>847</v>
      </c>
      <c r="D7" s="29" t="s">
        <v>290</v>
      </c>
      <c r="E7" s="29" t="s">
        <v>365</v>
      </c>
      <c r="F7" s="30" t="s">
        <v>679</v>
      </c>
      <c r="G7" s="46" t="s">
        <v>10</v>
      </c>
      <c r="H7" s="46" t="s">
        <v>10</v>
      </c>
      <c r="I7" s="46" t="s">
        <v>10</v>
      </c>
      <c r="J7" s="46" t="s">
        <v>10</v>
      </c>
      <c r="K7" s="46" t="s">
        <v>10</v>
      </c>
      <c r="L7" s="31" t="str">
        <f t="shared" si="0"/>
        <v>Espacialidade</v>
      </c>
      <c r="M7" s="31" t="str">
        <f t="shared" si="0"/>
        <v>Elementos.Horizontais</v>
      </c>
      <c r="N7" s="31" t="str">
        <f t="shared" si="1"/>
        <v>Tipos de Andares</v>
      </c>
      <c r="O7" s="31" t="str">
        <f t="shared" si="1"/>
        <v>Andar</v>
      </c>
      <c r="P7" s="32" t="s">
        <v>680</v>
      </c>
      <c r="Q7" s="32" t="str">
        <f t="shared" ref="Q7:Q70" si="5">_xlfn.TRANSLATE(P7,"pt","es")</f>
        <v>Planta del edificio.</v>
      </c>
      <c r="R7" s="58" t="s">
        <v>10</v>
      </c>
      <c r="S7" s="32" t="str">
        <f t="shared" si="2"/>
        <v>Espacialidade</v>
      </c>
      <c r="T7" s="32" t="str">
        <f t="shared" si="2"/>
        <v>Elementos Horizontais</v>
      </c>
      <c r="U7" s="32" t="str">
        <f t="shared" si="2"/>
        <v>Tipos de Andares</v>
      </c>
      <c r="V7" s="32" t="s">
        <v>184</v>
      </c>
      <c r="W7" s="47" t="str">
        <f t="shared" si="3"/>
        <v>Key-AMB-7</v>
      </c>
      <c r="X7" s="32" t="s">
        <v>335</v>
      </c>
      <c r="Y7" s="43" t="s">
        <v>310</v>
      </c>
      <c r="Z7" s="58" t="s">
        <v>363</v>
      </c>
      <c r="AA7" s="32" t="str">
        <f t="shared" si="4"/>
        <v>Building floor.</v>
      </c>
    </row>
    <row r="8" spans="1:27" s="36" customFormat="1" ht="6.75" customHeight="1" x14ac:dyDescent="0.25">
      <c r="A8" s="51">
        <v>8</v>
      </c>
      <c r="B8" s="29" t="s">
        <v>675</v>
      </c>
      <c r="C8" s="29" t="s">
        <v>847</v>
      </c>
      <c r="D8" s="29" t="s">
        <v>290</v>
      </c>
      <c r="E8" s="29" t="s">
        <v>365</v>
      </c>
      <c r="F8" s="30" t="s">
        <v>182</v>
      </c>
      <c r="G8" s="46" t="s">
        <v>10</v>
      </c>
      <c r="H8" s="46" t="s">
        <v>10</v>
      </c>
      <c r="I8" s="46" t="s">
        <v>10</v>
      </c>
      <c r="J8" s="46" t="s">
        <v>10</v>
      </c>
      <c r="K8" s="46" t="s">
        <v>10</v>
      </c>
      <c r="L8" s="31" t="str">
        <f t="shared" si="0"/>
        <v>Espacialidade</v>
      </c>
      <c r="M8" s="31" t="str">
        <f t="shared" si="0"/>
        <v>Elementos.Horizontais</v>
      </c>
      <c r="N8" s="31" t="str">
        <f t="shared" si="1"/>
        <v>Tipos de Andares</v>
      </c>
      <c r="O8" s="31" t="str">
        <f t="shared" si="1"/>
        <v>Andar Cobertura</v>
      </c>
      <c r="P8" s="32" t="s">
        <v>183</v>
      </c>
      <c r="Q8" s="32" t="str">
        <f t="shared" si="5"/>
        <v>Planta del edificio.</v>
      </c>
      <c r="R8" s="58" t="s">
        <v>10</v>
      </c>
      <c r="S8" s="32" t="str">
        <f t="shared" si="2"/>
        <v>Espacialidade</v>
      </c>
      <c r="T8" s="32" t="str">
        <f t="shared" si="2"/>
        <v>Elementos Horizontais</v>
      </c>
      <c r="U8" s="32" t="str">
        <f t="shared" si="2"/>
        <v>Tipos de Andares</v>
      </c>
      <c r="V8" s="32" t="s">
        <v>184</v>
      </c>
      <c r="W8" s="47" t="str">
        <f t="shared" si="3"/>
        <v>Key-AMB-8</v>
      </c>
      <c r="X8" s="32" t="s">
        <v>335</v>
      </c>
      <c r="Y8" s="43" t="s">
        <v>310</v>
      </c>
      <c r="Z8" s="58" t="s">
        <v>363</v>
      </c>
      <c r="AA8" s="32" t="str">
        <f t="shared" si="4"/>
        <v>Floor of the building.</v>
      </c>
    </row>
    <row r="9" spans="1:27" s="36" customFormat="1" ht="6.75" customHeight="1" x14ac:dyDescent="0.25">
      <c r="A9" s="51">
        <v>9</v>
      </c>
      <c r="B9" s="29" t="s">
        <v>675</v>
      </c>
      <c r="C9" s="29" t="s">
        <v>847</v>
      </c>
      <c r="D9" s="29" t="s">
        <v>290</v>
      </c>
      <c r="E9" s="29" t="s">
        <v>365</v>
      </c>
      <c r="F9" s="30" t="s">
        <v>185</v>
      </c>
      <c r="G9" s="46" t="s">
        <v>10</v>
      </c>
      <c r="H9" s="46" t="s">
        <v>10</v>
      </c>
      <c r="I9" s="46" t="s">
        <v>10</v>
      </c>
      <c r="J9" s="46" t="s">
        <v>10</v>
      </c>
      <c r="K9" s="46" t="s">
        <v>10</v>
      </c>
      <c r="L9" s="31" t="str">
        <f t="shared" si="0"/>
        <v>Espacialidade</v>
      </c>
      <c r="M9" s="31" t="str">
        <f t="shared" si="0"/>
        <v>Elementos.Horizontais</v>
      </c>
      <c r="N9" s="31" t="str">
        <f t="shared" si="1"/>
        <v>Tipos de Andares</v>
      </c>
      <c r="O9" s="31" t="str">
        <f t="shared" si="1"/>
        <v>Andar Tipo</v>
      </c>
      <c r="P9" s="32" t="s">
        <v>186</v>
      </c>
      <c r="Q9" s="32" t="str">
        <f t="shared" si="5"/>
        <v>Tipo edificio de planta.</v>
      </c>
      <c r="R9" s="58" t="s">
        <v>10</v>
      </c>
      <c r="S9" s="32" t="str">
        <f t="shared" si="2"/>
        <v>Espacialidade</v>
      </c>
      <c r="T9" s="32" t="str">
        <f t="shared" si="2"/>
        <v>Elementos Horizontais</v>
      </c>
      <c r="U9" s="32" t="str">
        <f t="shared" si="2"/>
        <v>Tipos de Andares</v>
      </c>
      <c r="V9" s="32" t="s">
        <v>184</v>
      </c>
      <c r="W9" s="47" t="str">
        <f t="shared" si="3"/>
        <v>Key-AMB-9</v>
      </c>
      <c r="X9" s="32" t="s">
        <v>335</v>
      </c>
      <c r="Y9" s="43" t="s">
        <v>310</v>
      </c>
      <c r="Z9" s="58" t="s">
        <v>363</v>
      </c>
      <c r="AA9" s="32" t="str">
        <f t="shared" si="4"/>
        <v>Floor building type.</v>
      </c>
    </row>
    <row r="10" spans="1:27" s="36" customFormat="1" ht="6.75" customHeight="1" x14ac:dyDescent="0.25">
      <c r="A10" s="51">
        <v>10</v>
      </c>
      <c r="B10" s="29" t="s">
        <v>675</v>
      </c>
      <c r="C10" s="29" t="s">
        <v>847</v>
      </c>
      <c r="D10" s="29" t="s">
        <v>290</v>
      </c>
      <c r="E10" s="29" t="s">
        <v>365</v>
      </c>
      <c r="F10" s="30" t="s">
        <v>187</v>
      </c>
      <c r="G10" s="46" t="s">
        <v>10</v>
      </c>
      <c r="H10" s="46" t="s">
        <v>10</v>
      </c>
      <c r="I10" s="46" t="s">
        <v>10</v>
      </c>
      <c r="J10" s="46" t="s">
        <v>10</v>
      </c>
      <c r="K10" s="46" t="s">
        <v>10</v>
      </c>
      <c r="L10" s="31" t="str">
        <f t="shared" si="0"/>
        <v>Espacialidade</v>
      </c>
      <c r="M10" s="31" t="str">
        <f t="shared" si="0"/>
        <v>Elementos.Horizontais</v>
      </c>
      <c r="N10" s="31" t="str">
        <f t="shared" si="1"/>
        <v>Tipos de Andares</v>
      </c>
      <c r="O10" s="31" t="str">
        <f t="shared" si="1"/>
        <v>Andar Customizado</v>
      </c>
      <c r="P10" s="32" t="s">
        <v>188</v>
      </c>
      <c r="Q10" s="32" t="str">
        <f t="shared" si="5"/>
        <v>Una sola planta del edificio. Suelos que no son típicos y están diseñados a medida.</v>
      </c>
      <c r="R10" s="58" t="s">
        <v>10</v>
      </c>
      <c r="S10" s="32" t="str">
        <f t="shared" si="2"/>
        <v>Espacialidade</v>
      </c>
      <c r="T10" s="32" t="str">
        <f t="shared" si="2"/>
        <v>Elementos Horizontais</v>
      </c>
      <c r="U10" s="32" t="str">
        <f t="shared" si="2"/>
        <v>Tipos de Andares</v>
      </c>
      <c r="V10" s="32" t="s">
        <v>184</v>
      </c>
      <c r="W10" s="47" t="str">
        <f t="shared" si="3"/>
        <v>Key-AMB-10</v>
      </c>
      <c r="X10" s="32" t="s">
        <v>335</v>
      </c>
      <c r="Y10" s="43" t="s">
        <v>310</v>
      </c>
      <c r="Z10" s="58" t="s">
        <v>363</v>
      </c>
      <c r="AA10" s="32" t="str">
        <f t="shared" si="4"/>
        <v>Single floor of the building. Floors that are not typical and are custom-designed.</v>
      </c>
    </row>
    <row r="11" spans="1:27" s="36" customFormat="1" ht="6.75" customHeight="1" x14ac:dyDescent="0.25">
      <c r="A11" s="51">
        <v>11</v>
      </c>
      <c r="B11" s="29" t="s">
        <v>675</v>
      </c>
      <c r="C11" s="29" t="s">
        <v>847</v>
      </c>
      <c r="D11" s="29" t="s">
        <v>290</v>
      </c>
      <c r="E11" s="29" t="s">
        <v>365</v>
      </c>
      <c r="F11" s="30" t="s">
        <v>189</v>
      </c>
      <c r="G11" s="46" t="s">
        <v>10</v>
      </c>
      <c r="H11" s="46" t="s">
        <v>10</v>
      </c>
      <c r="I11" s="46" t="s">
        <v>10</v>
      </c>
      <c r="J11" s="46" t="s">
        <v>10</v>
      </c>
      <c r="K11" s="46" t="s">
        <v>10</v>
      </c>
      <c r="L11" s="31" t="str">
        <f t="shared" si="0"/>
        <v>Espacialidade</v>
      </c>
      <c r="M11" s="31" t="str">
        <f t="shared" si="0"/>
        <v>Elementos.Horizontais</v>
      </c>
      <c r="N11" s="31" t="str">
        <f t="shared" si="1"/>
        <v>Tipos de Andares</v>
      </c>
      <c r="O11" s="31" t="str">
        <f t="shared" si="1"/>
        <v>Andar Variável</v>
      </c>
      <c r="P11" s="32" t="s">
        <v>190</v>
      </c>
      <c r="Q11" s="32" t="str">
        <f t="shared" si="5"/>
        <v>Una sola planta del edificio. Suelos que no son típicos.</v>
      </c>
      <c r="R11" s="58" t="s">
        <v>10</v>
      </c>
      <c r="S11" s="32" t="str">
        <f t="shared" si="2"/>
        <v>Espacialidade</v>
      </c>
      <c r="T11" s="32" t="str">
        <f t="shared" si="2"/>
        <v>Elementos Horizontais</v>
      </c>
      <c r="U11" s="32" t="str">
        <f t="shared" si="2"/>
        <v>Tipos de Andares</v>
      </c>
      <c r="V11" s="32" t="s">
        <v>184</v>
      </c>
      <c r="W11" s="47" t="str">
        <f t="shared" si="3"/>
        <v>Key-AMB-11</v>
      </c>
      <c r="X11" s="32" t="s">
        <v>335</v>
      </c>
      <c r="Y11" s="43" t="s">
        <v>310</v>
      </c>
      <c r="Z11" s="58" t="s">
        <v>363</v>
      </c>
      <c r="AA11" s="32" t="str">
        <f t="shared" si="4"/>
        <v>Single floor of the building. Floors that are not typical.</v>
      </c>
    </row>
    <row r="12" spans="1:27" s="36" customFormat="1" ht="6.75" customHeight="1" x14ac:dyDescent="0.25">
      <c r="A12" s="51">
        <v>12</v>
      </c>
      <c r="B12" s="29" t="s">
        <v>675</v>
      </c>
      <c r="C12" s="29" t="s">
        <v>847</v>
      </c>
      <c r="D12" s="29" t="s">
        <v>290</v>
      </c>
      <c r="E12" s="29" t="s">
        <v>365</v>
      </c>
      <c r="F12" s="30" t="s">
        <v>191</v>
      </c>
      <c r="G12" s="46" t="s">
        <v>10</v>
      </c>
      <c r="H12" s="46" t="s">
        <v>10</v>
      </c>
      <c r="I12" s="46" t="s">
        <v>10</v>
      </c>
      <c r="J12" s="46" t="s">
        <v>10</v>
      </c>
      <c r="K12" s="46" t="s">
        <v>10</v>
      </c>
      <c r="L12" s="31" t="str">
        <f t="shared" si="0"/>
        <v>Espacialidade</v>
      </c>
      <c r="M12" s="31" t="str">
        <f t="shared" si="0"/>
        <v>Elementos.Horizontais</v>
      </c>
      <c r="N12" s="31" t="str">
        <f t="shared" si="1"/>
        <v>Tipos de Andares</v>
      </c>
      <c r="O12" s="31" t="str">
        <f t="shared" si="1"/>
        <v>Andar Palco</v>
      </c>
      <c r="P12" s="32" t="s">
        <v>192</v>
      </c>
      <c r="Q12" s="32" t="str">
        <f t="shared" si="5"/>
        <v>Una sola planta del edificio. En los edificios que tienen salas de conciertos, es el suelo el que contiene el escenario o pantalla de proyección.</v>
      </c>
      <c r="R12" s="58" t="s">
        <v>10</v>
      </c>
      <c r="S12" s="32" t="str">
        <f t="shared" si="2"/>
        <v>Espacialidade</v>
      </c>
      <c r="T12" s="32" t="str">
        <f t="shared" si="2"/>
        <v>Elementos Horizontais</v>
      </c>
      <c r="U12" s="32" t="str">
        <f t="shared" si="2"/>
        <v>Tipos de Andares</v>
      </c>
      <c r="V12" s="32" t="s">
        <v>184</v>
      </c>
      <c r="W12" s="47" t="str">
        <f t="shared" si="3"/>
        <v>Key-AMB-12</v>
      </c>
      <c r="X12" s="32" t="s">
        <v>335</v>
      </c>
      <c r="Y12" s="43" t="s">
        <v>310</v>
      </c>
      <c r="Z12" s="58" t="s">
        <v>363</v>
      </c>
      <c r="AA12" s="32" t="str">
        <f t="shared" si="4"/>
        <v>Single floor of the building. In buildings that have concert halls, it is the floor that contains the stage or projection screen.</v>
      </c>
    </row>
    <row r="13" spans="1:27" s="36" customFormat="1" ht="6.75" customHeight="1" x14ac:dyDescent="0.25">
      <c r="A13" s="51">
        <v>13</v>
      </c>
      <c r="B13" s="29" t="s">
        <v>675</v>
      </c>
      <c r="C13" s="29" t="s">
        <v>847</v>
      </c>
      <c r="D13" s="29" t="s">
        <v>290</v>
      </c>
      <c r="E13" s="29" t="s">
        <v>365</v>
      </c>
      <c r="F13" s="30" t="s">
        <v>193</v>
      </c>
      <c r="G13" s="46" t="s">
        <v>10</v>
      </c>
      <c r="H13" s="46" t="s">
        <v>10</v>
      </c>
      <c r="I13" s="46" t="s">
        <v>10</v>
      </c>
      <c r="J13" s="46" t="s">
        <v>10</v>
      </c>
      <c r="K13" s="46" t="s">
        <v>10</v>
      </c>
      <c r="L13" s="31" t="str">
        <f t="shared" si="0"/>
        <v>Espacialidade</v>
      </c>
      <c r="M13" s="31" t="str">
        <f t="shared" si="0"/>
        <v>Elementos.Horizontais</v>
      </c>
      <c r="N13" s="31" t="str">
        <f t="shared" si="1"/>
        <v>Tipos de Andares</v>
      </c>
      <c r="O13" s="31" t="str">
        <f t="shared" si="1"/>
        <v>Andar Especial</v>
      </c>
      <c r="P13" s="32" t="s">
        <v>194</v>
      </c>
      <c r="Q13" s="32" t="str">
        <f t="shared" si="5"/>
        <v>Una sola planta del edificio. Identifica el suelo que destaca por su doble altura o alguna característica que lo hace único.</v>
      </c>
      <c r="R13" s="58" t="s">
        <v>10</v>
      </c>
      <c r="S13" s="32" t="str">
        <f t="shared" si="2"/>
        <v>Espacialidade</v>
      </c>
      <c r="T13" s="32" t="str">
        <f t="shared" si="2"/>
        <v>Elementos Horizontais</v>
      </c>
      <c r="U13" s="32" t="str">
        <f t="shared" si="2"/>
        <v>Tipos de Andares</v>
      </c>
      <c r="V13" s="32" t="s">
        <v>184</v>
      </c>
      <c r="W13" s="47" t="str">
        <f t="shared" si="3"/>
        <v>Key-AMB-13</v>
      </c>
      <c r="X13" s="32" t="s">
        <v>335</v>
      </c>
      <c r="Y13" s="43" t="s">
        <v>310</v>
      </c>
      <c r="Z13" s="58" t="s">
        <v>363</v>
      </c>
      <c r="AA13" s="32" t="str">
        <f t="shared" si="4"/>
        <v>Single floor of the building. It identifies the floor that stands out for its double height or some characteristic that makes it unique.</v>
      </c>
    </row>
    <row r="14" spans="1:27" s="36" customFormat="1" ht="6.75" customHeight="1" x14ac:dyDescent="0.25">
      <c r="A14" s="51">
        <v>14</v>
      </c>
      <c r="B14" s="29" t="s">
        <v>675</v>
      </c>
      <c r="C14" s="29" t="s">
        <v>847</v>
      </c>
      <c r="D14" s="29" t="s">
        <v>290</v>
      </c>
      <c r="E14" s="29" t="s">
        <v>365</v>
      </c>
      <c r="F14" s="30" t="s">
        <v>195</v>
      </c>
      <c r="G14" s="46" t="s">
        <v>10</v>
      </c>
      <c r="H14" s="46" t="s">
        <v>10</v>
      </c>
      <c r="I14" s="46" t="s">
        <v>10</v>
      </c>
      <c r="J14" s="46" t="s">
        <v>10</v>
      </c>
      <c r="K14" s="46" t="s">
        <v>10</v>
      </c>
      <c r="L14" s="31" t="str">
        <f t="shared" si="0"/>
        <v>Espacialidade</v>
      </c>
      <c r="M14" s="31" t="str">
        <f t="shared" si="0"/>
        <v>Elementos.Horizontais</v>
      </c>
      <c r="N14" s="31" t="str">
        <f t="shared" si="1"/>
        <v>Tipos de Andares</v>
      </c>
      <c r="O14" s="31" t="str">
        <f t="shared" si="1"/>
        <v>Andar Técnico</v>
      </c>
      <c r="P14" s="32" t="s">
        <v>196</v>
      </c>
      <c r="Q14" s="32" t="str">
        <f t="shared" si="5"/>
        <v>Planta técnica del edificio.</v>
      </c>
      <c r="R14" s="58" t="s">
        <v>10</v>
      </c>
      <c r="S14" s="32" t="str">
        <f t="shared" si="2"/>
        <v>Espacialidade</v>
      </c>
      <c r="T14" s="32" t="str">
        <f t="shared" si="2"/>
        <v>Elementos Horizontais</v>
      </c>
      <c r="U14" s="32" t="str">
        <f t="shared" si="2"/>
        <v>Tipos de Andares</v>
      </c>
      <c r="V14" s="32" t="s">
        <v>184</v>
      </c>
      <c r="W14" s="47" t="str">
        <f t="shared" si="3"/>
        <v>Key-AMB-14</v>
      </c>
      <c r="X14" s="32" t="s">
        <v>335</v>
      </c>
      <c r="Y14" s="43" t="s">
        <v>310</v>
      </c>
      <c r="Z14" s="58" t="s">
        <v>363</v>
      </c>
      <c r="AA14" s="32" t="str">
        <f t="shared" si="4"/>
        <v>Technical floor of the building.</v>
      </c>
    </row>
    <row r="15" spans="1:27" s="36" customFormat="1" ht="6.75" customHeight="1" x14ac:dyDescent="0.25">
      <c r="A15" s="51">
        <v>15</v>
      </c>
      <c r="B15" s="29" t="s">
        <v>675</v>
      </c>
      <c r="C15" s="29" t="s">
        <v>847</v>
      </c>
      <c r="D15" s="29" t="s">
        <v>290</v>
      </c>
      <c r="E15" s="29" t="s">
        <v>365</v>
      </c>
      <c r="F15" s="30" t="s">
        <v>197</v>
      </c>
      <c r="G15" s="46" t="s">
        <v>10</v>
      </c>
      <c r="H15" s="46" t="s">
        <v>10</v>
      </c>
      <c r="I15" s="46" t="s">
        <v>10</v>
      </c>
      <c r="J15" s="46" t="s">
        <v>10</v>
      </c>
      <c r="K15" s="46" t="s">
        <v>10</v>
      </c>
      <c r="L15" s="31" t="str">
        <f t="shared" si="0"/>
        <v>Espacialidade</v>
      </c>
      <c r="M15" s="31" t="str">
        <f t="shared" si="0"/>
        <v>Elementos.Horizontais</v>
      </c>
      <c r="N15" s="31" t="str">
        <f t="shared" si="1"/>
        <v>Tipos de Andares</v>
      </c>
      <c r="O15" s="31" t="str">
        <f t="shared" si="1"/>
        <v>Andar Mezanino</v>
      </c>
      <c r="P15" s="32" t="s">
        <v>198</v>
      </c>
      <c r="Q15" s="32" t="str">
        <f t="shared" si="5"/>
        <v>La parte inferior del suelo se introdujo a la altura del techo de una planta, con acceso solo desde el interior del recinto.</v>
      </c>
      <c r="R15" s="58" t="s">
        <v>10</v>
      </c>
      <c r="S15" s="32" t="str">
        <f t="shared" si="2"/>
        <v>Espacialidade</v>
      </c>
      <c r="T15" s="32" t="str">
        <f t="shared" si="2"/>
        <v>Elementos Horizontais</v>
      </c>
      <c r="U15" s="32" t="str">
        <f t="shared" si="2"/>
        <v>Tipos de Andares</v>
      </c>
      <c r="V15" s="32" t="s">
        <v>184</v>
      </c>
      <c r="W15" s="47" t="str">
        <f t="shared" si="3"/>
        <v>Key-AMB-15</v>
      </c>
      <c r="X15" s="32" t="s">
        <v>335</v>
      </c>
      <c r="Y15" s="43" t="s">
        <v>310</v>
      </c>
      <c r="Z15" s="58" t="s">
        <v>363</v>
      </c>
      <c r="AA15" s="32" t="str">
        <f t="shared" si="4"/>
        <v>Lower partial floor introduced at the ceiling height of one floor, with access only from the interior of the enclosure.</v>
      </c>
    </row>
    <row r="16" spans="1:27" s="36" customFormat="1" ht="6.75" customHeight="1" x14ac:dyDescent="0.25">
      <c r="A16" s="51">
        <v>16</v>
      </c>
      <c r="B16" s="29" t="s">
        <v>675</v>
      </c>
      <c r="C16" s="29" t="s">
        <v>847</v>
      </c>
      <c r="D16" s="29" t="s">
        <v>290</v>
      </c>
      <c r="E16" s="29" t="s">
        <v>365</v>
      </c>
      <c r="F16" s="30" t="s">
        <v>199</v>
      </c>
      <c r="G16" s="46" t="s">
        <v>10</v>
      </c>
      <c r="H16" s="46" t="s">
        <v>10</v>
      </c>
      <c r="I16" s="46" t="s">
        <v>10</v>
      </c>
      <c r="J16" s="46" t="s">
        <v>10</v>
      </c>
      <c r="K16" s="46" t="s">
        <v>10</v>
      </c>
      <c r="L16" s="31" t="str">
        <f t="shared" si="0"/>
        <v>Espacialidade</v>
      </c>
      <c r="M16" s="31" t="str">
        <f t="shared" si="0"/>
        <v>Elementos.Horizontais</v>
      </c>
      <c r="N16" s="31" t="str">
        <f t="shared" si="1"/>
        <v>Tipos de Andares</v>
      </c>
      <c r="O16" s="31" t="str">
        <f t="shared" si="1"/>
        <v>Andar Acesso</v>
      </c>
      <c r="P16" s="32" t="s">
        <v>200</v>
      </c>
      <c r="Q16" s="32" t="str">
        <f t="shared" si="5"/>
        <v>Acceso a la planta del edificio.</v>
      </c>
      <c r="R16" s="58" t="s">
        <v>10</v>
      </c>
      <c r="S16" s="32" t="str">
        <f t="shared" si="2"/>
        <v>Espacialidade</v>
      </c>
      <c r="T16" s="32" t="str">
        <f t="shared" si="2"/>
        <v>Elementos Horizontais</v>
      </c>
      <c r="U16" s="32" t="str">
        <f t="shared" si="2"/>
        <v>Tipos de Andares</v>
      </c>
      <c r="V16" s="32" t="s">
        <v>184</v>
      </c>
      <c r="W16" s="47" t="str">
        <f t="shared" si="3"/>
        <v>Key-AMB-16</v>
      </c>
      <c r="X16" s="32" t="s">
        <v>335</v>
      </c>
      <c r="Y16" s="43" t="s">
        <v>310</v>
      </c>
      <c r="Z16" s="58" t="s">
        <v>363</v>
      </c>
      <c r="AA16" s="32" t="str">
        <f t="shared" si="4"/>
        <v>Access floor to the building.</v>
      </c>
    </row>
    <row r="17" spans="1:27" s="36" customFormat="1" ht="6.75" customHeight="1" x14ac:dyDescent="0.25">
      <c r="A17" s="51">
        <v>17</v>
      </c>
      <c r="B17" s="29" t="s">
        <v>675</v>
      </c>
      <c r="C17" s="29" t="s">
        <v>847</v>
      </c>
      <c r="D17" s="29" t="s">
        <v>290</v>
      </c>
      <c r="E17" s="29" t="s">
        <v>365</v>
      </c>
      <c r="F17" s="30" t="s">
        <v>201</v>
      </c>
      <c r="G17" s="46" t="s">
        <v>10</v>
      </c>
      <c r="H17" s="46" t="s">
        <v>10</v>
      </c>
      <c r="I17" s="46" t="s">
        <v>10</v>
      </c>
      <c r="J17" s="46" t="s">
        <v>10</v>
      </c>
      <c r="K17" s="46" t="s">
        <v>10</v>
      </c>
      <c r="L17" s="31" t="str">
        <f t="shared" si="0"/>
        <v>Espacialidade</v>
      </c>
      <c r="M17" s="31" t="str">
        <f t="shared" si="0"/>
        <v>Elementos.Horizontais</v>
      </c>
      <c r="N17" s="31" t="str">
        <f t="shared" si="1"/>
        <v>Tipos de Andares</v>
      </c>
      <c r="O17" s="31" t="str">
        <f t="shared" si="1"/>
        <v>Andar Subsolo</v>
      </c>
      <c r="P17" s="32" t="s">
        <v>202</v>
      </c>
      <c r="Q17" s="32" t="str">
        <f t="shared" si="5"/>
        <v>Planta baja del edificio.</v>
      </c>
      <c r="R17" s="58" t="s">
        <v>10</v>
      </c>
      <c r="S17" s="32" t="str">
        <f t="shared" si="2"/>
        <v>Espacialidade</v>
      </c>
      <c r="T17" s="32" t="str">
        <f t="shared" si="2"/>
        <v>Elementos Horizontais</v>
      </c>
      <c r="U17" s="32" t="str">
        <f t="shared" si="2"/>
        <v>Tipos de Andares</v>
      </c>
      <c r="V17" s="32" t="s">
        <v>184</v>
      </c>
      <c r="W17" s="47" t="str">
        <f t="shared" si="3"/>
        <v>Key-AMB-17</v>
      </c>
      <c r="X17" s="32" t="s">
        <v>335</v>
      </c>
      <c r="Y17" s="43" t="s">
        <v>310</v>
      </c>
      <c r="Z17" s="58" t="s">
        <v>363</v>
      </c>
      <c r="AA17" s="32" t="str">
        <f t="shared" si="4"/>
        <v>Basement floor of the building.</v>
      </c>
    </row>
    <row r="18" spans="1:27" s="36" customFormat="1" ht="6.75" customHeight="1" x14ac:dyDescent="0.25">
      <c r="A18" s="51">
        <v>18</v>
      </c>
      <c r="B18" s="29" t="s">
        <v>675</v>
      </c>
      <c r="C18" s="29" t="s">
        <v>847</v>
      </c>
      <c r="D18" s="29" t="s">
        <v>290</v>
      </c>
      <c r="E18" s="29" t="s">
        <v>365</v>
      </c>
      <c r="F18" s="30" t="s">
        <v>391</v>
      </c>
      <c r="G18" s="46" t="s">
        <v>10</v>
      </c>
      <c r="H18" s="46" t="s">
        <v>10</v>
      </c>
      <c r="I18" s="46" t="s">
        <v>10</v>
      </c>
      <c r="J18" s="46" t="s">
        <v>10</v>
      </c>
      <c r="K18" s="46" t="s">
        <v>10</v>
      </c>
      <c r="L18" s="31" t="str">
        <f t="shared" ref="L18:M104" si="6">CONCATENATE("", C18)</f>
        <v>Espacialidade</v>
      </c>
      <c r="M18" s="31" t="str">
        <f t="shared" si="6"/>
        <v>Elementos.Horizontais</v>
      </c>
      <c r="N18" s="31" t="str">
        <f t="shared" ref="N18:O34" si="7">(SUBSTITUTE(SUBSTITUTE(CONCATENATE("",E18),"."," ")," De "," de "))</f>
        <v>Tipos de Andares</v>
      </c>
      <c r="O18" s="31" t="str">
        <f t="shared" si="7"/>
        <v>Símbolo de Andar</v>
      </c>
      <c r="P18" s="32" t="s">
        <v>392</v>
      </c>
      <c r="Q18" s="32" t="str">
        <f t="shared" si="5"/>
        <v>Elemento simbólico de referencia de la posición de cada planta del proyecto: el marcador de suelo puede declararse con un tipo específico en la categoría OST_LevelHeads.</v>
      </c>
      <c r="R18" s="58" t="s">
        <v>10</v>
      </c>
      <c r="S18" s="32" t="str">
        <f t="shared" ref="S18:U58" si="8">SUBSTITUTE(C18, ".", " ")</f>
        <v>Espacialidade</v>
      </c>
      <c r="T18" s="32" t="str">
        <f t="shared" si="8"/>
        <v>Elementos Horizontais</v>
      </c>
      <c r="U18" s="32" t="str">
        <f t="shared" si="8"/>
        <v>Tipos de Andares</v>
      </c>
      <c r="V18" s="32" t="s">
        <v>184</v>
      </c>
      <c r="W18" s="47" t="str">
        <f t="shared" si="3"/>
        <v>Key-AMB-18</v>
      </c>
      <c r="X18" s="32" t="s">
        <v>335</v>
      </c>
      <c r="Y18" s="32" t="s">
        <v>383</v>
      </c>
      <c r="Z18" s="58" t="s">
        <v>363</v>
      </c>
      <c r="AA18" s="32" t="str">
        <f t="shared" si="4"/>
        <v>Symbolic reference element of the position of each Floor of the project: the floor marker can be declared with a specific type in the category OST_LevelHeads.</v>
      </c>
    </row>
    <row r="19" spans="1:27" s="36" customFormat="1" ht="6.75" customHeight="1" x14ac:dyDescent="0.25">
      <c r="A19" s="51">
        <v>19</v>
      </c>
      <c r="B19" s="29" t="s">
        <v>675</v>
      </c>
      <c r="C19" s="29" t="s">
        <v>847</v>
      </c>
      <c r="D19" s="29" t="s">
        <v>290</v>
      </c>
      <c r="E19" s="29" t="s">
        <v>292</v>
      </c>
      <c r="F19" s="30" t="s">
        <v>203</v>
      </c>
      <c r="G19" s="46" t="s">
        <v>10</v>
      </c>
      <c r="H19" s="46" t="s">
        <v>10</v>
      </c>
      <c r="I19" s="46" t="s">
        <v>10</v>
      </c>
      <c r="J19" s="46" t="s">
        <v>10</v>
      </c>
      <c r="K19" s="46" t="s">
        <v>10</v>
      </c>
      <c r="L19" s="31" t="str">
        <f t="shared" si="6"/>
        <v>Espacialidade</v>
      </c>
      <c r="M19" s="31" t="str">
        <f t="shared" si="6"/>
        <v>Elementos.Horizontais</v>
      </c>
      <c r="N19" s="31" t="str">
        <f t="shared" si="7"/>
        <v>Cotas de Fundações</v>
      </c>
      <c r="O19" s="31" t="str">
        <f t="shared" si="7"/>
        <v>Plano de Bloco Fundação</v>
      </c>
      <c r="P19" s="32" t="s">
        <v>204</v>
      </c>
      <c r="Q19" s="32" t="str">
        <f t="shared" si="5"/>
        <v>Plano horizontal de los bloques de cimentación del edificio.</v>
      </c>
      <c r="R19" s="58" t="s">
        <v>10</v>
      </c>
      <c r="S19" s="32" t="str">
        <f t="shared" si="8"/>
        <v>Espacialidade</v>
      </c>
      <c r="T19" s="32" t="str">
        <f t="shared" si="8"/>
        <v>Elementos Horizontais</v>
      </c>
      <c r="U19" s="32" t="str">
        <f t="shared" si="8"/>
        <v>Cotas de Fundações</v>
      </c>
      <c r="V19" s="32" t="s">
        <v>184</v>
      </c>
      <c r="W19" s="47" t="str">
        <f t="shared" si="3"/>
        <v>Key-AMB-19</v>
      </c>
      <c r="X19" s="32" t="s">
        <v>335</v>
      </c>
      <c r="Y19" s="43" t="s">
        <v>310</v>
      </c>
      <c r="Z19" s="58" t="s">
        <v>363</v>
      </c>
      <c r="AA19" s="32" t="str">
        <f t="shared" si="4"/>
        <v>Horizontal plane of the building's foundation blocks.</v>
      </c>
    </row>
    <row r="20" spans="1:27" s="36" customFormat="1" ht="6.75" customHeight="1" x14ac:dyDescent="0.25">
      <c r="A20" s="51">
        <v>20</v>
      </c>
      <c r="B20" s="29" t="s">
        <v>675</v>
      </c>
      <c r="C20" s="29" t="s">
        <v>847</v>
      </c>
      <c r="D20" s="29" t="s">
        <v>290</v>
      </c>
      <c r="E20" s="29" t="s">
        <v>292</v>
      </c>
      <c r="F20" s="30" t="s">
        <v>205</v>
      </c>
      <c r="G20" s="46" t="s">
        <v>10</v>
      </c>
      <c r="H20" s="46" t="s">
        <v>10</v>
      </c>
      <c r="I20" s="46" t="s">
        <v>10</v>
      </c>
      <c r="J20" s="46" t="s">
        <v>10</v>
      </c>
      <c r="K20" s="46" t="s">
        <v>10</v>
      </c>
      <c r="L20" s="31" t="str">
        <f t="shared" si="6"/>
        <v>Espacialidade</v>
      </c>
      <c r="M20" s="31" t="str">
        <f t="shared" si="6"/>
        <v>Elementos.Horizontais</v>
      </c>
      <c r="N20" s="31" t="str">
        <f t="shared" si="7"/>
        <v>Cotas de Fundações</v>
      </c>
      <c r="O20" s="31" t="str">
        <f t="shared" si="7"/>
        <v>Plano de Estacas</v>
      </c>
      <c r="P20" s="32" t="s">
        <v>206</v>
      </c>
      <c r="Q20" s="32" t="str">
        <f t="shared" si="5"/>
        <v>Plano horizontal de los pilotes de cimentación del edificio.</v>
      </c>
      <c r="R20" s="58" t="s">
        <v>10</v>
      </c>
      <c r="S20" s="32" t="str">
        <f t="shared" si="8"/>
        <v>Espacialidade</v>
      </c>
      <c r="T20" s="32" t="str">
        <f t="shared" si="8"/>
        <v>Elementos Horizontais</v>
      </c>
      <c r="U20" s="32" t="str">
        <f t="shared" si="8"/>
        <v>Cotas de Fundações</v>
      </c>
      <c r="V20" s="32" t="s">
        <v>184</v>
      </c>
      <c r="W20" s="47" t="str">
        <f t="shared" si="3"/>
        <v>Key-AMB-20</v>
      </c>
      <c r="X20" s="32" t="s">
        <v>335</v>
      </c>
      <c r="Y20" s="43" t="s">
        <v>310</v>
      </c>
      <c r="Z20" s="58" t="s">
        <v>363</v>
      </c>
      <c r="AA20" s="32" t="str">
        <f t="shared" si="4"/>
        <v>Horizontal plane of the foundation piles of the building.</v>
      </c>
    </row>
    <row r="21" spans="1:27" s="36" customFormat="1" ht="6.75" customHeight="1" x14ac:dyDescent="0.25">
      <c r="A21" s="51">
        <v>21</v>
      </c>
      <c r="B21" s="29" t="s">
        <v>675</v>
      </c>
      <c r="C21" s="29" t="s">
        <v>847</v>
      </c>
      <c r="D21" s="29" t="s">
        <v>290</v>
      </c>
      <c r="E21" s="29" t="s">
        <v>395</v>
      </c>
      <c r="F21" s="30" t="s">
        <v>207</v>
      </c>
      <c r="G21" s="46" t="s">
        <v>10</v>
      </c>
      <c r="H21" s="46" t="s">
        <v>10</v>
      </c>
      <c r="I21" s="46" t="s">
        <v>10</v>
      </c>
      <c r="J21" s="46" t="s">
        <v>10</v>
      </c>
      <c r="K21" s="46" t="s">
        <v>10</v>
      </c>
      <c r="L21" s="31" t="str">
        <f t="shared" si="6"/>
        <v>Espacialidade</v>
      </c>
      <c r="M21" s="31" t="str">
        <f t="shared" si="6"/>
        <v>Elementos.Horizontais</v>
      </c>
      <c r="N21" s="31" t="str">
        <f t="shared" si="7"/>
        <v>Cotas Gabaritadas</v>
      </c>
      <c r="O21" s="31" t="str">
        <f t="shared" si="7"/>
        <v>Gabarito Freático</v>
      </c>
      <c r="P21" s="32" t="s">
        <v>585</v>
      </c>
      <c r="Q21" s="32" t="str">
        <f t="shared" si="5"/>
        <v>Plantilla que define el nivel superior de la zona saturada de aguas subterráneas o nivel freático.</v>
      </c>
      <c r="R21" s="58" t="s">
        <v>10</v>
      </c>
      <c r="S21" s="32" t="str">
        <f t="shared" si="8"/>
        <v>Espacialidade</v>
      </c>
      <c r="T21" s="32" t="str">
        <f t="shared" si="8"/>
        <v>Elementos Horizontais</v>
      </c>
      <c r="U21" s="32" t="str">
        <f t="shared" si="8"/>
        <v>Cotas Gabaritadas</v>
      </c>
      <c r="V21" s="32" t="s">
        <v>184</v>
      </c>
      <c r="W21" s="47" t="str">
        <f t="shared" si="3"/>
        <v>Key-AMB-21</v>
      </c>
      <c r="X21" s="32" t="s">
        <v>335</v>
      </c>
      <c r="Y21" s="43" t="s">
        <v>310</v>
      </c>
      <c r="Z21" s="58" t="s">
        <v>363</v>
      </c>
      <c r="AA21" s="32" t="str">
        <f t="shared" si="4"/>
        <v>Template that defines the upper level of the saturated zone of groundwater or water table.</v>
      </c>
    </row>
    <row r="22" spans="1:27" s="36" customFormat="1" ht="6.75" customHeight="1" x14ac:dyDescent="0.25">
      <c r="A22" s="51">
        <v>22</v>
      </c>
      <c r="B22" s="29" t="s">
        <v>675</v>
      </c>
      <c r="C22" s="29" t="s">
        <v>847</v>
      </c>
      <c r="D22" s="29" t="s">
        <v>290</v>
      </c>
      <c r="E22" s="29" t="s">
        <v>395</v>
      </c>
      <c r="F22" s="30" t="s">
        <v>208</v>
      </c>
      <c r="G22" s="46" t="s">
        <v>10</v>
      </c>
      <c r="H22" s="46" t="s">
        <v>10</v>
      </c>
      <c r="I22" s="46" t="s">
        <v>10</v>
      </c>
      <c r="J22" s="46" t="s">
        <v>10</v>
      </c>
      <c r="K22" s="46" t="s">
        <v>10</v>
      </c>
      <c r="L22" s="31" t="str">
        <f t="shared" si="6"/>
        <v>Espacialidade</v>
      </c>
      <c r="M22" s="31" t="str">
        <f t="shared" si="6"/>
        <v>Elementos.Horizontais</v>
      </c>
      <c r="N22" s="31" t="str">
        <f t="shared" si="7"/>
        <v>Cotas Gabaritadas</v>
      </c>
      <c r="O22" s="31" t="str">
        <f t="shared" si="7"/>
        <v>Gabarito Subterrâneo</v>
      </c>
      <c r="P22" s="32" t="s">
        <v>586</v>
      </c>
      <c r="Q22" s="32" t="str">
        <f t="shared" si="5"/>
        <v>Plantilla de profundidad. Puede utilizarse para establecer la elevación superior de un proyecto subterráneo, como líneas de metro o instalaciones especiales urbanas. Se utiliza como límite de referencia de penetración en profundidad para proyectos nuevos.</v>
      </c>
      <c r="R22" s="58" t="s">
        <v>10</v>
      </c>
      <c r="S22" s="32" t="str">
        <f t="shared" si="8"/>
        <v>Espacialidade</v>
      </c>
      <c r="T22" s="32" t="str">
        <f t="shared" si="8"/>
        <v>Elementos Horizontais</v>
      </c>
      <c r="U22" s="32" t="str">
        <f t="shared" si="8"/>
        <v>Cotas Gabaritadas</v>
      </c>
      <c r="V22" s="32" t="s">
        <v>184</v>
      </c>
      <c r="W22" s="47" t="str">
        <f t="shared" si="3"/>
        <v>Key-AMB-22</v>
      </c>
      <c r="X22" s="32" t="s">
        <v>335</v>
      </c>
      <c r="Y22" s="43" t="s">
        <v>310</v>
      </c>
      <c r="Z22" s="58" t="s">
        <v>363</v>
      </c>
      <c r="AA22" s="32" t="str">
        <f t="shared" si="4"/>
        <v>Depth template. It can be used to set the upper elevation of an underground project, such as subway line or urban special installations. Used as a reference limit of penetration at depth for new projects.</v>
      </c>
    </row>
    <row r="23" spans="1:27" s="36" customFormat="1" ht="6.75" customHeight="1" x14ac:dyDescent="0.25">
      <c r="A23" s="51">
        <v>23</v>
      </c>
      <c r="B23" s="29" t="s">
        <v>675</v>
      </c>
      <c r="C23" s="29" t="s">
        <v>847</v>
      </c>
      <c r="D23" s="29" t="s">
        <v>290</v>
      </c>
      <c r="E23" s="29" t="s">
        <v>395</v>
      </c>
      <c r="F23" s="30" t="s">
        <v>209</v>
      </c>
      <c r="G23" s="46" t="s">
        <v>10</v>
      </c>
      <c r="H23" s="46" t="s">
        <v>10</v>
      </c>
      <c r="I23" s="46" t="s">
        <v>10</v>
      </c>
      <c r="J23" s="46" t="s">
        <v>10</v>
      </c>
      <c r="K23" s="46" t="s">
        <v>10</v>
      </c>
      <c r="L23" s="31" t="str">
        <f t="shared" si="6"/>
        <v>Espacialidade</v>
      </c>
      <c r="M23" s="31" t="str">
        <f t="shared" si="6"/>
        <v>Elementos.Horizontais</v>
      </c>
      <c r="N23" s="31" t="str">
        <f t="shared" si="7"/>
        <v>Cotas Gabaritadas</v>
      </c>
      <c r="O23" s="31" t="str">
        <f t="shared" si="7"/>
        <v>Gabarito Aéreo</v>
      </c>
      <c r="P23" s="32" t="s">
        <v>210</v>
      </c>
      <c r="Q23" s="32" t="str">
        <f t="shared" si="5"/>
        <v>El medidor de altura permite realizar vuelos seguros con UAS (drones). Establecido por ANAC (Agencia Nacional de Aviación Civil). Especialmente en las regiones cercanas a los aeropuertos.</v>
      </c>
      <c r="R23" s="58" t="s">
        <v>10</v>
      </c>
      <c r="S23" s="32" t="str">
        <f t="shared" si="8"/>
        <v>Espacialidade</v>
      </c>
      <c r="T23" s="32" t="str">
        <f t="shared" si="8"/>
        <v>Elementos Horizontais</v>
      </c>
      <c r="U23" s="32" t="str">
        <f t="shared" si="8"/>
        <v>Cotas Gabaritadas</v>
      </c>
      <c r="V23" s="32" t="s">
        <v>184</v>
      </c>
      <c r="W23" s="47" t="str">
        <f t="shared" si="3"/>
        <v>Key-AMB-23</v>
      </c>
      <c r="X23" s="32" t="s">
        <v>335</v>
      </c>
      <c r="Y23" s="43" t="s">
        <v>310</v>
      </c>
      <c r="Z23" s="58" t="s">
        <v>363</v>
      </c>
      <c r="AA23" s="32" t="str">
        <f t="shared" si="4"/>
        <v>Height gauge allowed to perform safe flights with UAS (drones). Established by ANAC (National Civil Aviation Agency). Especially in regions close to airports.</v>
      </c>
    </row>
    <row r="24" spans="1:27" s="36" customFormat="1" ht="6.75" customHeight="1" x14ac:dyDescent="0.25">
      <c r="A24" s="51">
        <v>24</v>
      </c>
      <c r="B24" s="29" t="s">
        <v>675</v>
      </c>
      <c r="C24" s="29" t="s">
        <v>847</v>
      </c>
      <c r="D24" s="29" t="s">
        <v>290</v>
      </c>
      <c r="E24" s="29" t="s">
        <v>395</v>
      </c>
      <c r="F24" s="30" t="s">
        <v>211</v>
      </c>
      <c r="G24" s="46" t="s">
        <v>10</v>
      </c>
      <c r="H24" s="46" t="s">
        <v>10</v>
      </c>
      <c r="I24" s="46" t="s">
        <v>10</v>
      </c>
      <c r="J24" s="46" t="s">
        <v>10</v>
      </c>
      <c r="K24" s="46" t="s">
        <v>10</v>
      </c>
      <c r="L24" s="31" t="str">
        <f t="shared" si="6"/>
        <v>Espacialidade</v>
      </c>
      <c r="M24" s="31" t="str">
        <f t="shared" si="6"/>
        <v>Elementos.Horizontais</v>
      </c>
      <c r="N24" s="31" t="str">
        <f t="shared" si="7"/>
        <v>Cotas Gabaritadas</v>
      </c>
      <c r="O24" s="31" t="str">
        <f t="shared" si="7"/>
        <v>Gabarito Hídrico</v>
      </c>
      <c r="P24" s="32" t="s">
        <v>587</v>
      </c>
      <c r="Q24" s="32" t="str">
        <f t="shared" si="5"/>
        <v>Plantilla que define los niveles variables de un cuerpo de agua natural, como el mar o los máximos y mínimos ascendentes de ríos y estanques. Referencia para proyectos en zonas costeras o inundables.</v>
      </c>
      <c r="R24" s="58" t="s">
        <v>10</v>
      </c>
      <c r="S24" s="32" t="str">
        <f t="shared" si="8"/>
        <v>Espacialidade</v>
      </c>
      <c r="T24" s="32" t="str">
        <f t="shared" si="8"/>
        <v>Elementos Horizontais</v>
      </c>
      <c r="U24" s="32" t="str">
        <f t="shared" si="8"/>
        <v>Cotas Gabaritadas</v>
      </c>
      <c r="V24" s="32" t="s">
        <v>184</v>
      </c>
      <c r="W24" s="47" t="str">
        <f t="shared" si="3"/>
        <v>Key-AMB-24</v>
      </c>
      <c r="X24" s="32" t="s">
        <v>335</v>
      </c>
      <c r="Y24" s="43" t="s">
        <v>310</v>
      </c>
      <c r="Z24" s="58" t="s">
        <v>363</v>
      </c>
      <c r="AA24" s="32" t="str">
        <f t="shared" si="4"/>
        <v>Template that defines the varying levels of a natural body of water, such as the sea or rising maximums and minimums of rivers and ponds. Reference for projects in coastal or floodable areas.</v>
      </c>
    </row>
    <row r="25" spans="1:27" s="36" customFormat="1" ht="6.75" customHeight="1" x14ac:dyDescent="0.25">
      <c r="A25" s="51">
        <v>25</v>
      </c>
      <c r="B25" s="29" t="s">
        <v>675</v>
      </c>
      <c r="C25" s="29" t="s">
        <v>847</v>
      </c>
      <c r="D25" s="29" t="s">
        <v>290</v>
      </c>
      <c r="E25" s="29" t="s">
        <v>395</v>
      </c>
      <c r="F25" s="30" t="s">
        <v>212</v>
      </c>
      <c r="G25" s="46" t="s">
        <v>10</v>
      </c>
      <c r="H25" s="46" t="s">
        <v>10</v>
      </c>
      <c r="I25" s="46" t="s">
        <v>10</v>
      </c>
      <c r="J25" s="46" t="s">
        <v>10</v>
      </c>
      <c r="K25" s="46" t="s">
        <v>10</v>
      </c>
      <c r="L25" s="31" t="str">
        <f t="shared" si="6"/>
        <v>Espacialidade</v>
      </c>
      <c r="M25" s="31" t="str">
        <f t="shared" si="6"/>
        <v>Elementos.Horizontais</v>
      </c>
      <c r="N25" s="31" t="str">
        <f t="shared" si="7"/>
        <v>Cotas Gabaritadas</v>
      </c>
      <c r="O25" s="31" t="str">
        <f t="shared" si="7"/>
        <v>Gabarito Municipal</v>
      </c>
      <c r="P25" s="32" t="s">
        <v>213</v>
      </c>
      <c r="Q25" s="32" t="str">
        <f t="shared" si="5"/>
        <v>El medidor de altura máxima permitía edificios en cada área urbana. Establecido por las leyes municipales de uso y ocupación del suelo. No puede ser superado por el proyecto.</v>
      </c>
      <c r="R25" s="58" t="s">
        <v>10</v>
      </c>
      <c r="S25" s="32" t="str">
        <f t="shared" si="8"/>
        <v>Espacialidade</v>
      </c>
      <c r="T25" s="32" t="str">
        <f t="shared" si="8"/>
        <v>Elementos Horizontais</v>
      </c>
      <c r="U25" s="32" t="str">
        <f t="shared" si="8"/>
        <v>Cotas Gabaritadas</v>
      </c>
      <c r="V25" s="32" t="s">
        <v>184</v>
      </c>
      <c r="W25" s="47" t="str">
        <f t="shared" si="3"/>
        <v>Key-AMB-25</v>
      </c>
      <c r="X25" s="32" t="s">
        <v>335</v>
      </c>
      <c r="Y25" s="43" t="s">
        <v>310</v>
      </c>
      <c r="Z25" s="58" t="s">
        <v>363</v>
      </c>
      <c r="AA25" s="32" t="str">
        <f t="shared" si="4"/>
        <v>Maximum height gauge allowed for buildings in each urban area. Established by municipal laws of land use and occupation. It cannot be overtaken by the project.</v>
      </c>
    </row>
    <row r="26" spans="1:27" s="36" customFormat="1" ht="6.75" customHeight="1" x14ac:dyDescent="0.25">
      <c r="A26" s="51">
        <v>26</v>
      </c>
      <c r="B26" s="29" t="s">
        <v>675</v>
      </c>
      <c r="C26" s="29" t="s">
        <v>847</v>
      </c>
      <c r="D26" s="29" t="s">
        <v>396</v>
      </c>
      <c r="E26" s="29" t="s">
        <v>296</v>
      </c>
      <c r="F26" s="29" t="s">
        <v>224</v>
      </c>
      <c r="G26" s="46" t="s">
        <v>10</v>
      </c>
      <c r="H26" s="46" t="s">
        <v>10</v>
      </c>
      <c r="I26" s="46" t="s">
        <v>10</v>
      </c>
      <c r="J26" s="46" t="s">
        <v>10</v>
      </c>
      <c r="K26" s="46" t="s">
        <v>10</v>
      </c>
      <c r="L26" s="31" t="str">
        <f t="shared" si="6"/>
        <v>Espacialidade</v>
      </c>
      <c r="M26" s="31" t="str">
        <f t="shared" si="6"/>
        <v>Elementos.de.Elevações</v>
      </c>
      <c r="N26" s="31" t="str">
        <f t="shared" si="7"/>
        <v>Vistas do Projeto</v>
      </c>
      <c r="O26" s="31" t="str">
        <f t="shared" si="7"/>
        <v>Fachada Principal</v>
      </c>
      <c r="P26" s="32" t="s">
        <v>448</v>
      </c>
      <c r="Q26" s="32" t="str">
        <f>_xlfn.TRANSLATE(P26,"pt","es")</f>
        <v>Símbolo de elevación de la fachada principal. En relación con el norte del proyecto Revit. El marcador de vista puede declararse con un tipo específico.</v>
      </c>
      <c r="R26" s="58" t="s">
        <v>10</v>
      </c>
      <c r="S26" s="32" t="str">
        <f t="shared" si="8"/>
        <v>Espacialidade</v>
      </c>
      <c r="T26" s="32" t="str">
        <f t="shared" si="8"/>
        <v>Elementos de Elevações</v>
      </c>
      <c r="U26" s="32" t="str">
        <f t="shared" si="8"/>
        <v>Vistas do Projeto</v>
      </c>
      <c r="V26" s="32" t="s">
        <v>184</v>
      </c>
      <c r="W26" s="47" t="str">
        <f t="shared" si="3"/>
        <v>Key-AMB-26</v>
      </c>
      <c r="X26" s="32" t="s">
        <v>393</v>
      </c>
      <c r="Y26" s="32" t="s">
        <v>383</v>
      </c>
      <c r="Z26" s="58" t="s">
        <v>366</v>
      </c>
      <c r="AA26" s="32" t="str">
        <f t="shared" si="4"/>
        <v>Symbol of Elevation of the Main Façade. Relative to the North of the Revit project. The view marker can be declared with a specific type.</v>
      </c>
    </row>
    <row r="27" spans="1:27" s="36" customFormat="1" ht="6.75" customHeight="1" x14ac:dyDescent="0.25">
      <c r="A27" s="51">
        <v>27</v>
      </c>
      <c r="B27" s="29" t="s">
        <v>675</v>
      </c>
      <c r="C27" s="29" t="s">
        <v>847</v>
      </c>
      <c r="D27" s="29" t="s">
        <v>396</v>
      </c>
      <c r="E27" s="29" t="s">
        <v>296</v>
      </c>
      <c r="F27" s="29" t="s">
        <v>225</v>
      </c>
      <c r="G27" s="46" t="s">
        <v>10</v>
      </c>
      <c r="H27" s="46" t="s">
        <v>10</v>
      </c>
      <c r="I27" s="46" t="s">
        <v>10</v>
      </c>
      <c r="J27" s="46" t="s">
        <v>10</v>
      </c>
      <c r="K27" s="46" t="s">
        <v>10</v>
      </c>
      <c r="L27" s="31" t="str">
        <f t="shared" si="6"/>
        <v>Espacialidade</v>
      </c>
      <c r="M27" s="31" t="str">
        <f t="shared" si="6"/>
        <v>Elementos.de.Elevações</v>
      </c>
      <c r="N27" s="31" t="str">
        <f t="shared" si="7"/>
        <v>Vistas do Projeto</v>
      </c>
      <c r="O27" s="31" t="str">
        <f t="shared" si="7"/>
        <v>Fachada Fundos</v>
      </c>
      <c r="P27" s="32" t="s">
        <v>449</v>
      </c>
      <c r="Q27" s="32" t="str">
        <f t="shared" si="5"/>
        <v>Símbolo de la elevación de la fachada trasera. Relacionado con la fachada principal o norte del Proyecto Revit. El marcador de vista puede declararse con un tipo específico.</v>
      </c>
      <c r="R27" s="58" t="s">
        <v>10</v>
      </c>
      <c r="S27" s="32" t="str">
        <f t="shared" si="8"/>
        <v>Espacialidade</v>
      </c>
      <c r="T27" s="32" t="str">
        <f t="shared" si="8"/>
        <v>Elementos de Elevações</v>
      </c>
      <c r="U27" s="32" t="str">
        <f t="shared" si="8"/>
        <v>Vistas do Projeto</v>
      </c>
      <c r="V27" s="32" t="s">
        <v>184</v>
      </c>
      <c r="W27" s="47" t="str">
        <f t="shared" si="3"/>
        <v>Key-AMB-27</v>
      </c>
      <c r="X27" s="32" t="s">
        <v>393</v>
      </c>
      <c r="Y27" s="32" t="s">
        <v>383</v>
      </c>
      <c r="Z27" s="58" t="s">
        <v>366</v>
      </c>
      <c r="AA27" s="32" t="str">
        <f t="shared" si="4"/>
        <v>Symbol of Elevation of the Back Façade. Relating to the Main or North Façade of Revit Project. The view marker can be declared with a specific type.</v>
      </c>
    </row>
    <row r="28" spans="1:27" s="36" customFormat="1" ht="6.75" customHeight="1" x14ac:dyDescent="0.25">
      <c r="A28" s="51">
        <v>28</v>
      </c>
      <c r="B28" s="29" t="s">
        <v>675</v>
      </c>
      <c r="C28" s="29" t="s">
        <v>847</v>
      </c>
      <c r="D28" s="29" t="s">
        <v>396</v>
      </c>
      <c r="E28" s="29" t="s">
        <v>296</v>
      </c>
      <c r="F28" s="29" t="s">
        <v>446</v>
      </c>
      <c r="G28" s="46" t="s">
        <v>10</v>
      </c>
      <c r="H28" s="46" t="s">
        <v>10</v>
      </c>
      <c r="I28" s="46" t="s">
        <v>10</v>
      </c>
      <c r="J28" s="46" t="s">
        <v>10</v>
      </c>
      <c r="K28" s="46" t="s">
        <v>10</v>
      </c>
      <c r="L28" s="31" t="str">
        <f t="shared" si="6"/>
        <v>Espacialidade</v>
      </c>
      <c r="M28" s="31" t="str">
        <f t="shared" si="6"/>
        <v>Elementos.de.Elevações</v>
      </c>
      <c r="N28" s="31" t="str">
        <f t="shared" si="7"/>
        <v>Vistas do Projeto</v>
      </c>
      <c r="O28" s="31" t="str">
        <f t="shared" si="7"/>
        <v>Fachada Lateral Derecha</v>
      </c>
      <c r="P28" s="32" t="s">
        <v>450</v>
      </c>
      <c r="Q28" s="32" t="str">
        <f t="shared" si="5"/>
        <v>Símbolo de elevación de la fachada del lado derecho. Relacionado con la fachada principal o norte del Proyecto Revit. El marcador de vista puede declararse con un tipo específico.</v>
      </c>
      <c r="R28" s="58" t="s">
        <v>10</v>
      </c>
      <c r="S28" s="32" t="str">
        <f t="shared" si="8"/>
        <v>Espacialidade</v>
      </c>
      <c r="T28" s="32" t="str">
        <f t="shared" si="8"/>
        <v>Elementos de Elevações</v>
      </c>
      <c r="U28" s="32" t="str">
        <f t="shared" si="8"/>
        <v>Vistas do Projeto</v>
      </c>
      <c r="V28" s="32" t="s">
        <v>184</v>
      </c>
      <c r="W28" s="47" t="str">
        <f t="shared" si="3"/>
        <v>Key-AMB-28</v>
      </c>
      <c r="X28" s="32" t="s">
        <v>393</v>
      </c>
      <c r="Y28" s="32" t="s">
        <v>383</v>
      </c>
      <c r="Z28" s="58" t="s">
        <v>366</v>
      </c>
      <c r="AA28" s="32" t="str">
        <f t="shared" si="4"/>
        <v>Right Side Facade Elevation Symbol. Relating to the Main or North Façade of Revit Project. The view marker can be declared with a specific type.</v>
      </c>
    </row>
    <row r="29" spans="1:27" s="36" customFormat="1" ht="6.75" customHeight="1" x14ac:dyDescent="0.25">
      <c r="A29" s="51">
        <v>29</v>
      </c>
      <c r="B29" s="29" t="s">
        <v>675</v>
      </c>
      <c r="C29" s="29" t="s">
        <v>847</v>
      </c>
      <c r="D29" s="29" t="s">
        <v>396</v>
      </c>
      <c r="E29" s="29" t="s">
        <v>296</v>
      </c>
      <c r="F29" s="29" t="s">
        <v>447</v>
      </c>
      <c r="G29" s="46" t="s">
        <v>10</v>
      </c>
      <c r="H29" s="46" t="s">
        <v>10</v>
      </c>
      <c r="I29" s="46" t="s">
        <v>10</v>
      </c>
      <c r="J29" s="46" t="s">
        <v>10</v>
      </c>
      <c r="K29" s="46" t="s">
        <v>10</v>
      </c>
      <c r="L29" s="31" t="str">
        <f t="shared" si="6"/>
        <v>Espacialidade</v>
      </c>
      <c r="M29" s="31" t="str">
        <f t="shared" si="6"/>
        <v>Elementos.de.Elevações</v>
      </c>
      <c r="N29" s="31" t="str">
        <f t="shared" si="7"/>
        <v>Vistas do Projeto</v>
      </c>
      <c r="O29" s="31" t="str">
        <f t="shared" si="7"/>
        <v>Fachada Lateral Esquerda</v>
      </c>
      <c r="P29" s="32" t="s">
        <v>451</v>
      </c>
      <c r="Q29" s="32" t="str">
        <f t="shared" si="5"/>
        <v>Símbolo de elevación de la fachada lateral izquierda. Relacionado con la fachada principal o norte del Proyecto Revit. El marcador de vista puede declararse con un tipo específico.</v>
      </c>
      <c r="R29" s="58" t="s">
        <v>10</v>
      </c>
      <c r="S29" s="32" t="str">
        <f t="shared" si="8"/>
        <v>Espacialidade</v>
      </c>
      <c r="T29" s="32" t="str">
        <f t="shared" si="8"/>
        <v>Elementos de Elevações</v>
      </c>
      <c r="U29" s="32" t="str">
        <f t="shared" si="8"/>
        <v>Vistas do Projeto</v>
      </c>
      <c r="V29" s="32" t="s">
        <v>184</v>
      </c>
      <c r="W29" s="47" t="str">
        <f t="shared" si="3"/>
        <v>Key-AMB-29</v>
      </c>
      <c r="X29" s="32" t="s">
        <v>393</v>
      </c>
      <c r="Y29" s="32" t="s">
        <v>383</v>
      </c>
      <c r="Z29" s="58" t="s">
        <v>366</v>
      </c>
      <c r="AA29" s="32" t="str">
        <f t="shared" si="4"/>
        <v>Symbol of Elevation of the Left Side Façade. Relating to the Main or North Façade of Revit Project. The view marker can be declared with a specific type.</v>
      </c>
    </row>
    <row r="30" spans="1:27" s="36" customFormat="1" ht="6.75" customHeight="1" x14ac:dyDescent="0.25">
      <c r="A30" s="51">
        <v>30</v>
      </c>
      <c r="B30" s="29" t="s">
        <v>675</v>
      </c>
      <c r="C30" s="29" t="s">
        <v>847</v>
      </c>
      <c r="D30" s="29" t="s">
        <v>396</v>
      </c>
      <c r="E30" s="29" t="s">
        <v>296</v>
      </c>
      <c r="F30" s="29" t="s">
        <v>390</v>
      </c>
      <c r="G30" s="46" t="s">
        <v>10</v>
      </c>
      <c r="H30" s="46" t="s">
        <v>10</v>
      </c>
      <c r="I30" s="46" t="s">
        <v>10</v>
      </c>
      <c r="J30" s="46" t="s">
        <v>10</v>
      </c>
      <c r="K30" s="46" t="s">
        <v>10</v>
      </c>
      <c r="L30" s="31" t="str">
        <f t="shared" si="6"/>
        <v>Espacialidade</v>
      </c>
      <c r="M30" s="31" t="str">
        <f t="shared" si="6"/>
        <v>Elementos.de.Elevações</v>
      </c>
      <c r="N30" s="31" t="str">
        <f t="shared" si="7"/>
        <v>Vistas do Projeto</v>
      </c>
      <c r="O30" s="31" t="str">
        <f t="shared" si="7"/>
        <v>Fachada Inespecífica</v>
      </c>
      <c r="P30" s="32" t="s">
        <v>452</v>
      </c>
      <c r="Q30" s="32" t="str">
        <f t="shared" si="5"/>
        <v>Símbolo de la elevación de una fachada secundaria. Relacionado con la fachada principal o norte del Proyecto Revit. El marcador de vista puede declararse con un tipo específico.</v>
      </c>
      <c r="R30" s="58" t="s">
        <v>10</v>
      </c>
      <c r="S30" s="32" t="str">
        <f t="shared" si="8"/>
        <v>Espacialidade</v>
      </c>
      <c r="T30" s="32" t="str">
        <f t="shared" si="8"/>
        <v>Elementos de Elevações</v>
      </c>
      <c r="U30" s="32" t="str">
        <f t="shared" si="8"/>
        <v>Vistas do Projeto</v>
      </c>
      <c r="V30" s="32" t="s">
        <v>184</v>
      </c>
      <c r="W30" s="47" t="str">
        <f t="shared" si="3"/>
        <v>Key-AMB-30</v>
      </c>
      <c r="X30" s="32" t="s">
        <v>393</v>
      </c>
      <c r="Y30" s="32" t="s">
        <v>383</v>
      </c>
      <c r="Z30" s="58" t="s">
        <v>366</v>
      </c>
      <c r="AA30" s="32" t="str">
        <f t="shared" si="4"/>
        <v>Symbol of Elevation of a Secondary Façade. Relating to the Main or North Façade of Revit Project. The view marker can be declared with a specific type.</v>
      </c>
    </row>
    <row r="31" spans="1:27" s="36" customFormat="1" ht="6.75" customHeight="1" x14ac:dyDescent="0.25">
      <c r="A31" s="51">
        <v>31</v>
      </c>
      <c r="B31" s="29" t="s">
        <v>675</v>
      </c>
      <c r="C31" s="29" t="s">
        <v>847</v>
      </c>
      <c r="D31" s="29" t="s">
        <v>396</v>
      </c>
      <c r="E31" s="29" t="s">
        <v>296</v>
      </c>
      <c r="F31" s="29" t="s">
        <v>389</v>
      </c>
      <c r="G31" s="46" t="s">
        <v>10</v>
      </c>
      <c r="H31" s="46" t="s">
        <v>10</v>
      </c>
      <c r="I31" s="46" t="s">
        <v>10</v>
      </c>
      <c r="J31" s="46" t="s">
        <v>10</v>
      </c>
      <c r="K31" s="46" t="s">
        <v>10</v>
      </c>
      <c r="L31" s="31" t="str">
        <f t="shared" si="6"/>
        <v>Espacialidade</v>
      </c>
      <c r="M31" s="31" t="str">
        <f t="shared" si="6"/>
        <v>Elementos.de.Elevações</v>
      </c>
      <c r="N31" s="31" t="str">
        <f t="shared" si="7"/>
        <v>Vistas do Projeto</v>
      </c>
      <c r="O31" s="31" t="str">
        <f t="shared" si="7"/>
        <v>Vista Interna</v>
      </c>
      <c r="P31" s="32" t="s">
        <v>394</v>
      </c>
      <c r="Q31" s="32" t="str">
        <f t="shared" si="5"/>
        <v>Símbolo de elevación de una vista interior definido en el proyecto, para la paginación de baños y cocinas, por ejemplo: el marcador de vista puede declararse con un tipo específico.</v>
      </c>
      <c r="R31" s="58" t="s">
        <v>10</v>
      </c>
      <c r="S31" s="32" t="str">
        <f t="shared" si="8"/>
        <v>Espacialidade</v>
      </c>
      <c r="T31" s="32" t="str">
        <f t="shared" si="8"/>
        <v>Elementos de Elevações</v>
      </c>
      <c r="U31" s="32" t="str">
        <f t="shared" si="8"/>
        <v>Vistas do Projeto</v>
      </c>
      <c r="V31" s="32" t="s">
        <v>184</v>
      </c>
      <c r="W31" s="47" t="str">
        <f t="shared" si="3"/>
        <v>Key-AMB-31</v>
      </c>
      <c r="X31" s="32" t="s">
        <v>336</v>
      </c>
      <c r="Y31" s="32" t="s">
        <v>383</v>
      </c>
      <c r="Z31" s="58" t="s">
        <v>366</v>
      </c>
      <c r="AA31" s="32" t="str">
        <f t="shared" si="4"/>
        <v>Elevation Symbol of an Interior View defined in the project, for pagination of bathrooms and kitchens, for example: the view marker can be declared with a specific type.</v>
      </c>
    </row>
    <row r="32" spans="1:27" s="36" customFormat="1" ht="6.75" customHeight="1" x14ac:dyDescent="0.25">
      <c r="A32" s="51">
        <v>32</v>
      </c>
      <c r="B32" s="29" t="s">
        <v>675</v>
      </c>
      <c r="C32" s="29" t="s">
        <v>847</v>
      </c>
      <c r="D32" s="29" t="s">
        <v>293</v>
      </c>
      <c r="E32" s="29" t="s">
        <v>214</v>
      </c>
      <c r="F32" s="30" t="s">
        <v>181</v>
      </c>
      <c r="G32" s="46" t="s">
        <v>10</v>
      </c>
      <c r="H32" s="46" t="s">
        <v>10</v>
      </c>
      <c r="I32" s="46" t="s">
        <v>10</v>
      </c>
      <c r="J32" s="46" t="s">
        <v>10</v>
      </c>
      <c r="K32" s="46" t="s">
        <v>10</v>
      </c>
      <c r="L32" s="31" t="str">
        <f t="shared" si="6"/>
        <v>Espacialidade</v>
      </c>
      <c r="M32" s="31" t="str">
        <f t="shared" si="6"/>
        <v>Elementos.Estruturantes</v>
      </c>
      <c r="N32" s="31" t="str">
        <f t="shared" si="7"/>
        <v>Eixos Estruturais</v>
      </c>
      <c r="O32" s="31" t="str">
        <f t="shared" si="7"/>
        <v>Eixo Estrutural</v>
      </c>
      <c r="P32" s="32" t="s">
        <v>215</v>
      </c>
      <c r="Q32" s="32" t="str">
        <f t="shared" si="5"/>
        <v>Ejes de diseño utilizados para la ubicación de columnas, simetrías, cuerpos, etc.</v>
      </c>
      <c r="R32" s="58" t="s">
        <v>10</v>
      </c>
      <c r="S32" s="32" t="str">
        <f t="shared" si="8"/>
        <v>Espacialidade</v>
      </c>
      <c r="T32" s="32" t="str">
        <f t="shared" si="8"/>
        <v>Elementos Estruturantes</v>
      </c>
      <c r="U32" s="32" t="str">
        <f t="shared" si="8"/>
        <v>Eixos Estruturais</v>
      </c>
      <c r="V32" s="32" t="s">
        <v>184</v>
      </c>
      <c r="W32" s="47" t="str">
        <f t="shared" si="3"/>
        <v>Key-AMB-32</v>
      </c>
      <c r="X32" s="32" t="s">
        <v>337</v>
      </c>
      <c r="Y32" s="43" t="s">
        <v>311</v>
      </c>
      <c r="Z32" s="58" t="s">
        <v>366</v>
      </c>
      <c r="AA32" s="32" t="str">
        <f t="shared" si="4"/>
        <v>Design axes used for column location, symmetries, bodies, etc.</v>
      </c>
    </row>
    <row r="33" spans="1:27" s="36" customFormat="1" ht="6.75" customHeight="1" x14ac:dyDescent="0.25">
      <c r="A33" s="51">
        <v>33</v>
      </c>
      <c r="B33" s="29" t="s">
        <v>675</v>
      </c>
      <c r="C33" s="29" t="s">
        <v>847</v>
      </c>
      <c r="D33" s="29" t="s">
        <v>293</v>
      </c>
      <c r="E33" s="29" t="s">
        <v>214</v>
      </c>
      <c r="F33" s="30" t="s">
        <v>216</v>
      </c>
      <c r="G33" s="46" t="s">
        <v>10</v>
      </c>
      <c r="H33" s="46" t="s">
        <v>10</v>
      </c>
      <c r="I33" s="46" t="s">
        <v>10</v>
      </c>
      <c r="J33" s="46" t="s">
        <v>10</v>
      </c>
      <c r="K33" s="46" t="s">
        <v>10</v>
      </c>
      <c r="L33" s="31" t="str">
        <f t="shared" si="6"/>
        <v>Espacialidade</v>
      </c>
      <c r="M33" s="31" t="str">
        <f t="shared" si="6"/>
        <v>Elementos.Estruturantes</v>
      </c>
      <c r="N33" s="31" t="str">
        <f t="shared" si="7"/>
        <v>Eixos Estruturais</v>
      </c>
      <c r="O33" s="31" t="str">
        <f t="shared" si="7"/>
        <v>Eixo Estrutural Irregular</v>
      </c>
      <c r="P33" s="32" t="s">
        <v>217</v>
      </c>
      <c r="Q33" s="32" t="str">
        <f t="shared" si="5"/>
        <v>Ejes de diseño dispuestos de manera irregular usados para la ubicación de columnas, simetrías, cuerpos, etc.</v>
      </c>
      <c r="R33" s="58" t="s">
        <v>10</v>
      </c>
      <c r="S33" s="32" t="str">
        <f t="shared" si="8"/>
        <v>Espacialidade</v>
      </c>
      <c r="T33" s="32" t="str">
        <f t="shared" si="8"/>
        <v>Elementos Estruturantes</v>
      </c>
      <c r="U33" s="32" t="str">
        <f t="shared" si="8"/>
        <v>Eixos Estruturais</v>
      </c>
      <c r="V33" s="32" t="s">
        <v>184</v>
      </c>
      <c r="W33" s="47" t="str">
        <f t="shared" si="3"/>
        <v>Key-AMB-33</v>
      </c>
      <c r="X33" s="32" t="s">
        <v>337</v>
      </c>
      <c r="Y33" s="43" t="s">
        <v>312</v>
      </c>
      <c r="Z33" s="58" t="s">
        <v>366</v>
      </c>
      <c r="AA33" s="32" t="str">
        <f t="shared" si="4"/>
        <v>Irregularly arranged design axes used for the location of columns, symmetries, bodies, etc.</v>
      </c>
    </row>
    <row r="34" spans="1:27" s="36" customFormat="1" ht="6.75" customHeight="1" x14ac:dyDescent="0.25">
      <c r="A34" s="51">
        <v>34</v>
      </c>
      <c r="B34" s="29" t="s">
        <v>675</v>
      </c>
      <c r="C34" s="29" t="s">
        <v>847</v>
      </c>
      <c r="D34" s="29" t="s">
        <v>293</v>
      </c>
      <c r="E34" s="29" t="s">
        <v>214</v>
      </c>
      <c r="F34" s="30" t="s">
        <v>218</v>
      </c>
      <c r="G34" s="46" t="s">
        <v>10</v>
      </c>
      <c r="H34" s="46" t="s">
        <v>10</v>
      </c>
      <c r="I34" s="46" t="s">
        <v>10</v>
      </c>
      <c r="J34" s="46" t="s">
        <v>10</v>
      </c>
      <c r="K34" s="46" t="s">
        <v>10</v>
      </c>
      <c r="L34" s="31" t="str">
        <f t="shared" si="6"/>
        <v>Espacialidade</v>
      </c>
      <c r="M34" s="31" t="str">
        <f t="shared" si="6"/>
        <v>Elementos.Estruturantes</v>
      </c>
      <c r="N34" s="31" t="str">
        <f t="shared" si="7"/>
        <v>Eixos Estruturais</v>
      </c>
      <c r="O34" s="31" t="str">
        <f t="shared" si="7"/>
        <v>Eixo Estrutural Radial</v>
      </c>
      <c r="P34" s="32" t="s">
        <v>219</v>
      </c>
      <c r="Q34" s="32" t="str">
        <f t="shared" si="5"/>
        <v>Ejes de diseño dispuestos radialmente usados para la ubicación de columnas, simetrías, cuerpos, etc.</v>
      </c>
      <c r="R34" s="58" t="s">
        <v>10</v>
      </c>
      <c r="S34" s="32" t="str">
        <f t="shared" si="8"/>
        <v>Espacialidade</v>
      </c>
      <c r="T34" s="32" t="str">
        <f t="shared" si="8"/>
        <v>Elementos Estruturantes</v>
      </c>
      <c r="U34" s="32" t="str">
        <f t="shared" si="8"/>
        <v>Eixos Estruturais</v>
      </c>
      <c r="V34" s="32" t="s">
        <v>184</v>
      </c>
      <c r="W34" s="47" t="str">
        <f t="shared" si="3"/>
        <v>Key-AMB-34</v>
      </c>
      <c r="X34" s="32" t="s">
        <v>337</v>
      </c>
      <c r="Y34" s="43" t="s">
        <v>313</v>
      </c>
      <c r="Z34" s="58" t="s">
        <v>366</v>
      </c>
      <c r="AA34" s="32" t="str">
        <f t="shared" si="4"/>
        <v>Radially arranged design axes used for location of columns, symmetries, bodies, etc.</v>
      </c>
    </row>
    <row r="35" spans="1:27" s="36" customFormat="1" ht="6.75" customHeight="1" x14ac:dyDescent="0.25">
      <c r="A35" s="51">
        <v>35</v>
      </c>
      <c r="B35" s="29" t="s">
        <v>675</v>
      </c>
      <c r="C35" s="29" t="s">
        <v>847</v>
      </c>
      <c r="D35" s="29" t="s">
        <v>293</v>
      </c>
      <c r="E35" s="29" t="s">
        <v>214</v>
      </c>
      <c r="F35" s="30" t="s">
        <v>220</v>
      </c>
      <c r="G35" s="46" t="s">
        <v>10</v>
      </c>
      <c r="H35" s="46" t="s">
        <v>10</v>
      </c>
      <c r="I35" s="46" t="s">
        <v>10</v>
      </c>
      <c r="J35" s="46" t="s">
        <v>10</v>
      </c>
      <c r="K35" s="46" t="s">
        <v>10</v>
      </c>
      <c r="L35" s="31" t="str">
        <f t="shared" si="6"/>
        <v>Espacialidade</v>
      </c>
      <c r="M35" s="31" t="str">
        <f t="shared" si="6"/>
        <v>Elementos.Estruturantes</v>
      </c>
      <c r="N35" s="31" t="str">
        <f t="shared" ref="N35:O162" si="9">(SUBSTITUTE(SUBSTITUTE(CONCATENATE("",E35),"."," ")," De "," de "))</f>
        <v>Eixos Estruturais</v>
      </c>
      <c r="O35" s="31" t="str">
        <f t="shared" si="9"/>
        <v>Eixo Estrutural Retangular</v>
      </c>
      <c r="P35" s="32" t="s">
        <v>221</v>
      </c>
      <c r="Q35" s="32" t="str">
        <f t="shared" si="5"/>
        <v>Ejes de diseño dispuestos regularmente usados para la ubicación de columnas, simetrías, cuerpos, etc.</v>
      </c>
      <c r="R35" s="58" t="s">
        <v>10</v>
      </c>
      <c r="S35" s="32" t="str">
        <f t="shared" si="8"/>
        <v>Espacialidade</v>
      </c>
      <c r="T35" s="32" t="str">
        <f t="shared" si="8"/>
        <v>Elementos Estruturantes</v>
      </c>
      <c r="U35" s="32" t="str">
        <f t="shared" si="8"/>
        <v>Eixos Estruturais</v>
      </c>
      <c r="V35" s="32" t="s">
        <v>184</v>
      </c>
      <c r="W35" s="47" t="str">
        <f t="shared" si="3"/>
        <v>Key-AMB-35</v>
      </c>
      <c r="X35" s="32" t="s">
        <v>337</v>
      </c>
      <c r="Y35" s="43" t="s">
        <v>314</v>
      </c>
      <c r="Z35" s="58" t="s">
        <v>366</v>
      </c>
      <c r="AA35" s="32" t="str">
        <f t="shared" si="4"/>
        <v>Regularly arranged design axes used for column location, symmetries, bodies, etc.</v>
      </c>
    </row>
    <row r="36" spans="1:27" s="36" customFormat="1" ht="6.75" customHeight="1" x14ac:dyDescent="0.25">
      <c r="A36" s="51">
        <v>36</v>
      </c>
      <c r="B36" s="29" t="s">
        <v>675</v>
      </c>
      <c r="C36" s="29" t="s">
        <v>847</v>
      </c>
      <c r="D36" s="29" t="s">
        <v>293</v>
      </c>
      <c r="E36" s="29" t="s">
        <v>214</v>
      </c>
      <c r="F36" s="30" t="s">
        <v>222</v>
      </c>
      <c r="G36" s="46" t="s">
        <v>10</v>
      </c>
      <c r="H36" s="46" t="s">
        <v>10</v>
      </c>
      <c r="I36" s="46" t="s">
        <v>10</v>
      </c>
      <c r="J36" s="46" t="s">
        <v>10</v>
      </c>
      <c r="K36" s="46" t="s">
        <v>10</v>
      </c>
      <c r="L36" s="31" t="str">
        <f t="shared" si="6"/>
        <v>Espacialidade</v>
      </c>
      <c r="M36" s="31" t="str">
        <f t="shared" si="6"/>
        <v>Elementos.Estruturantes</v>
      </c>
      <c r="N36" s="31" t="str">
        <f t="shared" si="9"/>
        <v>Eixos Estruturais</v>
      </c>
      <c r="O36" s="31" t="str">
        <f t="shared" si="9"/>
        <v>Eixo Estrutural Triangular</v>
      </c>
      <c r="P36" s="32" t="s">
        <v>223</v>
      </c>
      <c r="Q36" s="32" t="str">
        <f t="shared" si="5"/>
        <v>Ejes de diseño dispuestos de forma inclinada o triangular usados para localizar columnas, simetrías, cuerpos, etc.</v>
      </c>
      <c r="R36" s="58" t="s">
        <v>10</v>
      </c>
      <c r="S36" s="32" t="str">
        <f t="shared" si="8"/>
        <v>Espacialidade</v>
      </c>
      <c r="T36" s="32" t="str">
        <f t="shared" si="8"/>
        <v>Elementos Estruturantes</v>
      </c>
      <c r="U36" s="32" t="str">
        <f t="shared" si="8"/>
        <v>Eixos Estruturais</v>
      </c>
      <c r="V36" s="32" t="s">
        <v>184</v>
      </c>
      <c r="W36" s="47" t="str">
        <f t="shared" si="3"/>
        <v>Key-AMB-36</v>
      </c>
      <c r="X36" s="32" t="s">
        <v>337</v>
      </c>
      <c r="Y36" s="43" t="s">
        <v>315</v>
      </c>
      <c r="Z36" s="58" t="s">
        <v>366</v>
      </c>
      <c r="AA36" s="32" t="str">
        <f t="shared" si="4"/>
        <v>Design axes arranged in an inclined or triangular manner used to locate columns, symmetries, bodies, etc.</v>
      </c>
    </row>
    <row r="37" spans="1:27" s="36" customFormat="1" ht="6.75" customHeight="1" x14ac:dyDescent="0.25">
      <c r="A37" s="51">
        <v>37</v>
      </c>
      <c r="B37" s="29" t="s">
        <v>675</v>
      </c>
      <c r="C37" s="29" t="s">
        <v>847</v>
      </c>
      <c r="D37" s="29" t="s">
        <v>293</v>
      </c>
      <c r="E37" s="29" t="s">
        <v>214</v>
      </c>
      <c r="F37" s="30" t="s">
        <v>304</v>
      </c>
      <c r="G37" s="46" t="s">
        <v>10</v>
      </c>
      <c r="H37" s="46" t="s">
        <v>10</v>
      </c>
      <c r="I37" s="46" t="s">
        <v>10</v>
      </c>
      <c r="J37" s="46" t="s">
        <v>10</v>
      </c>
      <c r="K37" s="46" t="s">
        <v>10</v>
      </c>
      <c r="L37" s="31" t="str">
        <f t="shared" si="6"/>
        <v>Espacialidade</v>
      </c>
      <c r="M37" s="31" t="str">
        <f t="shared" si="6"/>
        <v>Elementos.Estruturantes</v>
      </c>
      <c r="N37" s="31" t="str">
        <f t="shared" si="9"/>
        <v>Eixos Estruturais</v>
      </c>
      <c r="O37" s="31" t="str">
        <f t="shared" si="9"/>
        <v>Símbolo de Eixo</v>
      </c>
      <c r="P37" s="32" t="s">
        <v>305</v>
      </c>
      <c r="Q37" s="32" t="str">
        <f t="shared" si="5"/>
        <v>Elemento simbólico de referencia de la posición del eje estructural: marcador del eje.</v>
      </c>
      <c r="R37" s="58" t="s">
        <v>10</v>
      </c>
      <c r="S37" s="32" t="str">
        <f t="shared" si="8"/>
        <v>Espacialidade</v>
      </c>
      <c r="T37" s="32" t="str">
        <f t="shared" si="8"/>
        <v>Elementos Estruturantes</v>
      </c>
      <c r="U37" s="32" t="str">
        <f t="shared" si="8"/>
        <v>Eixos Estruturais</v>
      </c>
      <c r="V37" s="32" t="s">
        <v>184</v>
      </c>
      <c r="W37" s="47" t="str">
        <f t="shared" si="3"/>
        <v>Key-AMB-37</v>
      </c>
      <c r="X37" s="32" t="s">
        <v>337</v>
      </c>
      <c r="Y37" s="43" t="s">
        <v>315</v>
      </c>
      <c r="Z37" s="58" t="s">
        <v>366</v>
      </c>
      <c r="AA37" s="32" t="str">
        <f t="shared" si="4"/>
        <v>Symbolic reference element of the position of the Structural Axis: Axis marker.</v>
      </c>
    </row>
    <row r="38" spans="1:27" s="36" customFormat="1" ht="6.75" customHeight="1" x14ac:dyDescent="0.25">
      <c r="A38" s="51">
        <v>38</v>
      </c>
      <c r="B38" s="29" t="s">
        <v>675</v>
      </c>
      <c r="C38" s="29" t="s">
        <v>847</v>
      </c>
      <c r="D38" s="29" t="s">
        <v>293</v>
      </c>
      <c r="E38" s="29" t="s">
        <v>453</v>
      </c>
      <c r="F38" s="30" t="s">
        <v>385</v>
      </c>
      <c r="G38" s="46" t="s">
        <v>10</v>
      </c>
      <c r="H38" s="46" t="s">
        <v>10</v>
      </c>
      <c r="I38" s="46" t="s">
        <v>10</v>
      </c>
      <c r="J38" s="46" t="s">
        <v>10</v>
      </c>
      <c r="K38" s="46" t="s">
        <v>10</v>
      </c>
      <c r="L38" s="31" t="str">
        <f t="shared" si="6"/>
        <v>Espacialidade</v>
      </c>
      <c r="M38" s="31" t="str">
        <f t="shared" si="6"/>
        <v>Elementos.Estruturantes</v>
      </c>
      <c r="N38" s="31" t="str">
        <f t="shared" si="9"/>
        <v>Eixos de Simetrias</v>
      </c>
      <c r="O38" s="31" t="str">
        <f t="shared" si="9"/>
        <v>Eixo Simetria Principal</v>
      </c>
      <c r="P38" s="32" t="s">
        <v>386</v>
      </c>
      <c r="Q38" s="32" t="str">
        <f t="shared" si="5"/>
        <v>Elemento simbólico de referencia de la posición de un eje axial principal de simetría del edificio.</v>
      </c>
      <c r="R38" s="58" t="s">
        <v>10</v>
      </c>
      <c r="S38" s="32" t="str">
        <f t="shared" si="8"/>
        <v>Espacialidade</v>
      </c>
      <c r="T38" s="32" t="str">
        <f t="shared" si="8"/>
        <v>Elementos Estruturantes</v>
      </c>
      <c r="U38" s="32" t="str">
        <f t="shared" si="8"/>
        <v>Eixos de Simetrias</v>
      </c>
      <c r="V38" s="32" t="s">
        <v>184</v>
      </c>
      <c r="W38" s="47" t="str">
        <f t="shared" si="3"/>
        <v>Key-AMB-38</v>
      </c>
      <c r="X38" s="32" t="s">
        <v>337</v>
      </c>
      <c r="Y38" s="43" t="s">
        <v>311</v>
      </c>
      <c r="Z38" s="58" t="s">
        <v>366</v>
      </c>
      <c r="AA38" s="32" t="str">
        <f t="shared" si="4"/>
        <v>Symbolic reference element of the position of a Main Axial Symmetry Axis of the Building.</v>
      </c>
    </row>
    <row r="39" spans="1:27" s="36" customFormat="1" ht="6.75" customHeight="1" x14ac:dyDescent="0.25">
      <c r="A39" s="51">
        <v>39</v>
      </c>
      <c r="B39" s="29" t="s">
        <v>675</v>
      </c>
      <c r="C39" s="29" t="s">
        <v>847</v>
      </c>
      <c r="D39" s="29" t="s">
        <v>293</v>
      </c>
      <c r="E39" s="29" t="s">
        <v>453</v>
      </c>
      <c r="F39" s="30" t="s">
        <v>384</v>
      </c>
      <c r="G39" s="46" t="s">
        <v>10</v>
      </c>
      <c r="H39" s="46" t="s">
        <v>10</v>
      </c>
      <c r="I39" s="46" t="s">
        <v>10</v>
      </c>
      <c r="J39" s="46" t="s">
        <v>10</v>
      </c>
      <c r="K39" s="46" t="s">
        <v>10</v>
      </c>
      <c r="L39" s="31" t="str">
        <f t="shared" si="6"/>
        <v>Espacialidade</v>
      </c>
      <c r="M39" s="31" t="str">
        <f t="shared" si="6"/>
        <v>Elementos.Estruturantes</v>
      </c>
      <c r="N39" s="31" t="str">
        <f t="shared" si="9"/>
        <v>Eixos de Simetrias</v>
      </c>
      <c r="O39" s="31" t="str">
        <f t="shared" si="9"/>
        <v>Eixo Simetria Local</v>
      </c>
      <c r="P39" s="32" t="s">
        <v>387</v>
      </c>
      <c r="Q39" s="32" t="str">
        <f t="shared" si="5"/>
        <v>Elemento de referencia simbólico de la posición de un eje axial secundario o local de simetría de una parte del edificio.</v>
      </c>
      <c r="R39" s="58" t="s">
        <v>10</v>
      </c>
      <c r="S39" s="32" t="str">
        <f t="shared" si="8"/>
        <v>Espacialidade</v>
      </c>
      <c r="T39" s="32" t="str">
        <f t="shared" si="8"/>
        <v>Elementos Estruturantes</v>
      </c>
      <c r="U39" s="32" t="str">
        <f t="shared" si="8"/>
        <v>Eixos de Simetrias</v>
      </c>
      <c r="V39" s="32" t="s">
        <v>184</v>
      </c>
      <c r="W39" s="47" t="str">
        <f t="shared" si="3"/>
        <v>Key-AMB-39</v>
      </c>
      <c r="X39" s="32" t="s">
        <v>337</v>
      </c>
      <c r="Y39" s="43" t="s">
        <v>311</v>
      </c>
      <c r="Z39" s="58" t="s">
        <v>366</v>
      </c>
      <c r="AA39" s="32" t="str">
        <f t="shared" si="4"/>
        <v>Symbolic reference element of the position of a Secondary or Local Axial Symmetry Axis of a Part of the Building.</v>
      </c>
    </row>
    <row r="40" spans="1:27" s="36" customFormat="1" ht="6.75" customHeight="1" x14ac:dyDescent="0.25">
      <c r="A40" s="51">
        <v>40</v>
      </c>
      <c r="B40" s="29" t="s">
        <v>675</v>
      </c>
      <c r="C40" s="29" t="s">
        <v>847</v>
      </c>
      <c r="D40" s="29" t="s">
        <v>487</v>
      </c>
      <c r="E40" s="29" t="s">
        <v>506</v>
      </c>
      <c r="F40" s="30" t="s">
        <v>342</v>
      </c>
      <c r="G40" s="46" t="s">
        <v>10</v>
      </c>
      <c r="H40" s="46" t="s">
        <v>10</v>
      </c>
      <c r="I40" s="46" t="s">
        <v>10</v>
      </c>
      <c r="J40" s="46" t="s">
        <v>10</v>
      </c>
      <c r="K40" s="46" t="s">
        <v>10</v>
      </c>
      <c r="L40" s="31" t="str">
        <f t="shared" si="6"/>
        <v>Espacialidade</v>
      </c>
      <c r="M40" s="31" t="str">
        <f t="shared" si="6"/>
        <v>Elementos.de.Implantação</v>
      </c>
      <c r="N40" s="31" t="str">
        <f t="shared" si="9"/>
        <v>Divisas e Entorno</v>
      </c>
      <c r="O40" s="31" t="str">
        <f t="shared" si="9"/>
        <v>Campus</v>
      </c>
      <c r="P40" s="32" t="s">
        <v>488</v>
      </c>
      <c r="Q40" s="32" t="str">
        <f t="shared" si="5"/>
        <v>Se refiere al lugar de implementación tipo campus donde se encuentra el proyecto. Se utiliza para proyectos urbanos implementados en grandes parcelas tipo campus.</v>
      </c>
      <c r="R40" s="58" t="s">
        <v>10</v>
      </c>
      <c r="S40" s="32" t="str">
        <f t="shared" si="8"/>
        <v>Espacialidade</v>
      </c>
      <c r="T40" s="32" t="str">
        <f t="shared" si="8"/>
        <v>Elementos de Implantação</v>
      </c>
      <c r="U40" s="32" t="str">
        <f t="shared" si="8"/>
        <v>Divisas e Entorno</v>
      </c>
      <c r="V40" s="32" t="s">
        <v>184</v>
      </c>
      <c r="W40" s="47" t="str">
        <f t="shared" si="3"/>
        <v>Key-AMB-40</v>
      </c>
      <c r="X40" s="32" t="s">
        <v>338</v>
      </c>
      <c r="Y40" s="43" t="s">
        <v>316</v>
      </c>
      <c r="Z40" s="58" t="s">
        <v>518</v>
      </c>
      <c r="AA40" s="32" t="str">
        <f t="shared" si="4"/>
        <v>It refers to the Campus-type implementation location where the project is located. Used for urban projects implemented in large Campus type Lots.</v>
      </c>
    </row>
    <row r="41" spans="1:27" s="36" customFormat="1" ht="6.75" customHeight="1" x14ac:dyDescent="0.25">
      <c r="A41" s="51">
        <v>41</v>
      </c>
      <c r="B41" s="29" t="s">
        <v>675</v>
      </c>
      <c r="C41" s="29" t="s">
        <v>847</v>
      </c>
      <c r="D41" s="29" t="s">
        <v>487</v>
      </c>
      <c r="E41" s="29" t="s">
        <v>506</v>
      </c>
      <c r="F41" s="30" t="s">
        <v>497</v>
      </c>
      <c r="G41" s="46" t="s">
        <v>10</v>
      </c>
      <c r="H41" s="46" t="s">
        <v>10</v>
      </c>
      <c r="I41" s="46" t="s">
        <v>10</v>
      </c>
      <c r="J41" s="46" t="s">
        <v>10</v>
      </c>
      <c r="K41" s="46" t="s">
        <v>10</v>
      </c>
      <c r="L41" s="31" t="str">
        <f t="shared" si="6"/>
        <v>Espacialidade</v>
      </c>
      <c r="M41" s="31" t="str">
        <f t="shared" si="6"/>
        <v>Elementos.de.Implantação</v>
      </c>
      <c r="N41" s="31" t="str">
        <f t="shared" si="9"/>
        <v>Divisas e Entorno</v>
      </c>
      <c r="O41" s="31" t="str">
        <f t="shared" si="9"/>
        <v>Lote Urbano</v>
      </c>
      <c r="P41" s="32" t="s">
        <v>489</v>
      </c>
      <c r="Q41" s="32" t="str">
        <f t="shared" si="5"/>
        <v>Se refiere al lugar de implementación tipo parcela urbana donde se encuentra el proyecto.  Se usa para proyectos urbanos implantados en parcelas normales.</v>
      </c>
      <c r="R41" s="58" t="s">
        <v>10</v>
      </c>
      <c r="S41" s="32" t="str">
        <f t="shared" si="8"/>
        <v>Espacialidade</v>
      </c>
      <c r="T41" s="32" t="str">
        <f t="shared" si="8"/>
        <v>Elementos de Implantação</v>
      </c>
      <c r="U41" s="32" t="str">
        <f t="shared" si="8"/>
        <v>Divisas e Entorno</v>
      </c>
      <c r="V41" s="32" t="s">
        <v>184</v>
      </c>
      <c r="W41" s="47" t="str">
        <f t="shared" si="3"/>
        <v>Key-AMB-41</v>
      </c>
      <c r="X41" s="32" t="s">
        <v>338</v>
      </c>
      <c r="Y41" s="43" t="s">
        <v>316</v>
      </c>
      <c r="Z41" s="58" t="s">
        <v>544</v>
      </c>
      <c r="AA41" s="32" t="str">
        <f t="shared" si="4"/>
        <v>It refers to the place of implementation type Urban lot where the project is located.  Used for urban projects implanted on normal lots.</v>
      </c>
    </row>
    <row r="42" spans="1:27" s="36" customFormat="1" ht="6.75" customHeight="1" x14ac:dyDescent="0.25">
      <c r="A42" s="51">
        <v>42</v>
      </c>
      <c r="B42" s="29" t="s">
        <v>675</v>
      </c>
      <c r="C42" s="29" t="s">
        <v>847</v>
      </c>
      <c r="D42" s="29" t="s">
        <v>487</v>
      </c>
      <c r="E42" s="29" t="s">
        <v>506</v>
      </c>
      <c r="F42" s="30" t="s">
        <v>226</v>
      </c>
      <c r="G42" s="46" t="s">
        <v>10</v>
      </c>
      <c r="H42" s="46" t="s">
        <v>10</v>
      </c>
      <c r="I42" s="46" t="s">
        <v>10</v>
      </c>
      <c r="J42" s="46" t="s">
        <v>10</v>
      </c>
      <c r="K42" s="46" t="s">
        <v>10</v>
      </c>
      <c r="L42" s="31" t="str">
        <f t="shared" si="6"/>
        <v>Espacialidade</v>
      </c>
      <c r="M42" s="31" t="str">
        <f t="shared" si="6"/>
        <v>Elementos.de.Implantação</v>
      </c>
      <c r="N42" s="31" t="str">
        <f t="shared" si="9"/>
        <v>Divisas e Entorno</v>
      </c>
      <c r="O42" s="31" t="str">
        <f t="shared" si="9"/>
        <v>Área Bruta</v>
      </c>
      <c r="P42" s="32" t="s">
        <v>500</v>
      </c>
      <c r="Q42" s="32" t="str">
        <f t="shared" si="5"/>
        <v>Se implementó la delimitación del área bruta del proyecto.</v>
      </c>
      <c r="R42" s="58" t="s">
        <v>10</v>
      </c>
      <c r="S42" s="32" t="str">
        <f t="shared" si="8"/>
        <v>Espacialidade</v>
      </c>
      <c r="T42" s="32" t="str">
        <f t="shared" si="8"/>
        <v>Elementos de Implantação</v>
      </c>
      <c r="U42" s="32" t="str">
        <f t="shared" si="8"/>
        <v>Divisas e Entorno</v>
      </c>
      <c r="V42" s="32" t="s">
        <v>184</v>
      </c>
      <c r="W42" s="47" t="str">
        <f t="shared" si="3"/>
        <v>Key-AMB-42</v>
      </c>
      <c r="X42" s="32" t="s">
        <v>338</v>
      </c>
      <c r="Y42" s="43" t="s">
        <v>316</v>
      </c>
      <c r="Z42" s="58" t="s">
        <v>543</v>
      </c>
      <c r="AA42" s="32" t="str">
        <f t="shared" si="4"/>
        <v>Delimitation of the Gross Area of the Project implemented.</v>
      </c>
    </row>
    <row r="43" spans="1:27" s="36" customFormat="1" ht="6.75" customHeight="1" x14ac:dyDescent="0.25">
      <c r="A43" s="51">
        <v>43</v>
      </c>
      <c r="B43" s="29" t="s">
        <v>675</v>
      </c>
      <c r="C43" s="29" t="s">
        <v>847</v>
      </c>
      <c r="D43" s="29" t="s">
        <v>487</v>
      </c>
      <c r="E43" s="29" t="s">
        <v>506</v>
      </c>
      <c r="F43" s="30" t="s">
        <v>835</v>
      </c>
      <c r="G43" s="46" t="s">
        <v>10</v>
      </c>
      <c r="H43" s="46" t="s">
        <v>10</v>
      </c>
      <c r="I43" s="46" t="s">
        <v>10</v>
      </c>
      <c r="J43" s="46" t="s">
        <v>10</v>
      </c>
      <c r="K43" s="46" t="s">
        <v>10</v>
      </c>
      <c r="L43" s="31" t="str">
        <f t="shared" si="6"/>
        <v>Espacialidade</v>
      </c>
      <c r="M43" s="31" t="str">
        <f t="shared" si="6"/>
        <v>Elementos.de.Implantação</v>
      </c>
      <c r="N43" s="31" t="str">
        <f t="shared" si="9"/>
        <v>Divisas e Entorno</v>
      </c>
      <c r="O43" s="31" t="str">
        <f t="shared" si="9"/>
        <v>Área Edificável</v>
      </c>
      <c r="P43" s="32" t="s">
        <v>492</v>
      </c>
      <c r="Q43" s="32" t="str">
        <f t="shared" si="5"/>
        <v>Delimitación del espacio construible para llevar a cabo el proyecto.</v>
      </c>
      <c r="R43" s="58" t="s">
        <v>10</v>
      </c>
      <c r="S43" s="32" t="str">
        <f t="shared" si="8"/>
        <v>Espacialidade</v>
      </c>
      <c r="T43" s="32" t="str">
        <f t="shared" si="8"/>
        <v>Elementos de Implantação</v>
      </c>
      <c r="U43" s="32" t="str">
        <f t="shared" si="8"/>
        <v>Divisas e Entorno</v>
      </c>
      <c r="V43" s="32" t="s">
        <v>184</v>
      </c>
      <c r="W43" s="47" t="str">
        <f t="shared" si="3"/>
        <v>Key-AMB-43</v>
      </c>
      <c r="X43" s="32" t="s">
        <v>338</v>
      </c>
      <c r="Y43" s="43" t="s">
        <v>317</v>
      </c>
      <c r="Z43" s="58" t="s">
        <v>543</v>
      </c>
      <c r="AA43" s="32" t="str">
        <f t="shared" si="4"/>
        <v>Delimitation of buildable space to implement the project.</v>
      </c>
    </row>
    <row r="44" spans="1:27" s="36" customFormat="1" ht="6.75" customHeight="1" x14ac:dyDescent="0.25">
      <c r="A44" s="51">
        <v>44</v>
      </c>
      <c r="B44" s="29" t="s">
        <v>675</v>
      </c>
      <c r="C44" s="29" t="s">
        <v>847</v>
      </c>
      <c r="D44" s="29" t="s">
        <v>487</v>
      </c>
      <c r="E44" s="29" t="s">
        <v>506</v>
      </c>
      <c r="F44" s="30" t="s">
        <v>545</v>
      </c>
      <c r="G44" s="46" t="s">
        <v>10</v>
      </c>
      <c r="H44" s="46" t="s">
        <v>10</v>
      </c>
      <c r="I44" s="46" t="s">
        <v>10</v>
      </c>
      <c r="J44" s="46" t="s">
        <v>10</v>
      </c>
      <c r="K44" s="46" t="s">
        <v>10</v>
      </c>
      <c r="L44" s="31" t="str">
        <f t="shared" si="6"/>
        <v>Espacialidade</v>
      </c>
      <c r="M44" s="31" t="str">
        <f t="shared" si="6"/>
        <v>Elementos.de.Implantação</v>
      </c>
      <c r="N44" s="31" t="str">
        <f t="shared" si="9"/>
        <v>Divisas e Entorno</v>
      </c>
      <c r="O44" s="31" t="str">
        <f t="shared" si="9"/>
        <v>Recuo</v>
      </c>
      <c r="P44" s="32" t="s">
        <v>540</v>
      </c>
      <c r="Q44" s="32" t="str">
        <f t="shared" si="5"/>
        <v>Delimitación del retroceso frontal del terreno.</v>
      </c>
      <c r="R44" s="58" t="s">
        <v>10</v>
      </c>
      <c r="S44" s="32" t="str">
        <f t="shared" si="8"/>
        <v>Espacialidade</v>
      </c>
      <c r="T44" s="32" t="str">
        <f t="shared" si="8"/>
        <v>Elementos de Implantação</v>
      </c>
      <c r="U44" s="32" t="str">
        <f t="shared" si="8"/>
        <v>Divisas e Entorno</v>
      </c>
      <c r="V44" s="32" t="s">
        <v>184</v>
      </c>
      <c r="W44" s="47" t="str">
        <f t="shared" si="3"/>
        <v>Key-AMB-44</v>
      </c>
      <c r="X44" s="32" t="s">
        <v>338</v>
      </c>
      <c r="Y44" s="43" t="s">
        <v>316</v>
      </c>
      <c r="Z44" s="62" t="s">
        <v>541</v>
      </c>
      <c r="AA44" s="32" t="str">
        <f t="shared" si="4"/>
        <v>Delimitation of the Frontal Setback of the Lot.</v>
      </c>
    </row>
    <row r="45" spans="1:27" s="36" customFormat="1" ht="6.75" customHeight="1" x14ac:dyDescent="0.25">
      <c r="A45" s="51">
        <v>45</v>
      </c>
      <c r="B45" s="29" t="s">
        <v>675</v>
      </c>
      <c r="C45" s="29" t="s">
        <v>847</v>
      </c>
      <c r="D45" s="29" t="s">
        <v>487</v>
      </c>
      <c r="E45" s="29" t="s">
        <v>506</v>
      </c>
      <c r="F45" s="30" t="s">
        <v>546</v>
      </c>
      <c r="G45" s="46" t="s">
        <v>10</v>
      </c>
      <c r="H45" s="46" t="s">
        <v>10</v>
      </c>
      <c r="I45" s="46" t="s">
        <v>10</v>
      </c>
      <c r="J45" s="46" t="s">
        <v>10</v>
      </c>
      <c r="K45" s="46" t="s">
        <v>10</v>
      </c>
      <c r="L45" s="31" t="str">
        <f t="shared" si="6"/>
        <v>Espacialidade</v>
      </c>
      <c r="M45" s="31" t="str">
        <f t="shared" si="6"/>
        <v>Elementos.de.Implantação</v>
      </c>
      <c r="N45" s="31" t="str">
        <f t="shared" si="9"/>
        <v>Divisas e Entorno</v>
      </c>
      <c r="O45" s="31" t="str">
        <f t="shared" si="9"/>
        <v>Afastamento</v>
      </c>
      <c r="P45" s="32" t="s">
        <v>539</v>
      </c>
      <c r="Q45" s="32" t="str">
        <f t="shared" si="5"/>
        <v>Delimitación del espacio de despejamiento de lotes.</v>
      </c>
      <c r="R45" s="58" t="s">
        <v>10</v>
      </c>
      <c r="S45" s="32" t="str">
        <f t="shared" si="8"/>
        <v>Espacialidade</v>
      </c>
      <c r="T45" s="32" t="str">
        <f t="shared" si="8"/>
        <v>Elementos de Implantação</v>
      </c>
      <c r="U45" s="32" t="str">
        <f t="shared" si="8"/>
        <v>Divisas e Entorno</v>
      </c>
      <c r="V45" s="32" t="s">
        <v>184</v>
      </c>
      <c r="W45" s="47" t="str">
        <f t="shared" si="3"/>
        <v>Key-AMB-45</v>
      </c>
      <c r="X45" s="32" t="s">
        <v>338</v>
      </c>
      <c r="Y45" s="43" t="s">
        <v>316</v>
      </c>
      <c r="Z45" s="62" t="s">
        <v>542</v>
      </c>
      <c r="AA45" s="32" t="str">
        <f t="shared" si="4"/>
        <v>Delimitation of the space of Lot Clearances.</v>
      </c>
    </row>
    <row r="46" spans="1:27" s="36" customFormat="1" ht="6.75" customHeight="1" x14ac:dyDescent="0.25">
      <c r="A46" s="51">
        <v>46</v>
      </c>
      <c r="B46" s="29" t="s">
        <v>675</v>
      </c>
      <c r="C46" s="29" t="s">
        <v>847</v>
      </c>
      <c r="D46" s="29" t="s">
        <v>487</v>
      </c>
      <c r="E46" s="29" t="s">
        <v>506</v>
      </c>
      <c r="F46" s="30" t="s">
        <v>496</v>
      </c>
      <c r="G46" s="46" t="s">
        <v>10</v>
      </c>
      <c r="H46" s="46" t="s">
        <v>10</v>
      </c>
      <c r="I46" s="46" t="s">
        <v>10</v>
      </c>
      <c r="J46" s="46" t="s">
        <v>10</v>
      </c>
      <c r="K46" s="46" t="s">
        <v>10</v>
      </c>
      <c r="L46" s="31" t="str">
        <f t="shared" si="6"/>
        <v>Espacialidade</v>
      </c>
      <c r="M46" s="31" t="str">
        <f t="shared" si="6"/>
        <v>Elementos.de.Implantação</v>
      </c>
      <c r="N46" s="31" t="str">
        <f t="shared" si="9"/>
        <v>Divisas e Entorno</v>
      </c>
      <c r="O46" s="31" t="str">
        <f t="shared" si="9"/>
        <v>Construção Vizinha</v>
      </c>
      <c r="P46" s="32" t="s">
        <v>499</v>
      </c>
      <c r="Q46" s="32" t="str">
        <f t="shared" si="5"/>
        <v>Espacio ocupado por edificios vecinos al lugar de implantación.</v>
      </c>
      <c r="R46" s="58" t="s">
        <v>10</v>
      </c>
      <c r="S46" s="32" t="str">
        <f t="shared" si="8"/>
        <v>Espacialidade</v>
      </c>
      <c r="T46" s="32" t="str">
        <f t="shared" si="8"/>
        <v>Elementos de Implantação</v>
      </c>
      <c r="U46" s="32" t="str">
        <f t="shared" si="8"/>
        <v>Divisas e Entorno</v>
      </c>
      <c r="V46" s="32" t="s">
        <v>184</v>
      </c>
      <c r="W46" s="47" t="str">
        <f t="shared" si="3"/>
        <v>Key-AMB-46</v>
      </c>
      <c r="X46" s="32" t="s">
        <v>338</v>
      </c>
      <c r="Y46" s="43" t="s">
        <v>318</v>
      </c>
      <c r="Z46" s="58" t="s">
        <v>517</v>
      </c>
      <c r="AA46" s="32" t="str">
        <f t="shared" si="4"/>
        <v>Space occupied by buildings neighboring the site of implantation.</v>
      </c>
    </row>
    <row r="47" spans="1:27" s="36" customFormat="1" ht="6.75" customHeight="1" x14ac:dyDescent="0.25">
      <c r="A47" s="51">
        <v>47</v>
      </c>
      <c r="B47" s="29" t="s">
        <v>675</v>
      </c>
      <c r="C47" s="29" t="s">
        <v>847</v>
      </c>
      <c r="D47" s="29" t="s">
        <v>487</v>
      </c>
      <c r="E47" s="29" t="s">
        <v>506</v>
      </c>
      <c r="F47" s="30" t="s">
        <v>493</v>
      </c>
      <c r="G47" s="46" t="s">
        <v>10</v>
      </c>
      <c r="H47" s="46" t="s">
        <v>10</v>
      </c>
      <c r="I47" s="46" t="s">
        <v>10</v>
      </c>
      <c r="J47" s="46" t="s">
        <v>10</v>
      </c>
      <c r="K47" s="46" t="s">
        <v>10</v>
      </c>
      <c r="L47" s="31" t="str">
        <f t="shared" si="6"/>
        <v>Espacialidade</v>
      </c>
      <c r="M47" s="31" t="str">
        <f t="shared" si="6"/>
        <v>Elementos.de.Implantação</v>
      </c>
      <c r="N47" s="31" t="str">
        <f t="shared" si="9"/>
        <v>Divisas e Entorno</v>
      </c>
      <c r="O47" s="31" t="str">
        <f t="shared" si="9"/>
        <v>Áreas Exteriores</v>
      </c>
      <c r="P47" s="32" t="s">
        <v>491</v>
      </c>
      <c r="Q47" s="32" t="str">
        <f t="shared" si="5"/>
        <v>Espacio exterior de un proyecto implantado.</v>
      </c>
      <c r="R47" s="58" t="s">
        <v>10</v>
      </c>
      <c r="S47" s="32" t="str">
        <f t="shared" si="8"/>
        <v>Espacialidade</v>
      </c>
      <c r="T47" s="32" t="str">
        <f t="shared" si="8"/>
        <v>Elementos de Implantação</v>
      </c>
      <c r="U47" s="32" t="str">
        <f t="shared" si="8"/>
        <v>Divisas e Entorno</v>
      </c>
      <c r="V47" s="32" t="s">
        <v>184</v>
      </c>
      <c r="W47" s="47" t="str">
        <f t="shared" si="3"/>
        <v>Key-AMB-47</v>
      </c>
      <c r="X47" s="32" t="s">
        <v>338</v>
      </c>
      <c r="Y47" s="43" t="s">
        <v>320</v>
      </c>
      <c r="Z47" s="58" t="s">
        <v>653</v>
      </c>
      <c r="AA47" s="32" t="str">
        <f t="shared" si="4"/>
        <v>Outdoor space of an implanted project.</v>
      </c>
    </row>
    <row r="48" spans="1:27" s="36" customFormat="1" ht="6.75" customHeight="1" x14ac:dyDescent="0.25">
      <c r="A48" s="51">
        <v>48</v>
      </c>
      <c r="B48" s="29" t="s">
        <v>675</v>
      </c>
      <c r="C48" s="29" t="s">
        <v>847</v>
      </c>
      <c r="D48" s="29" t="s">
        <v>487</v>
      </c>
      <c r="E48" s="29" t="s">
        <v>506</v>
      </c>
      <c r="F48" s="30" t="s">
        <v>494</v>
      </c>
      <c r="G48" s="46" t="s">
        <v>10</v>
      </c>
      <c r="H48" s="46" t="s">
        <v>10</v>
      </c>
      <c r="I48" s="46" t="s">
        <v>10</v>
      </c>
      <c r="J48" s="46" t="s">
        <v>10</v>
      </c>
      <c r="K48" s="46" t="s">
        <v>10</v>
      </c>
      <c r="L48" s="31" t="str">
        <f t="shared" si="6"/>
        <v>Espacialidade</v>
      </c>
      <c r="M48" s="31" t="str">
        <f t="shared" si="6"/>
        <v>Elementos.de.Implantação</v>
      </c>
      <c r="N48" s="31" t="str">
        <f t="shared" si="9"/>
        <v>Divisas e Entorno</v>
      </c>
      <c r="O48" s="31" t="str">
        <f t="shared" si="9"/>
        <v>Áreas Exteriores Hídricas</v>
      </c>
      <c r="P48" s="32" t="s">
        <v>498</v>
      </c>
      <c r="Q48" s="32" t="str">
        <f t="shared" si="5"/>
        <v>Espacio exterior cubierto de agua alrededor del edificio implantado.</v>
      </c>
      <c r="R48" s="58" t="s">
        <v>10</v>
      </c>
      <c r="S48" s="32" t="str">
        <f t="shared" si="8"/>
        <v>Espacialidade</v>
      </c>
      <c r="T48" s="32" t="str">
        <f t="shared" si="8"/>
        <v>Elementos de Implantação</v>
      </c>
      <c r="U48" s="32" t="str">
        <f t="shared" si="8"/>
        <v>Divisas e Entorno</v>
      </c>
      <c r="V48" s="32" t="s">
        <v>184</v>
      </c>
      <c r="W48" s="47" t="str">
        <f t="shared" si="3"/>
        <v>Key-AMB-48</v>
      </c>
      <c r="X48" s="32" t="s">
        <v>338</v>
      </c>
      <c r="Y48" s="43" t="s">
        <v>319</v>
      </c>
      <c r="Z48" s="58" t="s">
        <v>519</v>
      </c>
      <c r="AA48" s="32" t="str">
        <f t="shared" si="4"/>
        <v>Outdoor space covered with water around the implanted building.</v>
      </c>
    </row>
    <row r="49" spans="1:27" s="36" customFormat="1" ht="6.75" customHeight="1" x14ac:dyDescent="0.25">
      <c r="A49" s="51">
        <v>49</v>
      </c>
      <c r="B49" s="29" t="s">
        <v>675</v>
      </c>
      <c r="C49" s="29" t="s">
        <v>847</v>
      </c>
      <c r="D49" s="29" t="s">
        <v>487</v>
      </c>
      <c r="E49" s="29" t="s">
        <v>506</v>
      </c>
      <c r="F49" s="30" t="s">
        <v>495</v>
      </c>
      <c r="G49" s="46" t="s">
        <v>10</v>
      </c>
      <c r="H49" s="46" t="s">
        <v>10</v>
      </c>
      <c r="I49" s="46" t="s">
        <v>10</v>
      </c>
      <c r="J49" s="46" t="s">
        <v>10</v>
      </c>
      <c r="K49" s="46" t="s">
        <v>10</v>
      </c>
      <c r="L49" s="31" t="str">
        <f t="shared" si="6"/>
        <v>Espacialidade</v>
      </c>
      <c r="M49" s="31" t="str">
        <f t="shared" si="6"/>
        <v>Elementos.de.Implantação</v>
      </c>
      <c r="N49" s="31" t="str">
        <f t="shared" si="9"/>
        <v>Divisas e Entorno</v>
      </c>
      <c r="O49" s="31" t="str">
        <f t="shared" si="9"/>
        <v>Áreas Exteriores Arvorizadas</v>
      </c>
      <c r="P49" s="32" t="s">
        <v>490</v>
      </c>
      <c r="Q49" s="32" t="str">
        <f t="shared" si="5"/>
        <v>Árbol espacial exterior de un proyecto implantado.</v>
      </c>
      <c r="R49" s="58" t="s">
        <v>10</v>
      </c>
      <c r="S49" s="32" t="str">
        <f t="shared" si="8"/>
        <v>Espacialidade</v>
      </c>
      <c r="T49" s="32" t="str">
        <f t="shared" si="8"/>
        <v>Elementos de Implantação</v>
      </c>
      <c r="U49" s="32" t="str">
        <f t="shared" si="8"/>
        <v>Divisas e Entorno</v>
      </c>
      <c r="V49" s="32" t="s">
        <v>184</v>
      </c>
      <c r="W49" s="47" t="str">
        <f t="shared" si="3"/>
        <v>Key-AMB-49</v>
      </c>
      <c r="X49" s="32" t="s">
        <v>338</v>
      </c>
      <c r="Y49" s="43" t="s">
        <v>320</v>
      </c>
      <c r="Z49" s="58" t="s">
        <v>653</v>
      </c>
      <c r="AA49" s="32" t="str">
        <f t="shared" si="4"/>
        <v>Outdoor space tree of an implanted project.</v>
      </c>
    </row>
    <row r="50" spans="1:27" s="36" customFormat="1" ht="6.75" customHeight="1" x14ac:dyDescent="0.25">
      <c r="A50" s="51">
        <v>50</v>
      </c>
      <c r="B50" s="29" t="s">
        <v>675</v>
      </c>
      <c r="C50" s="29" t="s">
        <v>847</v>
      </c>
      <c r="D50" s="29" t="s">
        <v>487</v>
      </c>
      <c r="E50" s="29" t="s">
        <v>506</v>
      </c>
      <c r="F50" s="30" t="s">
        <v>520</v>
      </c>
      <c r="G50" s="46" t="s">
        <v>10</v>
      </c>
      <c r="H50" s="46" t="s">
        <v>10</v>
      </c>
      <c r="I50" s="46" t="s">
        <v>10</v>
      </c>
      <c r="J50" s="46" t="s">
        <v>10</v>
      </c>
      <c r="K50" s="46" t="s">
        <v>10</v>
      </c>
      <c r="L50" s="31" t="str">
        <f t="shared" si="6"/>
        <v>Espacialidade</v>
      </c>
      <c r="M50" s="31" t="str">
        <f t="shared" si="6"/>
        <v>Elementos.de.Implantação</v>
      </c>
      <c r="N50" s="31" t="str">
        <f t="shared" si="9"/>
        <v>Divisas e Entorno</v>
      </c>
      <c r="O50" s="31" t="str">
        <f t="shared" si="9"/>
        <v>Áreas de Preservação</v>
      </c>
      <c r="P50" s="32" t="s">
        <v>522</v>
      </c>
      <c r="Q50" s="32" t="str">
        <f t="shared" si="5"/>
        <v>Espacio exterior protegido por algún tipo de protección medioambiental.</v>
      </c>
      <c r="R50" s="58" t="s">
        <v>10</v>
      </c>
      <c r="S50" s="32" t="str">
        <f t="shared" si="8"/>
        <v>Espacialidade</v>
      </c>
      <c r="T50" s="32" t="str">
        <f t="shared" si="8"/>
        <v>Elementos de Implantação</v>
      </c>
      <c r="U50" s="32" t="str">
        <f t="shared" si="8"/>
        <v>Divisas e Entorno</v>
      </c>
      <c r="V50" s="32" t="s">
        <v>184</v>
      </c>
      <c r="W50" s="47" t="str">
        <f t="shared" si="3"/>
        <v>Key-AMB-50</v>
      </c>
      <c r="X50" s="32" t="s">
        <v>338</v>
      </c>
      <c r="Y50" s="43" t="s">
        <v>320</v>
      </c>
      <c r="Z50" s="58" t="s">
        <v>521</v>
      </c>
      <c r="AA50" s="32" t="str">
        <f t="shared" si="4"/>
        <v>Outdoor space protected by some kind of environmental preservation provision.</v>
      </c>
    </row>
    <row r="51" spans="1:27" s="36" customFormat="1" ht="6.75" customHeight="1" x14ac:dyDescent="0.25">
      <c r="A51" s="51">
        <v>51</v>
      </c>
      <c r="B51" s="29" t="s">
        <v>675</v>
      </c>
      <c r="C51" s="29" t="s">
        <v>847</v>
      </c>
      <c r="D51" s="29" t="s">
        <v>487</v>
      </c>
      <c r="E51" s="29" t="s">
        <v>506</v>
      </c>
      <c r="F51" s="30" t="s">
        <v>422</v>
      </c>
      <c r="G51" s="46" t="s">
        <v>10</v>
      </c>
      <c r="H51" s="46" t="s">
        <v>10</v>
      </c>
      <c r="I51" s="46" t="s">
        <v>10</v>
      </c>
      <c r="J51" s="46" t="s">
        <v>10</v>
      </c>
      <c r="K51" s="46" t="s">
        <v>10</v>
      </c>
      <c r="L51" s="31" t="str">
        <f t="shared" si="6"/>
        <v>Espacialidade</v>
      </c>
      <c r="M51" s="31" t="str">
        <f t="shared" si="6"/>
        <v>Elementos.de.Implantação</v>
      </c>
      <c r="N51" s="31" t="str">
        <f t="shared" si="9"/>
        <v>Divisas e Entorno</v>
      </c>
      <c r="O51" s="31" t="str">
        <f t="shared" si="9"/>
        <v>Doca</v>
      </c>
      <c r="P51" s="32" t="s">
        <v>424</v>
      </c>
      <c r="Q51" s="32" t="str">
        <f t="shared" si="5"/>
        <v>Espacios arquitectónicos exteriores dedicados para carga y descarga tipo muelle.</v>
      </c>
      <c r="R51" s="58" t="s">
        <v>10</v>
      </c>
      <c r="S51" s="32" t="str">
        <f t="shared" si="8"/>
        <v>Espacialidade</v>
      </c>
      <c r="T51" s="32" t="str">
        <f t="shared" si="8"/>
        <v>Elementos de Implantação</v>
      </c>
      <c r="U51" s="32" t="str">
        <f t="shared" si="8"/>
        <v>Divisas e Entorno</v>
      </c>
      <c r="V51" s="32" t="s">
        <v>184</v>
      </c>
      <c r="W51" s="47" t="str">
        <f t="shared" si="3"/>
        <v>Key-AMB-51</v>
      </c>
      <c r="X51" s="32" t="s">
        <v>338</v>
      </c>
      <c r="Y51" s="43" t="s">
        <v>321</v>
      </c>
      <c r="Z51" s="58" t="s">
        <v>653</v>
      </c>
      <c r="AA51" s="32" t="str">
        <f t="shared" si="4"/>
        <v>Dedicated outdoor architectural spaces for Dock-type Loading and Unloading.</v>
      </c>
    </row>
    <row r="52" spans="1:27" s="36" customFormat="1" ht="6.75" customHeight="1" x14ac:dyDescent="0.25">
      <c r="A52" s="51">
        <v>52</v>
      </c>
      <c r="B52" s="29" t="s">
        <v>675</v>
      </c>
      <c r="C52" s="29" t="s">
        <v>847</v>
      </c>
      <c r="D52" s="29" t="s">
        <v>487</v>
      </c>
      <c r="E52" s="29" t="s">
        <v>506</v>
      </c>
      <c r="F52" s="30" t="s">
        <v>427</v>
      </c>
      <c r="G52" s="46" t="s">
        <v>10</v>
      </c>
      <c r="H52" s="46" t="s">
        <v>10</v>
      </c>
      <c r="I52" s="46" t="s">
        <v>10</v>
      </c>
      <c r="J52" s="46" t="s">
        <v>10</v>
      </c>
      <c r="K52" s="46" t="s">
        <v>10</v>
      </c>
      <c r="L52" s="31" t="str">
        <f t="shared" si="6"/>
        <v>Espacialidade</v>
      </c>
      <c r="M52" s="31" t="str">
        <f t="shared" si="6"/>
        <v>Elementos.de.Implantação</v>
      </c>
      <c r="N52" s="31" t="str">
        <f t="shared" si="9"/>
        <v>Divisas e Entorno</v>
      </c>
      <c r="O52" s="31" t="str">
        <f t="shared" si="9"/>
        <v xml:space="preserve">Pátio Logístico </v>
      </c>
      <c r="P52" s="32" t="s">
        <v>425</v>
      </c>
      <c r="Q52" s="32" t="str">
        <f t="shared" si="5"/>
        <v>Espacios arquitectónicos exteriores dedicados para el almacenamiento temporal de productos tipo patio.</v>
      </c>
      <c r="R52" s="58" t="s">
        <v>10</v>
      </c>
      <c r="S52" s="32" t="str">
        <f t="shared" si="8"/>
        <v>Espacialidade</v>
      </c>
      <c r="T52" s="32" t="str">
        <f t="shared" si="8"/>
        <v>Elementos de Implantação</v>
      </c>
      <c r="U52" s="32" t="str">
        <f t="shared" si="8"/>
        <v>Divisas e Entorno</v>
      </c>
      <c r="V52" s="32" t="s">
        <v>184</v>
      </c>
      <c r="W52" s="47" t="str">
        <f t="shared" si="3"/>
        <v>Key-AMB-52</v>
      </c>
      <c r="X52" s="32" t="s">
        <v>338</v>
      </c>
      <c r="Y52" s="43" t="s">
        <v>321</v>
      </c>
      <c r="Z52" s="58" t="s">
        <v>653</v>
      </c>
      <c r="AA52" s="32" t="str">
        <f t="shared" si="4"/>
        <v>Dedicated outdoor architectural spaces for temporary storage of patio-type products.</v>
      </c>
    </row>
    <row r="53" spans="1:27" s="36" customFormat="1" ht="6.75" customHeight="1" x14ac:dyDescent="0.25">
      <c r="A53" s="51">
        <v>53</v>
      </c>
      <c r="B53" s="29" t="s">
        <v>675</v>
      </c>
      <c r="C53" s="29" t="s">
        <v>847</v>
      </c>
      <c r="D53" s="29" t="s">
        <v>487</v>
      </c>
      <c r="E53" s="29" t="s">
        <v>506</v>
      </c>
      <c r="F53" s="30" t="s">
        <v>423</v>
      </c>
      <c r="G53" s="46" t="s">
        <v>10</v>
      </c>
      <c r="H53" s="46" t="s">
        <v>10</v>
      </c>
      <c r="I53" s="46" t="s">
        <v>10</v>
      </c>
      <c r="J53" s="46" t="s">
        <v>10</v>
      </c>
      <c r="K53" s="46" t="s">
        <v>10</v>
      </c>
      <c r="L53" s="31" t="str">
        <f t="shared" si="6"/>
        <v>Espacialidade</v>
      </c>
      <c r="M53" s="31" t="str">
        <f t="shared" si="6"/>
        <v>Elementos.de.Implantação</v>
      </c>
      <c r="N53" s="31" t="str">
        <f t="shared" si="9"/>
        <v>Divisas e Entorno</v>
      </c>
      <c r="O53" s="31" t="str">
        <f t="shared" si="9"/>
        <v>Estacionamento</v>
      </c>
      <c r="P53" s="32" t="s">
        <v>426</v>
      </c>
      <c r="Q53" s="32" t="str">
        <f t="shared" si="5"/>
        <v>Espacios arquitectónicos exteriores dedicados para usar como aparcamiento de vehículos, incluyendo acceso.</v>
      </c>
      <c r="R53" s="58" t="s">
        <v>10</v>
      </c>
      <c r="S53" s="32" t="str">
        <f t="shared" si="8"/>
        <v>Espacialidade</v>
      </c>
      <c r="T53" s="32" t="str">
        <f t="shared" si="8"/>
        <v>Elementos de Implantação</v>
      </c>
      <c r="U53" s="32" t="str">
        <f t="shared" si="8"/>
        <v>Divisas e Entorno</v>
      </c>
      <c r="V53" s="32" t="s">
        <v>184</v>
      </c>
      <c r="W53" s="47" t="str">
        <f t="shared" si="3"/>
        <v>Key-AMB-53</v>
      </c>
      <c r="X53" s="32" t="s">
        <v>338</v>
      </c>
      <c r="Y53" s="43" t="s">
        <v>321</v>
      </c>
      <c r="Z53" s="58" t="s">
        <v>653</v>
      </c>
      <c r="AA53" s="32" t="str">
        <f t="shared" si="4"/>
        <v>Dedicated exterior architectural spaces to use as vehicle parking space, including access.</v>
      </c>
    </row>
    <row r="54" spans="1:27" s="36" customFormat="1" ht="6.75" customHeight="1" x14ac:dyDescent="0.25">
      <c r="A54" s="51">
        <v>54</v>
      </c>
      <c r="B54" s="29" t="s">
        <v>675</v>
      </c>
      <c r="C54" s="29" t="s">
        <v>847</v>
      </c>
      <c r="D54" s="29" t="s">
        <v>388</v>
      </c>
      <c r="E54" s="29" t="s">
        <v>397</v>
      </c>
      <c r="F54" s="30" t="s">
        <v>46</v>
      </c>
      <c r="G54" s="46" t="s">
        <v>10</v>
      </c>
      <c r="H54" s="46" t="s">
        <v>10</v>
      </c>
      <c r="I54" s="46" t="s">
        <v>10</v>
      </c>
      <c r="J54" s="46" t="s">
        <v>10</v>
      </c>
      <c r="K54" s="46" t="s">
        <v>10</v>
      </c>
      <c r="L54" s="31" t="str">
        <f t="shared" si="6"/>
        <v>Espacialidade</v>
      </c>
      <c r="M54" s="31" t="str">
        <f t="shared" si="6"/>
        <v>Elementos.Espaciais</v>
      </c>
      <c r="N54" s="31" t="str">
        <f t="shared" si="9"/>
        <v>Ambientes Gerais</v>
      </c>
      <c r="O54" s="31" t="str">
        <f t="shared" si="9"/>
        <v>Ambiente</v>
      </c>
      <c r="P54" s="32" t="s">
        <v>409</v>
      </c>
      <c r="Q54" s="32" t="str">
        <f t="shared" si="5"/>
        <v>Espacios arquitectónicos que aún no han sido especificados con una funcionalidad definida o que aún no tienen una clase definida en esta Ontología.</v>
      </c>
      <c r="R54" s="58" t="s">
        <v>10</v>
      </c>
      <c r="S54" s="32" t="str">
        <f t="shared" si="8"/>
        <v>Espacialidade</v>
      </c>
      <c r="T54" s="32" t="str">
        <f t="shared" si="8"/>
        <v>Elementos Espaciais</v>
      </c>
      <c r="U54" s="32" t="str">
        <f t="shared" si="8"/>
        <v>Ambientes Gerais</v>
      </c>
      <c r="V54" s="32" t="s">
        <v>184</v>
      </c>
      <c r="W54" s="47" t="str">
        <f t="shared" si="3"/>
        <v>Key-AMB-54</v>
      </c>
      <c r="X54" s="32" t="s">
        <v>339</v>
      </c>
      <c r="Y54" s="43" t="s">
        <v>322</v>
      </c>
      <c r="Z54" s="58" t="s">
        <v>653</v>
      </c>
      <c r="AA54" s="32" t="str">
        <f t="shared" si="4"/>
        <v>Architectural spaces that have not yet been specified with a defined functionality or that do not yet have a defined class in this Ontology.</v>
      </c>
    </row>
    <row r="55" spans="1:27" s="36" customFormat="1" ht="6.75" customHeight="1" x14ac:dyDescent="0.25">
      <c r="A55" s="51">
        <v>55</v>
      </c>
      <c r="B55" s="29" t="s">
        <v>675</v>
      </c>
      <c r="C55" s="29" t="s">
        <v>847</v>
      </c>
      <c r="D55" s="29" t="s">
        <v>388</v>
      </c>
      <c r="E55" s="29" t="s">
        <v>397</v>
      </c>
      <c r="F55" s="30" t="s">
        <v>403</v>
      </c>
      <c r="G55" s="46" t="s">
        <v>10</v>
      </c>
      <c r="H55" s="46" t="s">
        <v>10</v>
      </c>
      <c r="I55" s="46" t="s">
        <v>10</v>
      </c>
      <c r="J55" s="46" t="s">
        <v>10</v>
      </c>
      <c r="K55" s="46" t="s">
        <v>10</v>
      </c>
      <c r="L55" s="31" t="str">
        <f t="shared" si="6"/>
        <v>Espacialidade</v>
      </c>
      <c r="M55" s="31" t="str">
        <f t="shared" si="6"/>
        <v>Elementos.Espaciais</v>
      </c>
      <c r="N55" s="31" t="str">
        <f t="shared" si="9"/>
        <v>Ambientes Gerais</v>
      </c>
      <c r="O55" s="31" t="str">
        <f t="shared" si="9"/>
        <v>Ambiente Articulador</v>
      </c>
      <c r="P55" s="32" t="s">
        <v>408</v>
      </c>
      <c r="Q55" s="32" t="str">
        <f t="shared" si="5"/>
        <v>Espacios arquitectónicos que tienen la función de articular otros entornos y áreas de un proyecto: pueden ser circulaciones, vestíbulos, escaleras, ascensores, vestíbulos, salidas de emergencia, etc...</v>
      </c>
      <c r="R55" s="58" t="s">
        <v>10</v>
      </c>
      <c r="S55" s="32" t="str">
        <f t="shared" si="8"/>
        <v>Espacialidade</v>
      </c>
      <c r="T55" s="32" t="str">
        <f t="shared" si="8"/>
        <v>Elementos Espaciais</v>
      </c>
      <c r="U55" s="32" t="str">
        <f t="shared" si="8"/>
        <v>Ambientes Gerais</v>
      </c>
      <c r="V55" s="32" t="s">
        <v>184</v>
      </c>
      <c r="W55" s="47" t="str">
        <f t="shared" si="3"/>
        <v>Key-AMB-55</v>
      </c>
      <c r="X55" s="32" t="s">
        <v>339</v>
      </c>
      <c r="Y55" s="43" t="s">
        <v>322</v>
      </c>
      <c r="Z55" s="58" t="s">
        <v>653</v>
      </c>
      <c r="AA55" s="32" t="str">
        <f t="shared" si="4"/>
        <v>Architectural spaces that have the function of articulating other environments and areas of a project: They can be Circulations, Halls, Stairs, Elevators, Foyers, Emergency Exits, etc...</v>
      </c>
    </row>
    <row r="56" spans="1:27" s="36" customFormat="1" ht="6.75" customHeight="1" x14ac:dyDescent="0.25">
      <c r="A56" s="51">
        <v>56</v>
      </c>
      <c r="B56" s="29" t="s">
        <v>675</v>
      </c>
      <c r="C56" s="29" t="s">
        <v>847</v>
      </c>
      <c r="D56" s="29" t="s">
        <v>388</v>
      </c>
      <c r="E56" s="29" t="s">
        <v>397</v>
      </c>
      <c r="F56" s="30" t="s">
        <v>535</v>
      </c>
      <c r="G56" s="46" t="s">
        <v>10</v>
      </c>
      <c r="H56" s="46" t="s">
        <v>10</v>
      </c>
      <c r="I56" s="46" t="s">
        <v>10</v>
      </c>
      <c r="J56" s="46" t="s">
        <v>10</v>
      </c>
      <c r="K56" s="46" t="s">
        <v>10</v>
      </c>
      <c r="L56" s="31" t="str">
        <f t="shared" si="6"/>
        <v>Espacialidade</v>
      </c>
      <c r="M56" s="31" t="str">
        <f t="shared" si="6"/>
        <v>Elementos.Espaciais</v>
      </c>
      <c r="N56" s="31" t="str">
        <f t="shared" si="9"/>
        <v>Ambientes Gerais</v>
      </c>
      <c r="O56" s="31" t="str">
        <f t="shared" si="9"/>
        <v>Ambiente Shaft</v>
      </c>
      <c r="P56" s="32" t="s">
        <v>536</v>
      </c>
      <c r="Q56" s="32" t="str">
        <f t="shared" si="5"/>
        <v>Espacios arquitectónicos que tienen una función de paso vertical para construir sistemas de tuberías y conductos.</v>
      </c>
      <c r="R56" s="58" t="s">
        <v>10</v>
      </c>
      <c r="S56" s="32" t="str">
        <f t="shared" si="8"/>
        <v>Espacialidade</v>
      </c>
      <c r="T56" s="32" t="str">
        <f t="shared" si="8"/>
        <v>Elementos Espaciais</v>
      </c>
      <c r="U56" s="32" t="str">
        <f t="shared" si="8"/>
        <v>Ambientes Gerais</v>
      </c>
      <c r="V56" s="32" t="s">
        <v>184</v>
      </c>
      <c r="W56" s="47" t="str">
        <f t="shared" si="3"/>
        <v>Key-AMB-56</v>
      </c>
      <c r="X56" s="32" t="s">
        <v>339</v>
      </c>
      <c r="Y56" s="43" t="s">
        <v>322</v>
      </c>
      <c r="Z56" s="58" t="s">
        <v>537</v>
      </c>
      <c r="AA56" s="32" t="str">
        <f t="shared" si="4"/>
        <v>Architectural spaces that have a vertical passage function for building systems of pipes and ducts.</v>
      </c>
    </row>
    <row r="57" spans="1:27" s="36" customFormat="1" ht="6.75" customHeight="1" x14ac:dyDescent="0.25">
      <c r="A57" s="51">
        <v>57</v>
      </c>
      <c r="B57" s="29" t="s">
        <v>675</v>
      </c>
      <c r="C57" s="29" t="s">
        <v>847</v>
      </c>
      <c r="D57" s="29" t="s">
        <v>388</v>
      </c>
      <c r="E57" s="29" t="s">
        <v>588</v>
      </c>
      <c r="F57" s="30" t="s">
        <v>590</v>
      </c>
      <c r="G57" s="46" t="s">
        <v>10</v>
      </c>
      <c r="H57" s="46" t="s">
        <v>10</v>
      </c>
      <c r="I57" s="46" t="s">
        <v>10</v>
      </c>
      <c r="J57" s="46" t="s">
        <v>10</v>
      </c>
      <c r="K57" s="46" t="s">
        <v>10</v>
      </c>
      <c r="L57" s="31" t="str">
        <f t="shared" si="6"/>
        <v>Espacialidade</v>
      </c>
      <c r="M57" s="31" t="str">
        <f t="shared" si="6"/>
        <v>Elementos.Espaciais</v>
      </c>
      <c r="N57" s="31" t="str">
        <f t="shared" si="9"/>
        <v>Ambientes Específicos</v>
      </c>
      <c r="O57" s="31" t="str">
        <f t="shared" si="9"/>
        <v>Ambiente Acústico</v>
      </c>
      <c r="P57" s="32" t="s">
        <v>579</v>
      </c>
      <c r="Q57" s="32" t="str">
        <f t="shared" si="5"/>
        <v>Espacios arquitectónicos con tratamiento acústico especializado como estudios de grabación, radio y televisión, etc.</v>
      </c>
      <c r="R57" s="58" t="s">
        <v>10</v>
      </c>
      <c r="S57" s="32" t="str">
        <f t="shared" si="8"/>
        <v>Espacialidade</v>
      </c>
      <c r="T57" s="32" t="str">
        <f t="shared" si="8"/>
        <v>Elementos Espaciais</v>
      </c>
      <c r="U57" s="32" t="str">
        <f t="shared" si="8"/>
        <v>Ambientes Específicos</v>
      </c>
      <c r="V57" s="32" t="s">
        <v>184</v>
      </c>
      <c r="W57" s="47" t="str">
        <f t="shared" si="3"/>
        <v>Key-AMB-57</v>
      </c>
      <c r="X57" s="32" t="s">
        <v>339</v>
      </c>
      <c r="Y57" s="43" t="s">
        <v>322</v>
      </c>
      <c r="Z57" s="58" t="s">
        <v>653</v>
      </c>
      <c r="AA57" s="32" t="str">
        <f t="shared" si="4"/>
        <v>Architectural spaces with specialized acoustic treatment such as recording studios, radio and TV, etc.</v>
      </c>
    </row>
    <row r="58" spans="1:27" s="36" customFormat="1" ht="6.75" customHeight="1" x14ac:dyDescent="0.25">
      <c r="A58" s="51">
        <v>58</v>
      </c>
      <c r="B58" s="29" t="s">
        <v>675</v>
      </c>
      <c r="C58" s="29" t="s">
        <v>847</v>
      </c>
      <c r="D58" s="29" t="s">
        <v>388</v>
      </c>
      <c r="E58" s="29" t="s">
        <v>588</v>
      </c>
      <c r="F58" s="30" t="s">
        <v>591</v>
      </c>
      <c r="G58" s="46" t="s">
        <v>10</v>
      </c>
      <c r="H58" s="46" t="s">
        <v>10</v>
      </c>
      <c r="I58" s="46" t="s">
        <v>10</v>
      </c>
      <c r="J58" s="46" t="s">
        <v>10</v>
      </c>
      <c r="K58" s="46" t="s">
        <v>10</v>
      </c>
      <c r="L58" s="31" t="str">
        <f t="shared" si="6"/>
        <v>Espacialidade</v>
      </c>
      <c r="M58" s="31" t="str">
        <f t="shared" si="6"/>
        <v>Elementos.Espaciais</v>
      </c>
      <c r="N58" s="31" t="str">
        <f t="shared" si="9"/>
        <v>Ambientes Específicos</v>
      </c>
      <c r="O58" s="31" t="str">
        <f t="shared" si="9"/>
        <v>Ambiente Anecóico</v>
      </c>
      <c r="P58" s="32" t="s">
        <v>454</v>
      </c>
      <c r="Q58" s="32" t="str">
        <f t="shared" si="5"/>
        <v>Espacios arquitectónicos con tratamiento acústico especializado para eliminar reflejos sonoros (eco).</v>
      </c>
      <c r="R58" s="58" t="s">
        <v>10</v>
      </c>
      <c r="S58" s="32" t="str">
        <f t="shared" si="8"/>
        <v>Espacialidade</v>
      </c>
      <c r="T58" s="32" t="str">
        <f t="shared" si="8"/>
        <v>Elementos Espaciais</v>
      </c>
      <c r="U58" s="32" t="str">
        <f t="shared" si="8"/>
        <v>Ambientes Específicos</v>
      </c>
      <c r="V58" s="32" t="s">
        <v>184</v>
      </c>
      <c r="W58" s="47" t="str">
        <f t="shared" si="3"/>
        <v>Key-AMB-58</v>
      </c>
      <c r="X58" s="32" t="s">
        <v>339</v>
      </c>
      <c r="Y58" s="43" t="s">
        <v>322</v>
      </c>
      <c r="Z58" s="58" t="s">
        <v>653</v>
      </c>
      <c r="AA58" s="32" t="str">
        <f t="shared" si="4"/>
        <v>Architectural spaces with specialized acoustic treatment to eliminate sound reflections (echo).</v>
      </c>
    </row>
    <row r="59" spans="1:27" s="36" customFormat="1" ht="6.75" customHeight="1" x14ac:dyDescent="0.25">
      <c r="A59" s="51">
        <v>59</v>
      </c>
      <c r="B59" s="29" t="s">
        <v>675</v>
      </c>
      <c r="C59" s="29" t="s">
        <v>847</v>
      </c>
      <c r="D59" s="29" t="s">
        <v>388</v>
      </c>
      <c r="E59" s="29" t="s">
        <v>588</v>
      </c>
      <c r="F59" s="30" t="s">
        <v>593</v>
      </c>
      <c r="G59" s="46" t="s">
        <v>10</v>
      </c>
      <c r="H59" s="46" t="s">
        <v>10</v>
      </c>
      <c r="I59" s="46" t="s">
        <v>10</v>
      </c>
      <c r="J59" s="46" t="s">
        <v>10</v>
      </c>
      <c r="K59" s="46" t="s">
        <v>10</v>
      </c>
      <c r="L59" s="31" t="str">
        <f t="shared" si="6"/>
        <v>Espacialidade</v>
      </c>
      <c r="M59" s="31" t="str">
        <f t="shared" si="6"/>
        <v>Elementos.Espaciais</v>
      </c>
      <c r="N59" s="31" t="str">
        <f t="shared" si="9"/>
        <v>Ambientes Específicos</v>
      </c>
      <c r="O59" s="31" t="str">
        <f t="shared" si="9"/>
        <v>Ambiente Reverberante</v>
      </c>
      <c r="P59" s="32" t="s">
        <v>455</v>
      </c>
      <c r="Q59" s="32" t="str">
        <f t="shared" si="5"/>
        <v>Espacios arquitectónicos con tratamiento acústico especializado para aumentar el tiempo de reflexión del sonido.</v>
      </c>
      <c r="R59" s="58" t="s">
        <v>10</v>
      </c>
      <c r="S59" s="32" t="str">
        <f t="shared" ref="S59:U143" si="10">SUBSTITUTE(C59, ".", " ")</f>
        <v>Espacialidade</v>
      </c>
      <c r="T59" s="32" t="str">
        <f t="shared" si="10"/>
        <v>Elementos Espaciais</v>
      </c>
      <c r="U59" s="32" t="str">
        <f t="shared" si="10"/>
        <v>Ambientes Específicos</v>
      </c>
      <c r="V59" s="32" t="s">
        <v>184</v>
      </c>
      <c r="W59" s="47" t="str">
        <f t="shared" si="3"/>
        <v>Key-AMB-59</v>
      </c>
      <c r="X59" s="32" t="s">
        <v>339</v>
      </c>
      <c r="Y59" s="43" t="s">
        <v>322</v>
      </c>
      <c r="Z59" s="58" t="s">
        <v>653</v>
      </c>
      <c r="AA59" s="32" t="str">
        <f t="shared" si="4"/>
        <v>Architectural spaces with specialized acoustic treatment to increase sound reflection time.</v>
      </c>
    </row>
    <row r="60" spans="1:27" s="36" customFormat="1" ht="6.75" customHeight="1" x14ac:dyDescent="0.25">
      <c r="A60" s="51">
        <v>60</v>
      </c>
      <c r="B60" s="29" t="s">
        <v>675</v>
      </c>
      <c r="C60" s="29" t="s">
        <v>847</v>
      </c>
      <c r="D60" s="29" t="s">
        <v>388</v>
      </c>
      <c r="E60" s="29" t="s">
        <v>588</v>
      </c>
      <c r="F60" s="30" t="s">
        <v>592</v>
      </c>
      <c r="G60" s="46" t="s">
        <v>10</v>
      </c>
      <c r="H60" s="46" t="s">
        <v>10</v>
      </c>
      <c r="I60" s="46" t="s">
        <v>10</v>
      </c>
      <c r="J60" s="46" t="s">
        <v>10</v>
      </c>
      <c r="K60" s="46" t="s">
        <v>10</v>
      </c>
      <c r="L60" s="31" t="str">
        <f t="shared" si="6"/>
        <v>Espacialidade</v>
      </c>
      <c r="M60" s="31" t="str">
        <f t="shared" si="6"/>
        <v>Elementos.Espaciais</v>
      </c>
      <c r="N60" s="31" t="str">
        <f t="shared" si="9"/>
        <v>Ambientes Específicos</v>
      </c>
      <c r="O60" s="31" t="str">
        <f t="shared" si="9"/>
        <v>Ambiente Grande</v>
      </c>
      <c r="P60" s="32" t="s">
        <v>605</v>
      </c>
      <c r="Q60" s="32" t="str">
        <f t="shared" si="5"/>
        <v>Espacios arquitectónicos dimensionados como grandes entornos estructurados de un proyecto, como audiencias de cine, teatro, etc.</v>
      </c>
      <c r="R60" s="58" t="s">
        <v>10</v>
      </c>
      <c r="S60" s="32" t="str">
        <f t="shared" si="10"/>
        <v>Espacialidade</v>
      </c>
      <c r="T60" s="32" t="str">
        <f t="shared" si="10"/>
        <v>Elementos Espaciais</v>
      </c>
      <c r="U60" s="32" t="str">
        <f t="shared" si="10"/>
        <v>Ambientes Específicos</v>
      </c>
      <c r="V60" s="32" t="s">
        <v>184</v>
      </c>
      <c r="W60" s="47" t="str">
        <f t="shared" si="3"/>
        <v>Key-AMB-60</v>
      </c>
      <c r="X60" s="32" t="s">
        <v>339</v>
      </c>
      <c r="Y60" s="43" t="s">
        <v>322</v>
      </c>
      <c r="Z60" s="58" t="s">
        <v>653</v>
      </c>
      <c r="AA60" s="32" t="str">
        <f t="shared" si="4"/>
        <v>Architectural spaces sized as large structuring environments of a project, such as cinema audiences, theater, etc.</v>
      </c>
    </row>
    <row r="61" spans="1:27" s="36" customFormat="1" ht="6.75" customHeight="1" x14ac:dyDescent="0.25">
      <c r="A61" s="51">
        <v>61</v>
      </c>
      <c r="B61" s="29" t="s">
        <v>675</v>
      </c>
      <c r="C61" s="29" t="s">
        <v>847</v>
      </c>
      <c r="D61" s="29" t="s">
        <v>388</v>
      </c>
      <c r="E61" s="29" t="s">
        <v>588</v>
      </c>
      <c r="F61" s="30" t="s">
        <v>594</v>
      </c>
      <c r="G61" s="46" t="s">
        <v>10</v>
      </c>
      <c r="H61" s="46" t="s">
        <v>10</v>
      </c>
      <c r="I61" s="46" t="s">
        <v>10</v>
      </c>
      <c r="J61" s="46" t="s">
        <v>10</v>
      </c>
      <c r="K61" s="46" t="s">
        <v>10</v>
      </c>
      <c r="L61" s="31" t="str">
        <f t="shared" si="6"/>
        <v>Espacialidade</v>
      </c>
      <c r="M61" s="31" t="str">
        <f t="shared" si="6"/>
        <v>Elementos.Espaciais</v>
      </c>
      <c r="N61" s="31" t="str">
        <f t="shared" si="9"/>
        <v>Ambientes Específicos</v>
      </c>
      <c r="O61" s="31" t="str">
        <f t="shared" si="9"/>
        <v>Ambiente Expositivo</v>
      </c>
      <c r="P61" s="32" t="s">
        <v>456</v>
      </c>
      <c r="Q61" s="32" t="str">
        <f t="shared" si="5"/>
        <v>Espacios arquitectónicos dimensionados y equipados para exhibir obras de arte o productos, para museos, exposiciones, etc.</v>
      </c>
      <c r="R61" s="58" t="s">
        <v>10</v>
      </c>
      <c r="S61" s="32" t="str">
        <f t="shared" si="10"/>
        <v>Espacialidade</v>
      </c>
      <c r="T61" s="32" t="str">
        <f t="shared" si="10"/>
        <v>Elementos Espaciais</v>
      </c>
      <c r="U61" s="32" t="str">
        <f t="shared" si="10"/>
        <v>Ambientes Específicos</v>
      </c>
      <c r="V61" s="32" t="s">
        <v>184</v>
      </c>
      <c r="W61" s="47" t="str">
        <f t="shared" si="3"/>
        <v>Key-AMB-61</v>
      </c>
      <c r="X61" s="32" t="s">
        <v>339</v>
      </c>
      <c r="Y61" s="43" t="s">
        <v>322</v>
      </c>
      <c r="Z61" s="58" t="s">
        <v>653</v>
      </c>
      <c r="AA61" s="32" t="str">
        <f t="shared" si="4"/>
        <v>Architectural spaces sized and equipped to exhibit works of art or products, for museums, exhibitions, etc.</v>
      </c>
    </row>
    <row r="62" spans="1:27" s="36" customFormat="1" ht="6.75" customHeight="1" x14ac:dyDescent="0.25">
      <c r="A62" s="51">
        <v>62</v>
      </c>
      <c r="B62" s="29" t="s">
        <v>675</v>
      </c>
      <c r="C62" s="29" t="s">
        <v>847</v>
      </c>
      <c r="D62" s="29" t="s">
        <v>388</v>
      </c>
      <c r="E62" s="29" t="s">
        <v>588</v>
      </c>
      <c r="F62" s="30" t="s">
        <v>595</v>
      </c>
      <c r="G62" s="46" t="s">
        <v>10</v>
      </c>
      <c r="H62" s="46" t="s">
        <v>10</v>
      </c>
      <c r="I62" s="46" t="s">
        <v>10</v>
      </c>
      <c r="J62" s="46" t="s">
        <v>10</v>
      </c>
      <c r="K62" s="46" t="s">
        <v>10</v>
      </c>
      <c r="L62" s="31" t="str">
        <f t="shared" si="6"/>
        <v>Espacialidade</v>
      </c>
      <c r="M62" s="31" t="str">
        <f t="shared" si="6"/>
        <v>Elementos.Espaciais</v>
      </c>
      <c r="N62" s="31" t="str">
        <f t="shared" si="9"/>
        <v>Ambientes Específicos</v>
      </c>
      <c r="O62" s="31" t="str">
        <f t="shared" si="9"/>
        <v>Ambiente Teca</v>
      </c>
      <c r="P62" s="32" t="s">
        <v>534</v>
      </c>
      <c r="Q62" s="32" t="str">
        <f t="shared" si="5"/>
        <v>Espacios arquitectónicos dimensionados y equipados para almacenar productos culturales como bibliotecas, bibliotecas de periódicos, bibliotecas de mapas, discotecas, bibliotecas de medios, etc.</v>
      </c>
      <c r="R62" s="58" t="s">
        <v>10</v>
      </c>
      <c r="S62" s="32" t="str">
        <f t="shared" si="10"/>
        <v>Espacialidade</v>
      </c>
      <c r="T62" s="32" t="str">
        <f t="shared" si="10"/>
        <v>Elementos Espaciais</v>
      </c>
      <c r="U62" s="32" t="str">
        <f t="shared" si="10"/>
        <v>Ambientes Específicos</v>
      </c>
      <c r="V62" s="32" t="s">
        <v>184</v>
      </c>
      <c r="W62" s="47" t="str">
        <f t="shared" si="3"/>
        <v>Key-AMB-62</v>
      </c>
      <c r="X62" s="32" t="s">
        <v>339</v>
      </c>
      <c r="Y62" s="43" t="s">
        <v>322</v>
      </c>
      <c r="Z62" s="58" t="s">
        <v>653</v>
      </c>
      <c r="AA62" s="32" t="str">
        <f t="shared" si="4"/>
        <v>Architectural spaces sized and equipped to store cultural products such as libraries, newspaper libraries, map libraries, discotheques, media libraries, etc.</v>
      </c>
    </row>
    <row r="63" spans="1:27" s="36" customFormat="1" ht="6.75" customHeight="1" x14ac:dyDescent="0.25">
      <c r="A63" s="51">
        <v>63</v>
      </c>
      <c r="B63" s="29" t="s">
        <v>675</v>
      </c>
      <c r="C63" s="29" t="s">
        <v>847</v>
      </c>
      <c r="D63" s="29" t="s">
        <v>388</v>
      </c>
      <c r="E63" s="29" t="s">
        <v>588</v>
      </c>
      <c r="F63" s="30" t="s">
        <v>596</v>
      </c>
      <c r="G63" s="46" t="s">
        <v>10</v>
      </c>
      <c r="H63" s="46" t="s">
        <v>10</v>
      </c>
      <c r="I63" s="46" t="s">
        <v>10</v>
      </c>
      <c r="J63" s="46" t="s">
        <v>10</v>
      </c>
      <c r="K63" s="46" t="s">
        <v>10</v>
      </c>
      <c r="L63" s="31" t="str">
        <f t="shared" si="6"/>
        <v>Espacialidade</v>
      </c>
      <c r="M63" s="31" t="str">
        <f t="shared" si="6"/>
        <v>Elementos.Espaciais</v>
      </c>
      <c r="N63" s="31" t="str">
        <f t="shared" si="9"/>
        <v>Ambientes Específicos</v>
      </c>
      <c r="O63" s="31" t="str">
        <f t="shared" si="9"/>
        <v>Ambiente Frio</v>
      </c>
      <c r="P63" s="32" t="s">
        <v>457</v>
      </c>
      <c r="Q63" s="32" t="str">
        <f t="shared" si="5"/>
        <v>Espacios arquitectónicos de tamaño y equipamiento para almacenar productos a bajas temperaturas, como espacios arquitectónicos Frezzers, espacios arquitectónicos refrigerados, etc.</v>
      </c>
      <c r="R63" s="58" t="s">
        <v>10</v>
      </c>
      <c r="S63" s="32" t="str">
        <f t="shared" si="10"/>
        <v>Espacialidade</v>
      </c>
      <c r="T63" s="32" t="str">
        <f t="shared" si="10"/>
        <v>Elementos Espaciais</v>
      </c>
      <c r="U63" s="32" t="str">
        <f t="shared" si="10"/>
        <v>Ambientes Específicos</v>
      </c>
      <c r="V63" s="32" t="s">
        <v>184</v>
      </c>
      <c r="W63" s="47" t="str">
        <f t="shared" si="3"/>
        <v>Key-AMB-63</v>
      </c>
      <c r="X63" s="32" t="s">
        <v>339</v>
      </c>
      <c r="Y63" s="43" t="s">
        <v>322</v>
      </c>
      <c r="Z63" s="58" t="s">
        <v>653</v>
      </c>
      <c r="AA63" s="32" t="str">
        <f t="shared" si="4"/>
        <v>Architectural spaces sized and equipped to store products at low temperatures, such as Frezzers Architectural Spaces, Refrigerated Architectural Spaces, etc.</v>
      </c>
    </row>
    <row r="64" spans="1:27" s="36" customFormat="1" ht="6.75" customHeight="1" x14ac:dyDescent="0.25">
      <c r="A64" s="51">
        <v>64</v>
      </c>
      <c r="B64" s="29" t="s">
        <v>675</v>
      </c>
      <c r="C64" s="29" t="s">
        <v>847</v>
      </c>
      <c r="D64" s="29" t="s">
        <v>388</v>
      </c>
      <c r="E64" s="29" t="s">
        <v>588</v>
      </c>
      <c r="F64" s="30" t="s">
        <v>589</v>
      </c>
      <c r="G64" s="46" t="s">
        <v>10</v>
      </c>
      <c r="H64" s="46" t="s">
        <v>10</v>
      </c>
      <c r="I64" s="46" t="s">
        <v>10</v>
      </c>
      <c r="J64" s="46" t="s">
        <v>10</v>
      </c>
      <c r="K64" s="46" t="s">
        <v>10</v>
      </c>
      <c r="L64" s="31" t="str">
        <f t="shared" si="6"/>
        <v>Espacialidade</v>
      </c>
      <c r="M64" s="31" t="str">
        <f t="shared" si="6"/>
        <v>Elementos.Espaciais</v>
      </c>
      <c r="N64" s="31" t="str">
        <f t="shared" si="9"/>
        <v>Ambientes Específicos</v>
      </c>
      <c r="O64" s="31" t="str">
        <f t="shared" si="9"/>
        <v>Ambiente Telemático</v>
      </c>
      <c r="P64" s="32" t="s">
        <v>458</v>
      </c>
      <c r="Q64" s="32" t="str">
        <f t="shared" si="5"/>
        <v>Espacios arquitectónicos dimensionados y equipados para servidores informáticos para actividades telemáticas virtuales.</v>
      </c>
      <c r="R64" s="58" t="s">
        <v>10</v>
      </c>
      <c r="S64" s="32" t="str">
        <f t="shared" si="10"/>
        <v>Espacialidade</v>
      </c>
      <c r="T64" s="32" t="str">
        <f t="shared" si="10"/>
        <v>Elementos Espaciais</v>
      </c>
      <c r="U64" s="32" t="str">
        <f t="shared" si="10"/>
        <v>Ambientes Específicos</v>
      </c>
      <c r="V64" s="32" t="s">
        <v>184</v>
      </c>
      <c r="W64" s="47" t="str">
        <f t="shared" si="3"/>
        <v>Key-AMB-64</v>
      </c>
      <c r="X64" s="32" t="s">
        <v>339</v>
      </c>
      <c r="Y64" s="43" t="s">
        <v>322</v>
      </c>
      <c r="Z64" s="58" t="s">
        <v>653</v>
      </c>
      <c r="AA64" s="32" t="str">
        <f t="shared" si="4"/>
        <v>Architectural spaces sized and equipped for computer servers for virtual telematic activities.</v>
      </c>
    </row>
    <row r="65" spans="1:27" s="36" customFormat="1" ht="6.75" customHeight="1" x14ac:dyDescent="0.25">
      <c r="A65" s="51">
        <v>65</v>
      </c>
      <c r="B65" s="29" t="s">
        <v>675</v>
      </c>
      <c r="C65" s="29" t="s">
        <v>847</v>
      </c>
      <c r="D65" s="29" t="s">
        <v>388</v>
      </c>
      <c r="E65" s="29" t="s">
        <v>588</v>
      </c>
      <c r="F65" s="30" t="s">
        <v>597</v>
      </c>
      <c r="G65" s="46" t="s">
        <v>10</v>
      </c>
      <c r="H65" s="46" t="s">
        <v>10</v>
      </c>
      <c r="I65" s="46" t="s">
        <v>10</v>
      </c>
      <c r="J65" s="46" t="s">
        <v>10</v>
      </c>
      <c r="K65" s="46" t="s">
        <v>10</v>
      </c>
      <c r="L65" s="31" t="str">
        <f t="shared" si="6"/>
        <v>Espacialidade</v>
      </c>
      <c r="M65" s="31" t="str">
        <f t="shared" si="6"/>
        <v>Elementos.Espaciais</v>
      </c>
      <c r="N65" s="31" t="str">
        <f t="shared" si="9"/>
        <v>Ambientes Específicos</v>
      </c>
      <c r="O65" s="31" t="str">
        <f t="shared" si="9"/>
        <v>Ambiente Gastronômico</v>
      </c>
      <c r="P65" s="32" t="s">
        <v>549</v>
      </c>
      <c r="Q65" s="32" t="str">
        <f t="shared" si="5"/>
        <v>Espacios arquitectónicos dimensionados y equipados para actividades de servicio público en la gastronomía como restaurantes, bares, quioscos, etc.</v>
      </c>
      <c r="R65" s="58" t="s">
        <v>10</v>
      </c>
      <c r="S65" s="32" t="str">
        <f t="shared" si="10"/>
        <v>Espacialidade</v>
      </c>
      <c r="T65" s="32" t="str">
        <f t="shared" si="10"/>
        <v>Elementos Espaciais</v>
      </c>
      <c r="U65" s="32" t="str">
        <f t="shared" si="10"/>
        <v>Ambientes Específicos</v>
      </c>
      <c r="V65" s="32" t="s">
        <v>184</v>
      </c>
      <c r="W65" s="47" t="str">
        <f t="shared" si="3"/>
        <v>Key-AMB-65</v>
      </c>
      <c r="X65" s="32" t="s">
        <v>339</v>
      </c>
      <c r="Y65" s="43" t="s">
        <v>322</v>
      </c>
      <c r="Z65" s="58" t="s">
        <v>653</v>
      </c>
      <c r="AA65" s="32" t="str">
        <f t="shared" si="4"/>
        <v>Architectural spaces sized and equipped for public service food activities such as restaurants, bars, kiosks, etc.</v>
      </c>
    </row>
    <row r="66" spans="1:27" s="36" customFormat="1" ht="6.75" customHeight="1" x14ac:dyDescent="0.25">
      <c r="A66" s="51">
        <v>66</v>
      </c>
      <c r="B66" s="29" t="s">
        <v>675</v>
      </c>
      <c r="C66" s="29" t="s">
        <v>847</v>
      </c>
      <c r="D66" s="29" t="s">
        <v>388</v>
      </c>
      <c r="E66" s="29" t="s">
        <v>588</v>
      </c>
      <c r="F66" s="30" t="s">
        <v>598</v>
      </c>
      <c r="G66" s="46" t="s">
        <v>10</v>
      </c>
      <c r="H66" s="46" t="s">
        <v>10</v>
      </c>
      <c r="I66" s="46" t="s">
        <v>10</v>
      </c>
      <c r="J66" s="46" t="s">
        <v>10</v>
      </c>
      <c r="K66" s="46" t="s">
        <v>10</v>
      </c>
      <c r="L66" s="31" t="str">
        <f t="shared" si="6"/>
        <v>Espacialidade</v>
      </c>
      <c r="M66" s="31" t="str">
        <f t="shared" si="6"/>
        <v>Elementos.Espaciais</v>
      </c>
      <c r="N66" s="31" t="str">
        <f t="shared" si="9"/>
        <v>Ambientes Específicos</v>
      </c>
      <c r="O66" s="31" t="str">
        <f t="shared" si="9"/>
        <v>Ambiente Manutenção</v>
      </c>
      <c r="P66" s="32" t="s">
        <v>550</v>
      </c>
      <c r="Q66" s="32" t="str">
        <f t="shared" si="5"/>
        <v>Espacios arquitectónicos dimensionados y equipados para actividades de limpieza y mantenimiento de edificios, etc.</v>
      </c>
      <c r="R66" s="58" t="s">
        <v>10</v>
      </c>
      <c r="S66" s="32" t="str">
        <f t="shared" si="10"/>
        <v>Espacialidade</v>
      </c>
      <c r="T66" s="32" t="str">
        <f t="shared" si="10"/>
        <v>Elementos Espaciais</v>
      </c>
      <c r="U66" s="32" t="str">
        <f t="shared" si="10"/>
        <v>Ambientes Específicos</v>
      </c>
      <c r="V66" s="32" t="s">
        <v>184</v>
      </c>
      <c r="W66" s="47" t="str">
        <f t="shared" si="3"/>
        <v>Key-AMB-66</v>
      </c>
      <c r="X66" s="32" t="s">
        <v>339</v>
      </c>
      <c r="Y66" s="43" t="s">
        <v>322</v>
      </c>
      <c r="Z66" s="58" t="s">
        <v>653</v>
      </c>
      <c r="AA66" s="32" t="str">
        <f t="shared" ref="AA66:AA129" si="11">_xlfn.TRANSLATE(P66,"pt","en")</f>
        <v>Architectural spaces sized and equipped for Cleaning and Building Maintenance activities, etc.</v>
      </c>
    </row>
    <row r="67" spans="1:27" s="36" customFormat="1" ht="6.75" customHeight="1" x14ac:dyDescent="0.25">
      <c r="A67" s="51">
        <v>67</v>
      </c>
      <c r="B67" s="29" t="s">
        <v>675</v>
      </c>
      <c r="C67" s="29" t="s">
        <v>847</v>
      </c>
      <c r="D67" s="29" t="s">
        <v>388</v>
      </c>
      <c r="E67" s="29" t="s">
        <v>588</v>
      </c>
      <c r="F67" s="30" t="s">
        <v>604</v>
      </c>
      <c r="G67" s="46" t="s">
        <v>10</v>
      </c>
      <c r="H67" s="46" t="s">
        <v>10</v>
      </c>
      <c r="I67" s="46" t="s">
        <v>10</v>
      </c>
      <c r="J67" s="46" t="s">
        <v>10</v>
      </c>
      <c r="K67" s="46" t="s">
        <v>10</v>
      </c>
      <c r="L67" s="31" t="str">
        <f t="shared" si="6"/>
        <v>Espacialidade</v>
      </c>
      <c r="M67" s="31" t="str">
        <f t="shared" si="6"/>
        <v>Elementos.Espaciais</v>
      </c>
      <c r="N67" s="31" t="str">
        <f t="shared" si="9"/>
        <v>Ambientes Específicos</v>
      </c>
      <c r="O67" s="31" t="str">
        <f t="shared" si="9"/>
        <v>Ambiente Logístico</v>
      </c>
      <c r="P67" s="32" t="s">
        <v>479</v>
      </c>
      <c r="Q67" s="32" t="str">
        <f t="shared" si="5"/>
        <v>Espacios arquitectónicos diseñados y equipados para la recepción, almacenamiento y distribución de elementos logísticos tipo almacén.</v>
      </c>
      <c r="R67" s="58" t="s">
        <v>10</v>
      </c>
      <c r="S67" s="32" t="str">
        <f t="shared" si="10"/>
        <v>Espacialidade</v>
      </c>
      <c r="T67" s="32" t="str">
        <f t="shared" si="10"/>
        <v>Elementos Espaciais</v>
      </c>
      <c r="U67" s="32" t="str">
        <f t="shared" si="10"/>
        <v>Ambientes Específicos</v>
      </c>
      <c r="V67" s="32" t="s">
        <v>184</v>
      </c>
      <c r="W67" s="47" t="str">
        <f t="shared" ref="W67:W130" si="12">CONCATENATE("Key-AMB-",A67)</f>
        <v>Key-AMB-67</v>
      </c>
      <c r="X67" s="32" t="s">
        <v>339</v>
      </c>
      <c r="Y67" s="43" t="s">
        <v>322</v>
      </c>
      <c r="Z67" s="58" t="s">
        <v>653</v>
      </c>
      <c r="AA67" s="32" t="str">
        <f t="shared" si="11"/>
        <v>Architectural spaces designed and equipped for the reception, storage and distribution of logistic warehouse-type elements.</v>
      </c>
    </row>
    <row r="68" spans="1:27" s="36" customFormat="1" ht="6.75" customHeight="1" x14ac:dyDescent="0.25">
      <c r="A68" s="51">
        <v>68</v>
      </c>
      <c r="B68" s="29" t="s">
        <v>675</v>
      </c>
      <c r="C68" s="29" t="s">
        <v>847</v>
      </c>
      <c r="D68" s="29" t="s">
        <v>388</v>
      </c>
      <c r="E68" s="29" t="s">
        <v>588</v>
      </c>
      <c r="F68" s="30" t="s">
        <v>603</v>
      </c>
      <c r="G68" s="46" t="s">
        <v>10</v>
      </c>
      <c r="H68" s="46" t="s">
        <v>10</v>
      </c>
      <c r="I68" s="46" t="s">
        <v>10</v>
      </c>
      <c r="J68" s="46" t="s">
        <v>10</v>
      </c>
      <c r="K68" s="46" t="s">
        <v>10</v>
      </c>
      <c r="L68" s="31" t="str">
        <f t="shared" si="6"/>
        <v>Espacialidade</v>
      </c>
      <c r="M68" s="31" t="str">
        <f t="shared" si="6"/>
        <v>Elementos.Espaciais</v>
      </c>
      <c r="N68" s="31" t="str">
        <f t="shared" si="9"/>
        <v>Ambientes Específicos</v>
      </c>
      <c r="O68" s="31" t="str">
        <f t="shared" si="9"/>
        <v>Ambiente Blindado</v>
      </c>
      <c r="P68" s="32" t="s">
        <v>551</v>
      </c>
      <c r="Q68" s="32" t="str">
        <f t="shared" si="5"/>
        <v>Espacios arquitectónicos dimensionados y equipados para actividades que deben permanecer protegidos por el uso de explosivos o emisores de radiación.</v>
      </c>
      <c r="R68" s="58" t="s">
        <v>10</v>
      </c>
      <c r="S68" s="32" t="str">
        <f t="shared" si="10"/>
        <v>Espacialidade</v>
      </c>
      <c r="T68" s="32" t="str">
        <f t="shared" si="10"/>
        <v>Elementos Espaciais</v>
      </c>
      <c r="U68" s="32" t="str">
        <f t="shared" si="10"/>
        <v>Ambientes Específicos</v>
      </c>
      <c r="V68" s="32" t="s">
        <v>184</v>
      </c>
      <c r="W68" s="47" t="str">
        <f t="shared" si="12"/>
        <v>Key-AMB-68</v>
      </c>
      <c r="X68" s="32" t="s">
        <v>339</v>
      </c>
      <c r="Y68" s="43" t="s">
        <v>322</v>
      </c>
      <c r="Z68" s="58" t="s">
        <v>653</v>
      </c>
      <c r="AA68" s="32" t="str">
        <f t="shared" si="11"/>
        <v>Architectural spaces sized and equipped for activities that must remain shielded by the use of explosives or radiation emitters.</v>
      </c>
    </row>
    <row r="69" spans="1:27" s="36" customFormat="1" ht="6.75" customHeight="1" x14ac:dyDescent="0.25">
      <c r="A69" s="51">
        <v>69</v>
      </c>
      <c r="B69" s="29" t="s">
        <v>675</v>
      </c>
      <c r="C69" s="29" t="s">
        <v>847</v>
      </c>
      <c r="D69" s="29" t="s">
        <v>388</v>
      </c>
      <c r="E69" s="29" t="s">
        <v>588</v>
      </c>
      <c r="F69" s="30" t="s">
        <v>602</v>
      </c>
      <c r="G69" s="46" t="s">
        <v>10</v>
      </c>
      <c r="H69" s="46" t="s">
        <v>10</v>
      </c>
      <c r="I69" s="46" t="s">
        <v>10</v>
      </c>
      <c r="J69" s="46" t="s">
        <v>10</v>
      </c>
      <c r="K69" s="46" t="s">
        <v>10</v>
      </c>
      <c r="L69" s="31" t="str">
        <f t="shared" si="6"/>
        <v>Espacialidade</v>
      </c>
      <c r="M69" s="31" t="str">
        <f t="shared" si="6"/>
        <v>Elementos.Espaciais</v>
      </c>
      <c r="N69" s="31" t="str">
        <f t="shared" si="9"/>
        <v>Ambientes Específicos</v>
      </c>
      <c r="O69" s="31" t="str">
        <f t="shared" si="9"/>
        <v>Ambiente Tério</v>
      </c>
      <c r="P69" s="32" t="s">
        <v>552</v>
      </c>
      <c r="Q69" s="32" t="str">
        <f t="shared" si="5"/>
        <v>Espacios arquitectónicos de tamaño y equipamiento para actividades relacionadas con la manipulación animal, como vivarios, o espacios funerarios como cementerios o morgues.</v>
      </c>
      <c r="R69" s="58" t="s">
        <v>10</v>
      </c>
      <c r="S69" s="32" t="str">
        <f t="shared" si="10"/>
        <v>Espacialidade</v>
      </c>
      <c r="T69" s="32" t="str">
        <f t="shared" si="10"/>
        <v>Elementos Espaciais</v>
      </c>
      <c r="U69" s="32" t="str">
        <f t="shared" si="10"/>
        <v>Ambientes Específicos</v>
      </c>
      <c r="V69" s="32" t="s">
        <v>184</v>
      </c>
      <c r="W69" s="47" t="str">
        <f t="shared" si="12"/>
        <v>Key-AMB-69</v>
      </c>
      <c r="X69" s="32" t="s">
        <v>339</v>
      </c>
      <c r="Y69" s="43" t="s">
        <v>322</v>
      </c>
      <c r="Z69" s="58" t="s">
        <v>653</v>
      </c>
      <c r="AA69" s="32" t="str">
        <f t="shared" si="11"/>
        <v>Architectural spaces sized and equipped for activities related to animal manipulation such as vivariums or burial spaces such as cemetery or morgues.</v>
      </c>
    </row>
    <row r="70" spans="1:27" s="36" customFormat="1" ht="6.75" customHeight="1" x14ac:dyDescent="0.25">
      <c r="A70" s="51">
        <v>70</v>
      </c>
      <c r="B70" s="29" t="s">
        <v>675</v>
      </c>
      <c r="C70" s="29" t="s">
        <v>847</v>
      </c>
      <c r="D70" s="29" t="s">
        <v>388</v>
      </c>
      <c r="E70" s="29" t="s">
        <v>588</v>
      </c>
      <c r="F70" s="30" t="s">
        <v>599</v>
      </c>
      <c r="G70" s="46" t="s">
        <v>10</v>
      </c>
      <c r="H70" s="46" t="s">
        <v>10</v>
      </c>
      <c r="I70" s="46" t="s">
        <v>10</v>
      </c>
      <c r="J70" s="46" t="s">
        <v>10</v>
      </c>
      <c r="K70" s="46" t="s">
        <v>10</v>
      </c>
      <c r="L70" s="31" t="str">
        <f t="shared" si="6"/>
        <v>Espacialidade</v>
      </c>
      <c r="M70" s="31" t="str">
        <f t="shared" si="6"/>
        <v>Elementos.Espaciais</v>
      </c>
      <c r="N70" s="31" t="str">
        <f t="shared" si="9"/>
        <v>Ambientes Específicos</v>
      </c>
      <c r="O70" s="31" t="str">
        <f t="shared" si="9"/>
        <v>Ambiente Quarentena</v>
      </c>
      <c r="P70" s="32" t="s">
        <v>553</v>
      </c>
      <c r="Q70" s="32" t="str">
        <f t="shared" si="5"/>
        <v>Espacios arquitectónicos dimensionados y equipados para actividades que requieren espacios de cuarentena o controles temporales.</v>
      </c>
      <c r="R70" s="58" t="s">
        <v>10</v>
      </c>
      <c r="S70" s="32" t="str">
        <f t="shared" si="10"/>
        <v>Espacialidade</v>
      </c>
      <c r="T70" s="32" t="str">
        <f t="shared" si="10"/>
        <v>Elementos Espaciais</v>
      </c>
      <c r="U70" s="32" t="str">
        <f t="shared" si="10"/>
        <v>Ambientes Específicos</v>
      </c>
      <c r="V70" s="32" t="s">
        <v>184</v>
      </c>
      <c r="W70" s="47" t="str">
        <f t="shared" si="12"/>
        <v>Key-AMB-70</v>
      </c>
      <c r="X70" s="32" t="s">
        <v>339</v>
      </c>
      <c r="Y70" s="43" t="s">
        <v>322</v>
      </c>
      <c r="Z70" s="58" t="s">
        <v>653</v>
      </c>
      <c r="AA70" s="32" t="str">
        <f t="shared" si="11"/>
        <v>Architectural spaces sized and equipped for activities that require quarantine spaces or temporary controls.</v>
      </c>
    </row>
    <row r="71" spans="1:27" s="36" customFormat="1" ht="6.75" customHeight="1" x14ac:dyDescent="0.25">
      <c r="A71" s="51">
        <v>71</v>
      </c>
      <c r="B71" s="29" t="s">
        <v>675</v>
      </c>
      <c r="C71" s="29" t="s">
        <v>847</v>
      </c>
      <c r="D71" s="29" t="s">
        <v>388</v>
      </c>
      <c r="E71" s="29" t="s">
        <v>588</v>
      </c>
      <c r="F71" s="30" t="s">
        <v>601</v>
      </c>
      <c r="G71" s="46" t="s">
        <v>10</v>
      </c>
      <c r="H71" s="46" t="s">
        <v>10</v>
      </c>
      <c r="I71" s="46" t="s">
        <v>10</v>
      </c>
      <c r="J71" s="46" t="s">
        <v>10</v>
      </c>
      <c r="K71" s="46" t="s">
        <v>10</v>
      </c>
      <c r="L71" s="31" t="str">
        <f t="shared" si="6"/>
        <v>Espacialidade</v>
      </c>
      <c r="M71" s="31" t="str">
        <f t="shared" si="6"/>
        <v>Elementos.Espaciais</v>
      </c>
      <c r="N71" s="31" t="str">
        <f t="shared" si="9"/>
        <v>Ambientes Específicos</v>
      </c>
      <c r="O71" s="31" t="str">
        <f t="shared" si="9"/>
        <v>Ambiente Tribunal</v>
      </c>
      <c r="P71" s="32" t="s">
        <v>580</v>
      </c>
      <c r="Q71" s="32" t="str">
        <f t="shared" ref="Q71:Q134" si="13">_xlfn.TRANSLATE(P71,"pt","es")</f>
        <v>Espacios arquitectónicos dimensionados y equipados para actividades o procesos relacionados con actos judiciales.</v>
      </c>
      <c r="R71" s="58" t="s">
        <v>10</v>
      </c>
      <c r="S71" s="32" t="str">
        <f t="shared" si="10"/>
        <v>Espacialidade</v>
      </c>
      <c r="T71" s="32" t="str">
        <f t="shared" si="10"/>
        <v>Elementos Espaciais</v>
      </c>
      <c r="U71" s="32" t="str">
        <f t="shared" si="10"/>
        <v>Ambientes Específicos</v>
      </c>
      <c r="V71" s="32" t="s">
        <v>184</v>
      </c>
      <c r="W71" s="47" t="str">
        <f t="shared" si="12"/>
        <v>Key-AMB-71</v>
      </c>
      <c r="X71" s="32" t="s">
        <v>339</v>
      </c>
      <c r="Y71" s="43" t="s">
        <v>322</v>
      </c>
      <c r="Z71" s="58" t="s">
        <v>653</v>
      </c>
      <c r="AA71" s="32" t="str">
        <f t="shared" si="11"/>
        <v>Architectural spaces sized and equipped for activities or processes related to judicial acts.</v>
      </c>
    </row>
    <row r="72" spans="1:27" s="36" customFormat="1" ht="6.75" customHeight="1" x14ac:dyDescent="0.25">
      <c r="A72" s="51">
        <v>72</v>
      </c>
      <c r="B72" s="29" t="s">
        <v>675</v>
      </c>
      <c r="C72" s="29" t="s">
        <v>847</v>
      </c>
      <c r="D72" s="29" t="s">
        <v>388</v>
      </c>
      <c r="E72" s="29" t="s">
        <v>588</v>
      </c>
      <c r="F72" s="30" t="s">
        <v>600</v>
      </c>
      <c r="G72" s="46" t="s">
        <v>10</v>
      </c>
      <c r="H72" s="46" t="s">
        <v>10</v>
      </c>
      <c r="I72" s="46" t="s">
        <v>10</v>
      </c>
      <c r="J72" s="46" t="s">
        <v>10</v>
      </c>
      <c r="K72" s="46" t="s">
        <v>10</v>
      </c>
      <c r="L72" s="31" t="str">
        <f t="shared" si="6"/>
        <v>Espacialidade</v>
      </c>
      <c r="M72" s="31" t="str">
        <f t="shared" si="6"/>
        <v>Elementos.Espaciais</v>
      </c>
      <c r="N72" s="31" t="str">
        <f t="shared" si="9"/>
        <v>Ambientes Específicos</v>
      </c>
      <c r="O72" s="31" t="str">
        <f t="shared" si="9"/>
        <v>Ambiente Estacionamento</v>
      </c>
      <c r="P72" s="32" t="s">
        <v>652</v>
      </c>
      <c r="Q72" s="32" t="str">
        <f t="shared" si="13"/>
        <v>Espacios arquitectónicos dimensionados y equipados para actividades de entrada, estancia y salida de vehículos.</v>
      </c>
      <c r="R72" s="58" t="s">
        <v>10</v>
      </c>
      <c r="S72" s="32" t="str">
        <f t="shared" si="10"/>
        <v>Espacialidade</v>
      </c>
      <c r="T72" s="32" t="str">
        <f t="shared" si="10"/>
        <v>Elementos Espaciais</v>
      </c>
      <c r="U72" s="32" t="str">
        <f t="shared" si="10"/>
        <v>Ambientes Específicos</v>
      </c>
      <c r="V72" s="32" t="s">
        <v>184</v>
      </c>
      <c r="W72" s="47" t="str">
        <f t="shared" si="12"/>
        <v>Key-AMB-72</v>
      </c>
      <c r="X72" s="32" t="s">
        <v>339</v>
      </c>
      <c r="Y72" s="43" t="s">
        <v>322</v>
      </c>
      <c r="Z72" s="58" t="s">
        <v>653</v>
      </c>
      <c r="AA72" s="32" t="str">
        <f t="shared" si="11"/>
        <v>Architectural spaces sized and equipped for vehicle entry, stay and exit activities.</v>
      </c>
    </row>
    <row r="73" spans="1:27" s="36" customFormat="1" ht="6.75" customHeight="1" x14ac:dyDescent="0.25">
      <c r="A73" s="51">
        <v>73</v>
      </c>
      <c r="B73" s="29" t="s">
        <v>675</v>
      </c>
      <c r="C73" s="29" t="s">
        <v>847</v>
      </c>
      <c r="D73" s="29" t="s">
        <v>388</v>
      </c>
      <c r="E73" s="29" t="s">
        <v>480</v>
      </c>
      <c r="F73" s="30" t="s">
        <v>644</v>
      </c>
      <c r="G73" s="46" t="s">
        <v>10</v>
      </c>
      <c r="H73" s="46" t="s">
        <v>10</v>
      </c>
      <c r="I73" s="46" t="s">
        <v>10</v>
      </c>
      <c r="J73" s="46" t="s">
        <v>10</v>
      </c>
      <c r="K73" s="46" t="s">
        <v>10</v>
      </c>
      <c r="L73" s="31" t="str">
        <f t="shared" si="6"/>
        <v>Espacialidade</v>
      </c>
      <c r="M73" s="31" t="str">
        <f t="shared" si="6"/>
        <v>Elementos.Espaciais</v>
      </c>
      <c r="N73" s="31" t="str">
        <f t="shared" si="9"/>
        <v>Ambientes Esportivos</v>
      </c>
      <c r="O73" s="31" t="str">
        <f t="shared" si="9"/>
        <v>Ambiente Esportivo</v>
      </c>
      <c r="P73" s="32" t="s">
        <v>459</v>
      </c>
      <c r="Q73" s="32" t="str">
        <f t="shared" si="13"/>
        <v>Espacios arquitectónicos dimensionados y equipados para actividades deportivas, etc.</v>
      </c>
      <c r="R73" s="58" t="s">
        <v>10</v>
      </c>
      <c r="S73" s="32" t="str">
        <f t="shared" si="10"/>
        <v>Espacialidade</v>
      </c>
      <c r="T73" s="32" t="str">
        <f t="shared" si="10"/>
        <v>Elementos Espaciais</v>
      </c>
      <c r="U73" s="32" t="str">
        <f t="shared" si="10"/>
        <v>Ambientes Esportivos</v>
      </c>
      <c r="V73" s="32" t="s">
        <v>184</v>
      </c>
      <c r="W73" s="47" t="str">
        <f t="shared" si="12"/>
        <v>Key-AMB-73</v>
      </c>
      <c r="X73" s="32" t="s">
        <v>339</v>
      </c>
      <c r="Y73" s="43" t="s">
        <v>322</v>
      </c>
      <c r="Z73" s="58" t="s">
        <v>653</v>
      </c>
      <c r="AA73" s="32" t="str">
        <f t="shared" si="11"/>
        <v>Architectural spaces sized and equipped for sports activities, etc.</v>
      </c>
    </row>
    <row r="74" spans="1:27" s="36" customFormat="1" ht="6.75" customHeight="1" x14ac:dyDescent="0.25">
      <c r="A74" s="51">
        <v>74</v>
      </c>
      <c r="B74" s="29" t="s">
        <v>675</v>
      </c>
      <c r="C74" s="29" t="s">
        <v>847</v>
      </c>
      <c r="D74" s="29" t="s">
        <v>388</v>
      </c>
      <c r="E74" s="29" t="s">
        <v>480</v>
      </c>
      <c r="F74" s="30" t="s">
        <v>645</v>
      </c>
      <c r="G74" s="46" t="s">
        <v>10</v>
      </c>
      <c r="H74" s="46" t="s">
        <v>10</v>
      </c>
      <c r="I74" s="46" t="s">
        <v>10</v>
      </c>
      <c r="J74" s="46" t="s">
        <v>10</v>
      </c>
      <c r="K74" s="46" t="s">
        <v>10</v>
      </c>
      <c r="L74" s="31" t="str">
        <f t="shared" si="6"/>
        <v>Espacialidade</v>
      </c>
      <c r="M74" s="31" t="str">
        <f t="shared" si="6"/>
        <v>Elementos.Espaciais</v>
      </c>
      <c r="N74" s="31" t="str">
        <f t="shared" si="9"/>
        <v>Ambientes Esportivos</v>
      </c>
      <c r="O74" s="31" t="str">
        <f t="shared" si="9"/>
        <v>Ambiente Quadra Esportiva</v>
      </c>
      <c r="P74" s="32" t="s">
        <v>460</v>
      </c>
      <c r="Q74" s="32" t="str">
        <f t="shared" si="13"/>
        <v>Espacios arquitectónicos diseñados y equipados para actividades deportivas al aire libre o interior, como pistas deportivas.</v>
      </c>
      <c r="R74" s="58" t="s">
        <v>10</v>
      </c>
      <c r="S74" s="32" t="str">
        <f t="shared" si="10"/>
        <v>Espacialidade</v>
      </c>
      <c r="T74" s="32" t="str">
        <f t="shared" si="10"/>
        <v>Elementos Espaciais</v>
      </c>
      <c r="U74" s="32" t="str">
        <f t="shared" si="10"/>
        <v>Ambientes Esportivos</v>
      </c>
      <c r="V74" s="32" t="s">
        <v>184</v>
      </c>
      <c r="W74" s="47" t="str">
        <f t="shared" si="12"/>
        <v>Key-AMB-74</v>
      </c>
      <c r="X74" s="32" t="s">
        <v>339</v>
      </c>
      <c r="Y74" s="43" t="s">
        <v>322</v>
      </c>
      <c r="Z74" s="58" t="s">
        <v>653</v>
      </c>
      <c r="AA74" s="32" t="str">
        <f t="shared" si="11"/>
        <v>Architectural spaces designed and equipped for outdoor or indoor sports activities such as sports courts.</v>
      </c>
    </row>
    <row r="75" spans="1:27" s="36" customFormat="1" ht="6.75" customHeight="1" x14ac:dyDescent="0.25">
      <c r="A75" s="51">
        <v>75</v>
      </c>
      <c r="B75" s="29" t="s">
        <v>675</v>
      </c>
      <c r="C75" s="29" t="s">
        <v>847</v>
      </c>
      <c r="D75" s="29" t="s">
        <v>388</v>
      </c>
      <c r="E75" s="29" t="s">
        <v>480</v>
      </c>
      <c r="F75" s="30" t="s">
        <v>646</v>
      </c>
      <c r="G75" s="46" t="s">
        <v>10</v>
      </c>
      <c r="H75" s="46" t="s">
        <v>10</v>
      </c>
      <c r="I75" s="46" t="s">
        <v>10</v>
      </c>
      <c r="J75" s="46" t="s">
        <v>10</v>
      </c>
      <c r="K75" s="46" t="s">
        <v>10</v>
      </c>
      <c r="L75" s="31" t="str">
        <f t="shared" si="6"/>
        <v>Espacialidade</v>
      </c>
      <c r="M75" s="31" t="str">
        <f t="shared" si="6"/>
        <v>Elementos.Espaciais</v>
      </c>
      <c r="N75" s="31" t="str">
        <f t="shared" si="9"/>
        <v>Ambientes Esportivos</v>
      </c>
      <c r="O75" s="31" t="str">
        <f t="shared" si="9"/>
        <v>Ambiente Piscina Esportiva</v>
      </c>
      <c r="P75" s="32" t="s">
        <v>461</v>
      </c>
      <c r="Q75" s="32" t="str">
        <f t="shared" si="13"/>
        <v>Espacios arquitectónicos diseñados y equipados para actividades acuáticas al aire libre o interior, como piscinas deportivas.</v>
      </c>
      <c r="R75" s="58" t="s">
        <v>10</v>
      </c>
      <c r="S75" s="32" t="str">
        <f t="shared" si="10"/>
        <v>Espacialidade</v>
      </c>
      <c r="T75" s="32" t="str">
        <f t="shared" si="10"/>
        <v>Elementos Espaciais</v>
      </c>
      <c r="U75" s="32" t="str">
        <f t="shared" si="10"/>
        <v>Ambientes Esportivos</v>
      </c>
      <c r="V75" s="32" t="s">
        <v>184</v>
      </c>
      <c r="W75" s="47" t="str">
        <f t="shared" si="12"/>
        <v>Key-AMB-75</v>
      </c>
      <c r="X75" s="32" t="s">
        <v>339</v>
      </c>
      <c r="Y75" s="43" t="s">
        <v>322</v>
      </c>
      <c r="Z75" s="58" t="s">
        <v>653</v>
      </c>
      <c r="AA75" s="32" t="str">
        <f t="shared" si="11"/>
        <v>Architectural spaces designed and equipped for outdoor or indoor water sports activities such as sports pools.</v>
      </c>
    </row>
    <row r="76" spans="1:27" s="36" customFormat="1" ht="6.75" customHeight="1" x14ac:dyDescent="0.25">
      <c r="A76" s="51">
        <v>76</v>
      </c>
      <c r="B76" s="29" t="s">
        <v>675</v>
      </c>
      <c r="C76" s="29" t="s">
        <v>847</v>
      </c>
      <c r="D76" s="29" t="s">
        <v>388</v>
      </c>
      <c r="E76" s="29" t="s">
        <v>480</v>
      </c>
      <c r="F76" s="30" t="s">
        <v>647</v>
      </c>
      <c r="G76" s="46" t="s">
        <v>10</v>
      </c>
      <c r="H76" s="46" t="s">
        <v>10</v>
      </c>
      <c r="I76" s="46" t="s">
        <v>10</v>
      </c>
      <c r="J76" s="46" t="s">
        <v>10</v>
      </c>
      <c r="K76" s="46" t="s">
        <v>10</v>
      </c>
      <c r="L76" s="31" t="str">
        <f t="shared" si="6"/>
        <v>Espacialidade</v>
      </c>
      <c r="M76" s="31" t="str">
        <f t="shared" si="6"/>
        <v>Elementos.Espaciais</v>
      </c>
      <c r="N76" s="31" t="str">
        <f t="shared" si="9"/>
        <v>Ambientes Esportivos</v>
      </c>
      <c r="O76" s="31" t="str">
        <f t="shared" si="9"/>
        <v>Ambiente Pista Esportiva</v>
      </c>
      <c r="P76" s="32" t="s">
        <v>478</v>
      </c>
      <c r="Q76" s="32" t="str">
        <f t="shared" si="13"/>
        <v>Espacios arquitectónicos dimensionados y equipados para actividades deportivas de competición en pistas deportivas.</v>
      </c>
      <c r="R76" s="58" t="s">
        <v>10</v>
      </c>
      <c r="S76" s="32" t="str">
        <f t="shared" si="10"/>
        <v>Espacialidade</v>
      </c>
      <c r="T76" s="32" t="str">
        <f t="shared" si="10"/>
        <v>Elementos Espaciais</v>
      </c>
      <c r="U76" s="32" t="str">
        <f t="shared" si="10"/>
        <v>Ambientes Esportivos</v>
      </c>
      <c r="V76" s="32" t="s">
        <v>184</v>
      </c>
      <c r="W76" s="47" t="str">
        <f t="shared" si="12"/>
        <v>Key-AMB-76</v>
      </c>
      <c r="X76" s="32" t="s">
        <v>339</v>
      </c>
      <c r="Y76" s="43" t="s">
        <v>322</v>
      </c>
      <c r="Z76" s="58" t="s">
        <v>653</v>
      </c>
      <c r="AA76" s="32" t="str">
        <f t="shared" si="11"/>
        <v>Architectural spaces sized and equipped for sports activities of racing on sports tracks.</v>
      </c>
    </row>
    <row r="77" spans="1:27" s="36" customFormat="1" ht="6.75" customHeight="1" x14ac:dyDescent="0.25">
      <c r="A77" s="51">
        <v>77</v>
      </c>
      <c r="B77" s="29" t="s">
        <v>675</v>
      </c>
      <c r="C77" s="29" t="s">
        <v>847</v>
      </c>
      <c r="D77" s="29" t="s">
        <v>388</v>
      </c>
      <c r="E77" s="29" t="s">
        <v>480</v>
      </c>
      <c r="F77" s="30" t="s">
        <v>648</v>
      </c>
      <c r="G77" s="46" t="s">
        <v>10</v>
      </c>
      <c r="H77" s="46" t="s">
        <v>10</v>
      </c>
      <c r="I77" s="46" t="s">
        <v>10</v>
      </c>
      <c r="J77" s="46" t="s">
        <v>10</v>
      </c>
      <c r="K77" s="46" t="s">
        <v>10</v>
      </c>
      <c r="L77" s="31" t="str">
        <f t="shared" si="6"/>
        <v>Espacialidade</v>
      </c>
      <c r="M77" s="31" t="str">
        <f t="shared" si="6"/>
        <v>Elementos.Espaciais</v>
      </c>
      <c r="N77" s="31" t="str">
        <f t="shared" si="9"/>
        <v>Ambientes Esportivos</v>
      </c>
      <c r="O77" s="31" t="str">
        <f t="shared" si="9"/>
        <v>Ambiente Arquibancada</v>
      </c>
      <c r="P77" s="32" t="s">
        <v>462</v>
      </c>
      <c r="Q77" s="32" t="str">
        <f t="shared" si="13"/>
        <v>Espacios arquitectónicos dimensionados y equipados para que el público pueda ver un evento deportivo como Grandstand.</v>
      </c>
      <c r="R77" s="58" t="s">
        <v>10</v>
      </c>
      <c r="S77" s="32" t="str">
        <f t="shared" si="10"/>
        <v>Espacialidade</v>
      </c>
      <c r="T77" s="32" t="str">
        <f t="shared" si="10"/>
        <v>Elementos Espaciais</v>
      </c>
      <c r="U77" s="32" t="str">
        <f t="shared" si="10"/>
        <v>Ambientes Esportivos</v>
      </c>
      <c r="V77" s="32" t="s">
        <v>184</v>
      </c>
      <c r="W77" s="47" t="str">
        <f t="shared" si="12"/>
        <v>Key-AMB-77</v>
      </c>
      <c r="X77" s="32" t="s">
        <v>339</v>
      </c>
      <c r="Y77" s="43" t="s">
        <v>322</v>
      </c>
      <c r="Z77" s="58" t="s">
        <v>653</v>
      </c>
      <c r="AA77" s="32" t="str">
        <f t="shared" si="11"/>
        <v>Architectural spaces sized and equipped for the public to see a sporting event like Grandstand.</v>
      </c>
    </row>
    <row r="78" spans="1:27" s="36" customFormat="1" ht="6.75" customHeight="1" x14ac:dyDescent="0.25">
      <c r="A78" s="51">
        <v>78</v>
      </c>
      <c r="B78" s="29" t="s">
        <v>675</v>
      </c>
      <c r="C78" s="29" t="s">
        <v>847</v>
      </c>
      <c r="D78" s="29" t="s">
        <v>388</v>
      </c>
      <c r="E78" s="29" t="s">
        <v>480</v>
      </c>
      <c r="F78" s="30" t="s">
        <v>649</v>
      </c>
      <c r="G78" s="46" t="s">
        <v>10</v>
      </c>
      <c r="H78" s="46" t="s">
        <v>10</v>
      </c>
      <c r="I78" s="46" t="s">
        <v>10</v>
      </c>
      <c r="J78" s="46" t="s">
        <v>10</v>
      </c>
      <c r="K78" s="46" t="s">
        <v>10</v>
      </c>
      <c r="L78" s="31" t="str">
        <f t="shared" si="6"/>
        <v>Espacialidade</v>
      </c>
      <c r="M78" s="31" t="str">
        <f t="shared" si="6"/>
        <v>Elementos.Espaciais</v>
      </c>
      <c r="N78" s="31" t="str">
        <f t="shared" si="9"/>
        <v>Ambientes Esportivos</v>
      </c>
      <c r="O78" s="31" t="str">
        <f t="shared" si="9"/>
        <v>Ambiente Vestiário Esportivo</v>
      </c>
      <c r="P78" s="32" t="s">
        <v>463</v>
      </c>
      <c r="Q78" s="32" t="str">
        <f t="shared" si="13"/>
        <v>Espacios arquitectónicos de tamaño y equipamiento para vestuarios deportivos.</v>
      </c>
      <c r="R78" s="58" t="s">
        <v>10</v>
      </c>
      <c r="S78" s="32" t="str">
        <f t="shared" si="10"/>
        <v>Espacialidade</v>
      </c>
      <c r="T78" s="32" t="str">
        <f t="shared" si="10"/>
        <v>Elementos Espaciais</v>
      </c>
      <c r="U78" s="32" t="str">
        <f t="shared" si="10"/>
        <v>Ambientes Esportivos</v>
      </c>
      <c r="V78" s="32" t="s">
        <v>184</v>
      </c>
      <c r="W78" s="47" t="str">
        <f t="shared" si="12"/>
        <v>Key-AMB-78</v>
      </c>
      <c r="X78" s="32" t="s">
        <v>339</v>
      </c>
      <c r="Y78" s="43" t="s">
        <v>322</v>
      </c>
      <c r="Z78" s="58" t="s">
        <v>653</v>
      </c>
      <c r="AA78" s="32" t="str">
        <f t="shared" si="11"/>
        <v>Architectural spaces sized and equipped for sports locker room.</v>
      </c>
    </row>
    <row r="79" spans="1:27" s="36" customFormat="1" ht="6.75" customHeight="1" x14ac:dyDescent="0.25">
      <c r="A79" s="51">
        <v>79</v>
      </c>
      <c r="B79" s="29" t="s">
        <v>675</v>
      </c>
      <c r="C79" s="29" t="s">
        <v>847</v>
      </c>
      <c r="D79" s="29" t="s">
        <v>388</v>
      </c>
      <c r="E79" s="29" t="s">
        <v>413</v>
      </c>
      <c r="F79" s="30" t="s">
        <v>307</v>
      </c>
      <c r="G79" s="46" t="s">
        <v>10</v>
      </c>
      <c r="H79" s="46" t="s">
        <v>10</v>
      </c>
      <c r="I79" s="46" t="s">
        <v>10</v>
      </c>
      <c r="J79" s="46" t="s">
        <v>10</v>
      </c>
      <c r="K79" s="46" t="s">
        <v>10</v>
      </c>
      <c r="L79" s="31" t="str">
        <f t="shared" si="6"/>
        <v>Espacialidade</v>
      </c>
      <c r="M79" s="31" t="str">
        <f t="shared" si="6"/>
        <v>Elementos.Espaciais</v>
      </c>
      <c r="N79" s="31" t="str">
        <f t="shared" si="9"/>
        <v>Sanitários Coletivos</v>
      </c>
      <c r="O79" s="31" t="str">
        <f t="shared" si="9"/>
        <v>Sanitário Masculino</v>
      </c>
      <c r="P79" s="32" t="s">
        <v>464</v>
      </c>
      <c r="Q79" s="32" t="str">
        <f t="shared" si="13"/>
        <v>Espacios arquitectónicos dimensionados y equipados con partes sanitarias para uso masculino.</v>
      </c>
      <c r="R79" s="58" t="s">
        <v>10</v>
      </c>
      <c r="S79" s="32" t="str">
        <f t="shared" si="10"/>
        <v>Espacialidade</v>
      </c>
      <c r="T79" s="32" t="str">
        <f t="shared" si="10"/>
        <v>Elementos Espaciais</v>
      </c>
      <c r="U79" s="32" t="str">
        <f t="shared" si="10"/>
        <v>Sanitários Coletivos</v>
      </c>
      <c r="V79" s="32" t="s">
        <v>184</v>
      </c>
      <c r="W79" s="47" t="str">
        <f t="shared" si="12"/>
        <v>Key-AMB-79</v>
      </c>
      <c r="X79" s="32" t="s">
        <v>339</v>
      </c>
      <c r="Y79" s="43" t="s">
        <v>322</v>
      </c>
      <c r="Z79" s="58" t="s">
        <v>364</v>
      </c>
      <c r="AA79" s="32" t="str">
        <f t="shared" si="11"/>
        <v>Architectural spaces sized and equipped with sanitary parts for male use.</v>
      </c>
    </row>
    <row r="80" spans="1:27" s="36" customFormat="1" ht="6.75" customHeight="1" x14ac:dyDescent="0.25">
      <c r="A80" s="51">
        <v>80</v>
      </c>
      <c r="B80" s="29" t="s">
        <v>675</v>
      </c>
      <c r="C80" s="29" t="s">
        <v>847</v>
      </c>
      <c r="D80" s="29" t="s">
        <v>388</v>
      </c>
      <c r="E80" s="29" t="s">
        <v>413</v>
      </c>
      <c r="F80" s="30" t="s">
        <v>308</v>
      </c>
      <c r="G80" s="46" t="s">
        <v>10</v>
      </c>
      <c r="H80" s="46" t="s">
        <v>10</v>
      </c>
      <c r="I80" s="46" t="s">
        <v>10</v>
      </c>
      <c r="J80" s="46" t="s">
        <v>10</v>
      </c>
      <c r="K80" s="46" t="s">
        <v>10</v>
      </c>
      <c r="L80" s="31" t="str">
        <f t="shared" si="6"/>
        <v>Espacialidade</v>
      </c>
      <c r="M80" s="31" t="str">
        <f t="shared" si="6"/>
        <v>Elementos.Espaciais</v>
      </c>
      <c r="N80" s="31" t="str">
        <f t="shared" si="9"/>
        <v>Sanitários Coletivos</v>
      </c>
      <c r="O80" s="31" t="str">
        <f t="shared" si="9"/>
        <v>Sanitário Feminino</v>
      </c>
      <c r="P80" s="32" t="s">
        <v>464</v>
      </c>
      <c r="Q80" s="32" t="str">
        <f t="shared" si="13"/>
        <v>Espacios arquitectónicos dimensionados y equipados con partes sanitarias para uso masculino.</v>
      </c>
      <c r="R80" s="58" t="s">
        <v>10</v>
      </c>
      <c r="S80" s="32" t="str">
        <f t="shared" si="10"/>
        <v>Espacialidade</v>
      </c>
      <c r="T80" s="32" t="str">
        <f t="shared" si="10"/>
        <v>Elementos Espaciais</v>
      </c>
      <c r="U80" s="32" t="str">
        <f t="shared" si="10"/>
        <v>Sanitários Coletivos</v>
      </c>
      <c r="V80" s="32" t="s">
        <v>184</v>
      </c>
      <c r="W80" s="47" t="str">
        <f t="shared" si="12"/>
        <v>Key-AMB-80</v>
      </c>
      <c r="X80" s="32" t="s">
        <v>339</v>
      </c>
      <c r="Y80" s="43" t="s">
        <v>322</v>
      </c>
      <c r="Z80" s="58" t="s">
        <v>364</v>
      </c>
      <c r="AA80" s="32" t="str">
        <f t="shared" si="11"/>
        <v>Architectural spaces sized and equipped with sanitary parts for male use.</v>
      </c>
    </row>
    <row r="81" spans="1:27" s="36" customFormat="1" ht="6.75" customHeight="1" x14ac:dyDescent="0.25">
      <c r="A81" s="51">
        <v>81</v>
      </c>
      <c r="B81" s="29" t="s">
        <v>675</v>
      </c>
      <c r="C81" s="29" t="s">
        <v>847</v>
      </c>
      <c r="D81" s="29" t="s">
        <v>388</v>
      </c>
      <c r="E81" s="29" t="s">
        <v>413</v>
      </c>
      <c r="F81" s="30" t="s">
        <v>309</v>
      </c>
      <c r="G81" s="46" t="s">
        <v>10</v>
      </c>
      <c r="H81" s="46" t="s">
        <v>10</v>
      </c>
      <c r="I81" s="46" t="s">
        <v>10</v>
      </c>
      <c r="J81" s="46" t="s">
        <v>10</v>
      </c>
      <c r="K81" s="46" t="s">
        <v>10</v>
      </c>
      <c r="L81" s="31" t="str">
        <f t="shared" si="6"/>
        <v>Espacialidade</v>
      </c>
      <c r="M81" s="31" t="str">
        <f t="shared" si="6"/>
        <v>Elementos.Espaciais</v>
      </c>
      <c r="N81" s="31" t="str">
        <f t="shared" si="9"/>
        <v>Sanitários Coletivos</v>
      </c>
      <c r="O81" s="31" t="str">
        <f t="shared" si="9"/>
        <v>Sanitário Indiferenciado</v>
      </c>
      <c r="P81" s="32" t="s">
        <v>465</v>
      </c>
      <c r="Q81" s="32" t="str">
        <f t="shared" si="13"/>
        <v>Espacios arquitectónicos dimensionados y equipados con componentes sanitarios para uso común tanto por mujeres como por hombres.</v>
      </c>
      <c r="R81" s="58" t="s">
        <v>10</v>
      </c>
      <c r="S81" s="32" t="str">
        <f t="shared" si="10"/>
        <v>Espacialidade</v>
      </c>
      <c r="T81" s="32" t="str">
        <f t="shared" si="10"/>
        <v>Elementos Espaciais</v>
      </c>
      <c r="U81" s="32" t="str">
        <f t="shared" si="10"/>
        <v>Sanitários Coletivos</v>
      </c>
      <c r="V81" s="32" t="s">
        <v>184</v>
      </c>
      <c r="W81" s="47" t="str">
        <f t="shared" si="12"/>
        <v>Key-AMB-81</v>
      </c>
      <c r="X81" s="32" t="s">
        <v>339</v>
      </c>
      <c r="Y81" s="43" t="s">
        <v>322</v>
      </c>
      <c r="Z81" s="58" t="s">
        <v>364</v>
      </c>
      <c r="AA81" s="32" t="str">
        <f t="shared" si="11"/>
        <v>Architectural spaces sized and equipped with sanitary parts for common use by women and men.</v>
      </c>
    </row>
    <row r="82" spans="1:27" s="36" customFormat="1" ht="6.75" customHeight="1" x14ac:dyDescent="0.25">
      <c r="A82" s="51">
        <v>82</v>
      </c>
      <c r="B82" s="29" t="s">
        <v>675</v>
      </c>
      <c r="C82" s="29" t="s">
        <v>847</v>
      </c>
      <c r="D82" s="29" t="s">
        <v>388</v>
      </c>
      <c r="E82" s="29" t="s">
        <v>413</v>
      </c>
      <c r="F82" s="30" t="s">
        <v>411</v>
      </c>
      <c r="G82" s="46" t="s">
        <v>10</v>
      </c>
      <c r="H82" s="46" t="s">
        <v>10</v>
      </c>
      <c r="I82" s="46" t="s">
        <v>10</v>
      </c>
      <c r="J82" s="46" t="s">
        <v>10</v>
      </c>
      <c r="K82" s="46" t="s">
        <v>10</v>
      </c>
      <c r="L82" s="31" t="str">
        <f t="shared" si="6"/>
        <v>Espacialidade</v>
      </c>
      <c r="M82" s="31" t="str">
        <f t="shared" si="6"/>
        <v>Elementos.Espaciais</v>
      </c>
      <c r="N82" s="31" t="str">
        <f t="shared" si="9"/>
        <v>Sanitários Coletivos</v>
      </c>
      <c r="O82" s="31" t="str">
        <f t="shared" si="9"/>
        <v>Sanitário PNE</v>
      </c>
      <c r="P82" s="32" t="s">
        <v>466</v>
      </c>
      <c r="Q82" s="32" t="str">
        <f t="shared" si="13"/>
        <v>Espacios arquitectónicos dimensionados y equipados con componentes sanitarios para uso de personas con necesidades especiales (PNE).</v>
      </c>
      <c r="R82" s="58" t="s">
        <v>10</v>
      </c>
      <c r="S82" s="32" t="str">
        <f t="shared" si="10"/>
        <v>Espacialidade</v>
      </c>
      <c r="T82" s="32" t="str">
        <f t="shared" si="10"/>
        <v>Elementos Espaciais</v>
      </c>
      <c r="U82" s="32" t="str">
        <f t="shared" si="10"/>
        <v>Sanitários Coletivos</v>
      </c>
      <c r="V82" s="32" t="s">
        <v>184</v>
      </c>
      <c r="W82" s="47" t="str">
        <f t="shared" si="12"/>
        <v>Key-AMB-82</v>
      </c>
      <c r="X82" s="32" t="s">
        <v>339</v>
      </c>
      <c r="Y82" s="43" t="s">
        <v>322</v>
      </c>
      <c r="Z82" s="58" t="s">
        <v>364</v>
      </c>
      <c r="AA82" s="32" t="str">
        <f t="shared" si="11"/>
        <v>Architectural spaces sized and equipped with sanitary parts for use by people with special needs (PNE).</v>
      </c>
    </row>
    <row r="83" spans="1:27" s="36" customFormat="1" ht="6.75" customHeight="1" x14ac:dyDescent="0.25">
      <c r="A83" s="51">
        <v>83</v>
      </c>
      <c r="B83" s="29" t="s">
        <v>675</v>
      </c>
      <c r="C83" s="29" t="s">
        <v>847</v>
      </c>
      <c r="D83" s="29" t="s">
        <v>388</v>
      </c>
      <c r="E83" s="29" t="s">
        <v>413</v>
      </c>
      <c r="F83" s="30" t="s">
        <v>410</v>
      </c>
      <c r="G83" s="46" t="s">
        <v>10</v>
      </c>
      <c r="H83" s="46" t="s">
        <v>10</v>
      </c>
      <c r="I83" s="46" t="s">
        <v>10</v>
      </c>
      <c r="J83" s="46" t="s">
        <v>10</v>
      </c>
      <c r="K83" s="46" t="s">
        <v>10</v>
      </c>
      <c r="L83" s="31" t="str">
        <f t="shared" si="6"/>
        <v>Espacialidade</v>
      </c>
      <c r="M83" s="31" t="str">
        <f t="shared" si="6"/>
        <v>Elementos.Espaciais</v>
      </c>
      <c r="N83" s="31" t="str">
        <f t="shared" si="9"/>
        <v>Sanitários Coletivos</v>
      </c>
      <c r="O83" s="31" t="str">
        <f t="shared" si="9"/>
        <v>Sanitário WC</v>
      </c>
      <c r="P83" s="32" t="s">
        <v>467</v>
      </c>
      <c r="Q83" s="32" t="str">
        <f t="shared" si="13"/>
        <v>Espacios arquitectónicos de tamaño y equipamiento con partes sanitarias de un pequeño baño.</v>
      </c>
      <c r="R83" s="58" t="s">
        <v>10</v>
      </c>
      <c r="S83" s="32" t="str">
        <f t="shared" si="10"/>
        <v>Espacialidade</v>
      </c>
      <c r="T83" s="32" t="str">
        <f t="shared" si="10"/>
        <v>Elementos Espaciais</v>
      </c>
      <c r="U83" s="32" t="str">
        <f t="shared" si="10"/>
        <v>Sanitários Coletivos</v>
      </c>
      <c r="V83" s="32" t="s">
        <v>184</v>
      </c>
      <c r="W83" s="47" t="str">
        <f t="shared" si="12"/>
        <v>Key-AMB-83</v>
      </c>
      <c r="X83" s="32" t="s">
        <v>339</v>
      </c>
      <c r="Y83" s="43" t="s">
        <v>322</v>
      </c>
      <c r="Z83" s="58" t="s">
        <v>364</v>
      </c>
      <c r="AA83" s="32" t="str">
        <f t="shared" si="11"/>
        <v>Architectural spaces sized and equipped with sanitary parts of a small bathroom.</v>
      </c>
    </row>
    <row r="84" spans="1:27" s="36" customFormat="1" ht="6.75" customHeight="1" x14ac:dyDescent="0.25">
      <c r="A84" s="51">
        <v>84</v>
      </c>
      <c r="B84" s="29" t="s">
        <v>675</v>
      </c>
      <c r="C84" s="29" t="s">
        <v>847</v>
      </c>
      <c r="D84" s="29" t="s">
        <v>388</v>
      </c>
      <c r="E84" s="29" t="s">
        <v>481</v>
      </c>
      <c r="F84" s="30" t="s">
        <v>606</v>
      </c>
      <c r="G84" s="46" t="s">
        <v>10</v>
      </c>
      <c r="H84" s="46" t="s">
        <v>10</v>
      </c>
      <c r="I84" s="46" t="s">
        <v>10</v>
      </c>
      <c r="J84" s="46" t="s">
        <v>10</v>
      </c>
      <c r="K84" s="46" t="s">
        <v>10</v>
      </c>
      <c r="L84" s="31" t="str">
        <f t="shared" si="6"/>
        <v>Espacialidade</v>
      </c>
      <c r="M84" s="31" t="str">
        <f t="shared" si="6"/>
        <v>Elementos.Espaciais</v>
      </c>
      <c r="N84" s="31" t="str">
        <f t="shared" si="9"/>
        <v>Ambientes Comerciais</v>
      </c>
      <c r="O84" s="31" t="str">
        <f t="shared" si="9"/>
        <v>Ambiente Trabalho</v>
      </c>
      <c r="P84" s="32" t="s">
        <v>468</v>
      </c>
      <c r="Q84" s="32" t="str">
        <f t="shared" si="13"/>
        <v>Espacios arquitectónicos dimensionados y equipados para trabajos comerciales administrativos.</v>
      </c>
      <c r="R84" s="58" t="s">
        <v>10</v>
      </c>
      <c r="S84" s="32" t="str">
        <f t="shared" si="10"/>
        <v>Espacialidade</v>
      </c>
      <c r="T84" s="32" t="str">
        <f t="shared" si="10"/>
        <v>Elementos Espaciais</v>
      </c>
      <c r="U84" s="32" t="str">
        <f t="shared" si="10"/>
        <v>Ambientes Comerciais</v>
      </c>
      <c r="V84" s="32" t="s">
        <v>184</v>
      </c>
      <c r="W84" s="47" t="str">
        <f t="shared" si="12"/>
        <v>Key-AMB-84</v>
      </c>
      <c r="X84" s="32" t="s">
        <v>339</v>
      </c>
      <c r="Y84" s="43" t="s">
        <v>322</v>
      </c>
      <c r="Z84" s="58" t="s">
        <v>653</v>
      </c>
      <c r="AA84" s="32" t="str">
        <f t="shared" si="11"/>
        <v>Architectural spaces sized and equipped for administrative commercial work.</v>
      </c>
    </row>
    <row r="85" spans="1:27" s="36" customFormat="1" ht="6.75" customHeight="1" x14ac:dyDescent="0.25">
      <c r="A85" s="51">
        <v>85</v>
      </c>
      <c r="B85" s="29" t="s">
        <v>675</v>
      </c>
      <c r="C85" s="29" t="s">
        <v>847</v>
      </c>
      <c r="D85" s="29" t="s">
        <v>388</v>
      </c>
      <c r="E85" s="29" t="s">
        <v>481</v>
      </c>
      <c r="F85" s="30" t="s">
        <v>607</v>
      </c>
      <c r="G85" s="46" t="s">
        <v>10</v>
      </c>
      <c r="H85" s="46" t="s">
        <v>10</v>
      </c>
      <c r="I85" s="46" t="s">
        <v>10</v>
      </c>
      <c r="J85" s="46" t="s">
        <v>10</v>
      </c>
      <c r="K85" s="46" t="s">
        <v>10</v>
      </c>
      <c r="L85" s="31" t="str">
        <f t="shared" si="6"/>
        <v>Espacialidade</v>
      </c>
      <c r="M85" s="31" t="str">
        <f t="shared" si="6"/>
        <v>Elementos.Espaciais</v>
      </c>
      <c r="N85" s="31" t="str">
        <f t="shared" si="9"/>
        <v>Ambientes Comerciais</v>
      </c>
      <c r="O85" s="31" t="str">
        <f t="shared" si="9"/>
        <v>Ambiente Trocas</v>
      </c>
      <c r="P85" s="32" t="s">
        <v>548</v>
      </c>
      <c r="Q85" s="32" t="str">
        <f t="shared" si="13"/>
        <v>Espacios arquitectónicos dimensionados y equipados para actividades comerciales como la compra, venta o intercambio de productos con participación pública. Pueden ser taquillas o espacios de servicio.</v>
      </c>
      <c r="R85" s="58" t="s">
        <v>10</v>
      </c>
      <c r="S85" s="32" t="str">
        <f t="shared" si="10"/>
        <v>Espacialidade</v>
      </c>
      <c r="T85" s="32" t="str">
        <f t="shared" si="10"/>
        <v>Elementos Espaciais</v>
      </c>
      <c r="U85" s="32" t="str">
        <f t="shared" si="10"/>
        <v>Ambientes Comerciais</v>
      </c>
      <c r="V85" s="32" t="s">
        <v>184</v>
      </c>
      <c r="W85" s="47" t="str">
        <f t="shared" si="12"/>
        <v>Key-AMB-85</v>
      </c>
      <c r="X85" s="32" t="s">
        <v>339</v>
      </c>
      <c r="Y85" s="43" t="s">
        <v>322</v>
      </c>
      <c r="Z85" s="58" t="s">
        <v>653</v>
      </c>
      <c r="AA85" s="32" t="str">
        <f t="shared" si="11"/>
        <v>Architectural spaces sized and equipped for commercial activities such as buying, selling or exchanging products with public participation. They can be ticket offices or service spaces.</v>
      </c>
    </row>
    <row r="86" spans="1:27" s="36" customFormat="1" ht="6.75" customHeight="1" x14ac:dyDescent="0.25">
      <c r="A86" s="51">
        <v>86</v>
      </c>
      <c r="B86" s="29" t="s">
        <v>675</v>
      </c>
      <c r="C86" s="29" t="s">
        <v>847</v>
      </c>
      <c r="D86" s="29" t="s">
        <v>388</v>
      </c>
      <c r="E86" s="29" t="s">
        <v>482</v>
      </c>
      <c r="F86" s="30" t="s">
        <v>608</v>
      </c>
      <c r="G86" s="46" t="s">
        <v>10</v>
      </c>
      <c r="H86" s="46" t="s">
        <v>10</v>
      </c>
      <c r="I86" s="46" t="s">
        <v>10</v>
      </c>
      <c r="J86" s="46" t="s">
        <v>10</v>
      </c>
      <c r="K86" s="46" t="s">
        <v>10</v>
      </c>
      <c r="L86" s="31" t="str">
        <f t="shared" si="6"/>
        <v>Espacialidade</v>
      </c>
      <c r="M86" s="31" t="str">
        <f t="shared" si="6"/>
        <v>Elementos.Espaciais</v>
      </c>
      <c r="N86" s="31" t="str">
        <f t="shared" si="9"/>
        <v>Ambientes Habitacionais</v>
      </c>
      <c r="O86" s="31" t="str">
        <f t="shared" si="9"/>
        <v>Ambiente Social</v>
      </c>
      <c r="P86" s="32" t="s">
        <v>469</v>
      </c>
      <c r="Q86" s="32" t="str">
        <f t="shared" si="13"/>
        <v>Espacios arquitectónicos dimensionados y equipados para la función residencial de la vivienda: espacios arquitectónicos, balcones, etc.</v>
      </c>
      <c r="R86" s="58" t="s">
        <v>10</v>
      </c>
      <c r="S86" s="32" t="str">
        <f t="shared" si="10"/>
        <v>Espacialidade</v>
      </c>
      <c r="T86" s="32" t="str">
        <f t="shared" si="10"/>
        <v>Elementos Espaciais</v>
      </c>
      <c r="U86" s="32" t="str">
        <f t="shared" si="10"/>
        <v>Ambientes Habitacionais</v>
      </c>
      <c r="V86" s="32" t="s">
        <v>184</v>
      </c>
      <c r="W86" s="47" t="str">
        <f t="shared" si="12"/>
        <v>Key-AMB-86</v>
      </c>
      <c r="X86" s="32" t="s">
        <v>339</v>
      </c>
      <c r="Y86" s="43" t="s">
        <v>322</v>
      </c>
      <c r="Z86" s="58" t="s">
        <v>653</v>
      </c>
      <c r="AA86" s="32" t="str">
        <f t="shared" si="11"/>
        <v>Architectural spaces sized and equipped for residential function of Living - Architectural spaces, Balconies, etc.</v>
      </c>
    </row>
    <row r="87" spans="1:27" s="36" customFormat="1" ht="6.75" customHeight="1" x14ac:dyDescent="0.25">
      <c r="A87" s="51">
        <v>87</v>
      </c>
      <c r="B87" s="29" t="s">
        <v>675</v>
      </c>
      <c r="C87" s="29" t="s">
        <v>847</v>
      </c>
      <c r="D87" s="29" t="s">
        <v>388</v>
      </c>
      <c r="E87" s="29" t="s">
        <v>482</v>
      </c>
      <c r="F87" s="30" t="s">
        <v>609</v>
      </c>
      <c r="G87" s="46" t="s">
        <v>10</v>
      </c>
      <c r="H87" s="46" t="s">
        <v>10</v>
      </c>
      <c r="I87" s="46" t="s">
        <v>10</v>
      </c>
      <c r="J87" s="46" t="s">
        <v>10</v>
      </c>
      <c r="K87" s="46" t="s">
        <v>10</v>
      </c>
      <c r="L87" s="31" t="str">
        <f t="shared" si="6"/>
        <v>Espacialidade</v>
      </c>
      <c r="M87" s="31" t="str">
        <f t="shared" si="6"/>
        <v>Elementos.Espaciais</v>
      </c>
      <c r="N87" s="31" t="str">
        <f t="shared" si="9"/>
        <v>Ambientes Habitacionais</v>
      </c>
      <c r="O87" s="31" t="str">
        <f t="shared" si="9"/>
        <v>Ambiente Intimo</v>
      </c>
      <c r="P87" s="32" t="s">
        <v>470</v>
      </c>
      <c r="Q87" s="32" t="str">
        <f t="shared" si="13"/>
        <v>Espacios arquitectónicos dimensionados y equipados para funciones residenciales íntimas: dormitorios, vestidores, etc.</v>
      </c>
      <c r="R87" s="58" t="s">
        <v>10</v>
      </c>
      <c r="S87" s="32" t="str">
        <f t="shared" si="10"/>
        <v>Espacialidade</v>
      </c>
      <c r="T87" s="32" t="str">
        <f t="shared" si="10"/>
        <v>Elementos Espaciais</v>
      </c>
      <c r="U87" s="32" t="str">
        <f t="shared" si="10"/>
        <v>Ambientes Habitacionais</v>
      </c>
      <c r="V87" s="32" t="s">
        <v>184</v>
      </c>
      <c r="W87" s="47" t="str">
        <f t="shared" si="12"/>
        <v>Key-AMB-87</v>
      </c>
      <c r="X87" s="32" t="s">
        <v>339</v>
      </c>
      <c r="Y87" s="43" t="s">
        <v>322</v>
      </c>
      <c r="Z87" s="58" t="s">
        <v>653</v>
      </c>
      <c r="AA87" s="32" t="str">
        <f t="shared" si="11"/>
        <v>Architectural spaces sized and equipped for intimate residential function - Bedrooms, Dressing rooms, etc.</v>
      </c>
    </row>
    <row r="88" spans="1:27" s="36" customFormat="1" ht="6.75" customHeight="1" x14ac:dyDescent="0.25">
      <c r="A88" s="51">
        <v>88</v>
      </c>
      <c r="B88" s="29" t="s">
        <v>675</v>
      </c>
      <c r="C88" s="29" t="s">
        <v>847</v>
      </c>
      <c r="D88" s="29" t="s">
        <v>388</v>
      </c>
      <c r="E88" s="29" t="s">
        <v>482</v>
      </c>
      <c r="F88" s="30" t="s">
        <v>610</v>
      </c>
      <c r="G88" s="46" t="s">
        <v>10</v>
      </c>
      <c r="H88" s="46" t="s">
        <v>10</v>
      </c>
      <c r="I88" s="46" t="s">
        <v>10</v>
      </c>
      <c r="J88" s="46" t="s">
        <v>10</v>
      </c>
      <c r="K88" s="46" t="s">
        <v>10</v>
      </c>
      <c r="L88" s="31" t="str">
        <f t="shared" si="6"/>
        <v>Espacialidade</v>
      </c>
      <c r="M88" s="31" t="str">
        <f t="shared" si="6"/>
        <v>Elementos.Espaciais</v>
      </c>
      <c r="N88" s="31" t="str">
        <f t="shared" si="9"/>
        <v>Ambientes Habitacionais</v>
      </c>
      <c r="O88" s="31" t="str">
        <f t="shared" si="9"/>
        <v>Ambiente Higiene</v>
      </c>
      <c r="P88" s="32" t="s">
        <v>471</v>
      </c>
      <c r="Q88" s="32" t="str">
        <f t="shared" si="13"/>
        <v>Espacios arquitectónicos dimensionados y equipados para la higiene residencial - baños, aseos, etc.</v>
      </c>
      <c r="R88" s="58" t="s">
        <v>10</v>
      </c>
      <c r="S88" s="32" t="str">
        <f t="shared" si="10"/>
        <v>Espacialidade</v>
      </c>
      <c r="T88" s="32" t="str">
        <f t="shared" si="10"/>
        <v>Elementos Espaciais</v>
      </c>
      <c r="U88" s="32" t="str">
        <f t="shared" si="10"/>
        <v>Ambientes Habitacionais</v>
      </c>
      <c r="V88" s="32" t="s">
        <v>184</v>
      </c>
      <c r="W88" s="47" t="str">
        <f t="shared" si="12"/>
        <v>Key-AMB-88</v>
      </c>
      <c r="X88" s="32" t="s">
        <v>339</v>
      </c>
      <c r="Y88" s="43" t="s">
        <v>322</v>
      </c>
      <c r="Z88" s="58" t="s">
        <v>653</v>
      </c>
      <c r="AA88" s="32" t="str">
        <f t="shared" si="11"/>
        <v>Architectural spaces sized and equipped for residential hygiene function - Bathrooms, toilets, etc.</v>
      </c>
    </row>
    <row r="89" spans="1:27" s="36" customFormat="1" ht="6.75" customHeight="1" x14ac:dyDescent="0.25">
      <c r="A89" s="51">
        <v>89</v>
      </c>
      <c r="B89" s="29" t="s">
        <v>675</v>
      </c>
      <c r="C89" s="29" t="s">
        <v>847</v>
      </c>
      <c r="D89" s="29" t="s">
        <v>388</v>
      </c>
      <c r="E89" s="29" t="s">
        <v>482</v>
      </c>
      <c r="F89" s="30" t="s">
        <v>611</v>
      </c>
      <c r="G89" s="46" t="s">
        <v>10</v>
      </c>
      <c r="H89" s="46" t="s">
        <v>10</v>
      </c>
      <c r="I89" s="46" t="s">
        <v>10</v>
      </c>
      <c r="J89" s="46" t="s">
        <v>10</v>
      </c>
      <c r="K89" s="46" t="s">
        <v>10</v>
      </c>
      <c r="L89" s="31" t="str">
        <f t="shared" si="6"/>
        <v>Espacialidade</v>
      </c>
      <c r="M89" s="31" t="str">
        <f t="shared" si="6"/>
        <v>Elementos.Espaciais</v>
      </c>
      <c r="N89" s="31" t="str">
        <f t="shared" si="9"/>
        <v>Ambientes Habitacionais</v>
      </c>
      <c r="O89" s="31" t="str">
        <f t="shared" si="9"/>
        <v>Ambiente Serviço</v>
      </c>
      <c r="P89" s="32" t="s">
        <v>472</v>
      </c>
      <c r="Q89" s="32" t="str">
        <f t="shared" si="13"/>
        <v>Espacios arquitectónicos dimensionados y equipados para funciones de servicio residencial: áreas, cocinas, etc.</v>
      </c>
      <c r="R89" s="58" t="s">
        <v>10</v>
      </c>
      <c r="S89" s="32" t="str">
        <f t="shared" si="10"/>
        <v>Espacialidade</v>
      </c>
      <c r="T89" s="32" t="str">
        <f t="shared" si="10"/>
        <v>Elementos Espaciais</v>
      </c>
      <c r="U89" s="32" t="str">
        <f t="shared" si="10"/>
        <v>Ambientes Habitacionais</v>
      </c>
      <c r="V89" s="32" t="s">
        <v>184</v>
      </c>
      <c r="W89" s="47" t="str">
        <f t="shared" si="12"/>
        <v>Key-AMB-89</v>
      </c>
      <c r="X89" s="32" t="s">
        <v>339</v>
      </c>
      <c r="Y89" s="43" t="s">
        <v>322</v>
      </c>
      <c r="Z89" s="58" t="s">
        <v>653</v>
      </c>
      <c r="AA89" s="32" t="str">
        <f t="shared" si="11"/>
        <v>Architectural spaces sized and equipped for residential service function - Areas, Kitchens, etc.</v>
      </c>
    </row>
    <row r="90" spans="1:27" s="36" customFormat="1" ht="6.75" customHeight="1" x14ac:dyDescent="0.25">
      <c r="A90" s="51">
        <v>90</v>
      </c>
      <c r="B90" s="29" t="s">
        <v>675</v>
      </c>
      <c r="C90" s="29" t="s">
        <v>847</v>
      </c>
      <c r="D90" s="29" t="s">
        <v>388</v>
      </c>
      <c r="E90" s="29" t="s">
        <v>482</v>
      </c>
      <c r="F90" s="30" t="s">
        <v>612</v>
      </c>
      <c r="G90" s="46" t="s">
        <v>10</v>
      </c>
      <c r="H90" s="46" t="s">
        <v>10</v>
      </c>
      <c r="I90" s="46" t="s">
        <v>10</v>
      </c>
      <c r="J90" s="46" t="s">
        <v>10</v>
      </c>
      <c r="K90" s="46" t="s">
        <v>10</v>
      </c>
      <c r="L90" s="31" t="str">
        <f t="shared" si="6"/>
        <v>Espacialidade</v>
      </c>
      <c r="M90" s="31" t="str">
        <f t="shared" si="6"/>
        <v>Elementos.Espaciais</v>
      </c>
      <c r="N90" s="31" t="str">
        <f t="shared" si="9"/>
        <v>Ambientes Habitacionais</v>
      </c>
      <c r="O90" s="31" t="str">
        <f t="shared" si="9"/>
        <v xml:space="preserve">Ambiente Lazer </v>
      </c>
      <c r="P90" s="32" t="s">
        <v>473</v>
      </c>
      <c r="Q90" s="32" t="str">
        <f t="shared" si="13"/>
        <v>Espacios arquitectónicos de tamaño y equipamiento para funciones residenciales de ocio, como espacios arquitectónicos para televisión, juegos, etc.</v>
      </c>
      <c r="R90" s="58" t="s">
        <v>10</v>
      </c>
      <c r="S90" s="32" t="str">
        <f t="shared" si="10"/>
        <v>Espacialidade</v>
      </c>
      <c r="T90" s="32" t="str">
        <f t="shared" si="10"/>
        <v>Elementos Espaciais</v>
      </c>
      <c r="U90" s="32" t="str">
        <f t="shared" si="10"/>
        <v>Ambientes Habitacionais</v>
      </c>
      <c r="V90" s="32" t="s">
        <v>184</v>
      </c>
      <c r="W90" s="47" t="str">
        <f t="shared" si="12"/>
        <v>Key-AMB-90</v>
      </c>
      <c r="X90" s="32" t="s">
        <v>339</v>
      </c>
      <c r="Y90" s="43" t="s">
        <v>322</v>
      </c>
      <c r="Z90" s="58" t="s">
        <v>653</v>
      </c>
      <c r="AA90" s="32" t="str">
        <f t="shared" si="11"/>
        <v>Architectural spaces sized and equipped for residential leisure function such as architectural spaces for TV, games, etc.</v>
      </c>
    </row>
    <row r="91" spans="1:27" s="36" customFormat="1" ht="6.75" customHeight="1" x14ac:dyDescent="0.25">
      <c r="A91" s="51">
        <v>91</v>
      </c>
      <c r="B91" s="29" t="s">
        <v>675</v>
      </c>
      <c r="C91" s="29" t="s">
        <v>847</v>
      </c>
      <c r="D91" s="29" t="s">
        <v>388</v>
      </c>
      <c r="E91" s="29" t="s">
        <v>482</v>
      </c>
      <c r="F91" s="30" t="s">
        <v>613</v>
      </c>
      <c r="G91" s="46" t="s">
        <v>10</v>
      </c>
      <c r="H91" s="46" t="s">
        <v>10</v>
      </c>
      <c r="I91" s="46" t="s">
        <v>10</v>
      </c>
      <c r="J91" s="46" t="s">
        <v>10</v>
      </c>
      <c r="K91" s="46" t="s">
        <v>10</v>
      </c>
      <c r="L91" s="31" t="str">
        <f t="shared" si="6"/>
        <v>Espacialidade</v>
      </c>
      <c r="M91" s="31" t="str">
        <f t="shared" si="6"/>
        <v>Elementos.Espaciais</v>
      </c>
      <c r="N91" s="31" t="str">
        <f t="shared" si="9"/>
        <v>Ambientes Habitacionais</v>
      </c>
      <c r="O91" s="31" t="str">
        <f t="shared" si="9"/>
        <v>Ambiente Profissional</v>
      </c>
      <c r="P91" s="32" t="s">
        <v>474</v>
      </c>
      <c r="Q91" s="32" t="str">
        <f t="shared" si="13"/>
        <v>Espacios arquitectónicos dimensionados y equipados para la función residencial de actividades profesionales.</v>
      </c>
      <c r="R91" s="58" t="s">
        <v>10</v>
      </c>
      <c r="S91" s="32" t="str">
        <f t="shared" si="10"/>
        <v>Espacialidade</v>
      </c>
      <c r="T91" s="32" t="str">
        <f t="shared" si="10"/>
        <v>Elementos Espaciais</v>
      </c>
      <c r="U91" s="32" t="str">
        <f t="shared" si="10"/>
        <v>Ambientes Habitacionais</v>
      </c>
      <c r="V91" s="32" t="s">
        <v>184</v>
      </c>
      <c r="W91" s="47" t="str">
        <f t="shared" si="12"/>
        <v>Key-AMB-91</v>
      </c>
      <c r="X91" s="32" t="s">
        <v>339</v>
      </c>
      <c r="Y91" s="43" t="s">
        <v>322</v>
      </c>
      <c r="Z91" s="58" t="s">
        <v>653</v>
      </c>
      <c r="AA91" s="32" t="str">
        <f t="shared" si="11"/>
        <v>Architectural spaces sized and equipped for residential function of professional activities.</v>
      </c>
    </row>
    <row r="92" spans="1:27" s="36" customFormat="1" ht="6.75" customHeight="1" x14ac:dyDescent="0.25">
      <c r="A92" s="51">
        <v>92</v>
      </c>
      <c r="B92" s="29" t="s">
        <v>675</v>
      </c>
      <c r="C92" s="29" t="s">
        <v>847</v>
      </c>
      <c r="D92" s="29" t="s">
        <v>388</v>
      </c>
      <c r="E92" s="29" t="s">
        <v>582</v>
      </c>
      <c r="F92" s="30" t="s">
        <v>614</v>
      </c>
      <c r="G92" s="46" t="s">
        <v>10</v>
      </c>
      <c r="H92" s="46" t="s">
        <v>10</v>
      </c>
      <c r="I92" s="46" t="s">
        <v>10</v>
      </c>
      <c r="J92" s="46" t="s">
        <v>10</v>
      </c>
      <c r="K92" s="46" t="s">
        <v>10</v>
      </c>
      <c r="L92" s="31" t="str">
        <f t="shared" si="6"/>
        <v>Espacialidade</v>
      </c>
      <c r="M92" s="31" t="str">
        <f t="shared" si="6"/>
        <v>Elementos.Espaciais</v>
      </c>
      <c r="N92" s="31" t="str">
        <f t="shared" si="9"/>
        <v>Ambientes de Saúde</v>
      </c>
      <c r="O92" s="31" t="str">
        <f t="shared" si="9"/>
        <v>Ambiente Saúde</v>
      </c>
      <c r="P92" s="32" t="s">
        <v>566</v>
      </c>
      <c r="Q92" s="32" t="str">
        <f t="shared" si="13"/>
        <v>Espacios arquitectónicos dimensionados y equipados para actividades hospitalarias o de atención sanitaria general.</v>
      </c>
      <c r="R92" s="58" t="s">
        <v>10</v>
      </c>
      <c r="S92" s="32" t="str">
        <f t="shared" si="10"/>
        <v>Espacialidade</v>
      </c>
      <c r="T92" s="32" t="str">
        <f t="shared" si="10"/>
        <v>Elementos Espaciais</v>
      </c>
      <c r="U92" s="32" t="str">
        <f t="shared" si="10"/>
        <v>Ambientes de Saúde</v>
      </c>
      <c r="V92" s="32" t="s">
        <v>184</v>
      </c>
      <c r="W92" s="47" t="str">
        <f t="shared" si="12"/>
        <v>Key-AMB-92</v>
      </c>
      <c r="X92" s="32" t="s">
        <v>339</v>
      </c>
      <c r="Y92" s="43" t="s">
        <v>322</v>
      </c>
      <c r="Z92" s="58" t="s">
        <v>512</v>
      </c>
      <c r="AA92" s="32" t="str">
        <f t="shared" si="11"/>
        <v>Architectural spaces sized and equipped for hospital activity of general health care activities.</v>
      </c>
    </row>
    <row r="93" spans="1:27" s="36" customFormat="1" ht="6.75" customHeight="1" x14ac:dyDescent="0.25">
      <c r="A93" s="51">
        <v>93</v>
      </c>
      <c r="B93" s="29" t="s">
        <v>675</v>
      </c>
      <c r="C93" s="29" t="s">
        <v>847</v>
      </c>
      <c r="D93" s="29" t="s">
        <v>388</v>
      </c>
      <c r="E93" s="29" t="s">
        <v>582</v>
      </c>
      <c r="F93" s="30" t="s">
        <v>615</v>
      </c>
      <c r="G93" s="46" t="s">
        <v>10</v>
      </c>
      <c r="H93" s="46" t="s">
        <v>10</v>
      </c>
      <c r="I93" s="46" t="s">
        <v>10</v>
      </c>
      <c r="J93" s="46" t="s">
        <v>10</v>
      </c>
      <c r="K93" s="46" t="s">
        <v>10</v>
      </c>
      <c r="L93" s="31" t="str">
        <f t="shared" si="6"/>
        <v>Espacialidade</v>
      </c>
      <c r="M93" s="31" t="str">
        <f t="shared" si="6"/>
        <v>Elementos.Espaciais</v>
      </c>
      <c r="N93" s="31" t="str">
        <f t="shared" si="9"/>
        <v>Ambientes de Saúde</v>
      </c>
      <c r="O93" s="31" t="str">
        <f t="shared" si="9"/>
        <v>Ambiente Análises</v>
      </c>
      <c r="P93" s="32" t="s">
        <v>554</v>
      </c>
      <c r="Q93" s="32" t="str">
        <f t="shared" si="13"/>
        <v>Espacios arquitectónicos dimensionados y equipados para actividades hospitalarias para llevar a cabo actividades de Análisis Clínico.</v>
      </c>
      <c r="R93" s="58" t="s">
        <v>10</v>
      </c>
      <c r="S93" s="32" t="str">
        <f t="shared" si="10"/>
        <v>Espacialidade</v>
      </c>
      <c r="T93" s="32" t="str">
        <f t="shared" si="10"/>
        <v>Elementos Espaciais</v>
      </c>
      <c r="U93" s="32" t="str">
        <f t="shared" si="10"/>
        <v>Ambientes de Saúde</v>
      </c>
      <c r="V93" s="32" t="s">
        <v>184</v>
      </c>
      <c r="W93" s="47" t="str">
        <f t="shared" si="12"/>
        <v>Key-AMB-93</v>
      </c>
      <c r="X93" s="32" t="s">
        <v>339</v>
      </c>
      <c r="Y93" s="43" t="s">
        <v>322</v>
      </c>
      <c r="Z93" s="58" t="s">
        <v>512</v>
      </c>
      <c r="AA93" s="32" t="str">
        <f t="shared" si="11"/>
        <v>Architectural spaces sized and equipped for hospital activity to carry out Clinical Analysis activity.</v>
      </c>
    </row>
    <row r="94" spans="1:27" s="36" customFormat="1" ht="6.75" customHeight="1" x14ac:dyDescent="0.25">
      <c r="A94" s="51">
        <v>94</v>
      </c>
      <c r="B94" s="29" t="s">
        <v>675</v>
      </c>
      <c r="C94" s="29" t="s">
        <v>847</v>
      </c>
      <c r="D94" s="29" t="s">
        <v>388</v>
      </c>
      <c r="E94" s="29" t="s">
        <v>582</v>
      </c>
      <c r="F94" s="30" t="s">
        <v>616</v>
      </c>
      <c r="G94" s="46" t="s">
        <v>10</v>
      </c>
      <c r="H94" s="46" t="s">
        <v>10</v>
      </c>
      <c r="I94" s="46" t="s">
        <v>10</v>
      </c>
      <c r="J94" s="46" t="s">
        <v>10</v>
      </c>
      <c r="K94" s="46" t="s">
        <v>10</v>
      </c>
      <c r="L94" s="31" t="str">
        <f t="shared" si="6"/>
        <v>Espacialidade</v>
      </c>
      <c r="M94" s="31" t="str">
        <f t="shared" si="6"/>
        <v>Elementos.Espaciais</v>
      </c>
      <c r="N94" s="31" t="str">
        <f t="shared" si="9"/>
        <v>Ambientes de Saúde</v>
      </c>
      <c r="O94" s="31" t="str">
        <f t="shared" si="9"/>
        <v>Ambiente Quirúrgico</v>
      </c>
      <c r="P94" s="32" t="s">
        <v>555</v>
      </c>
      <c r="Q94" s="32" t="str">
        <f t="shared" si="13"/>
        <v>Espacios arquitectónicos dimensionados y equipados para la actividad hospitalaria que lleve a cabo actividades quirúrgicas.</v>
      </c>
      <c r="R94" s="58" t="s">
        <v>10</v>
      </c>
      <c r="S94" s="32" t="str">
        <f t="shared" si="10"/>
        <v>Espacialidade</v>
      </c>
      <c r="T94" s="32" t="str">
        <f t="shared" si="10"/>
        <v>Elementos Espaciais</v>
      </c>
      <c r="U94" s="32" t="str">
        <f t="shared" si="10"/>
        <v>Ambientes de Saúde</v>
      </c>
      <c r="V94" s="32" t="s">
        <v>184</v>
      </c>
      <c r="W94" s="47" t="str">
        <f t="shared" si="12"/>
        <v>Key-AMB-94</v>
      </c>
      <c r="X94" s="32" t="s">
        <v>339</v>
      </c>
      <c r="Y94" s="43" t="s">
        <v>322</v>
      </c>
      <c r="Z94" s="58" t="s">
        <v>512</v>
      </c>
      <c r="AA94" s="32" t="str">
        <f t="shared" si="11"/>
        <v>Architectural spaces sized and equipped for hospital activity to carry out surgical activity.</v>
      </c>
    </row>
    <row r="95" spans="1:27" s="36" customFormat="1" ht="6.75" customHeight="1" x14ac:dyDescent="0.25">
      <c r="A95" s="51">
        <v>95</v>
      </c>
      <c r="B95" s="29" t="s">
        <v>675</v>
      </c>
      <c r="C95" s="29" t="s">
        <v>847</v>
      </c>
      <c r="D95" s="29" t="s">
        <v>388</v>
      </c>
      <c r="E95" s="29" t="s">
        <v>582</v>
      </c>
      <c r="F95" s="30" t="s">
        <v>617</v>
      </c>
      <c r="G95" s="46" t="s">
        <v>10</v>
      </c>
      <c r="H95" s="46" t="s">
        <v>10</v>
      </c>
      <c r="I95" s="46" t="s">
        <v>10</v>
      </c>
      <c r="J95" s="46" t="s">
        <v>10</v>
      </c>
      <c r="K95" s="46" t="s">
        <v>10</v>
      </c>
      <c r="L95" s="31" t="str">
        <f t="shared" si="6"/>
        <v>Espacialidade</v>
      </c>
      <c r="M95" s="31" t="str">
        <f t="shared" si="6"/>
        <v>Elementos.Espaciais</v>
      </c>
      <c r="N95" s="31" t="str">
        <f t="shared" si="9"/>
        <v>Ambientes de Saúde</v>
      </c>
      <c r="O95" s="31" t="str">
        <f t="shared" si="9"/>
        <v>Ambiente Internação</v>
      </c>
      <c r="P95" s="32" t="s">
        <v>567</v>
      </c>
      <c r="Q95" s="32" t="str">
        <f t="shared" si="13"/>
        <v>Espacios arquitectónicos dimensionados y equipados para la actividad hospitalaria que lleve a cabo el proceso de hospitalización.</v>
      </c>
      <c r="R95" s="58" t="s">
        <v>10</v>
      </c>
      <c r="S95" s="32" t="str">
        <f t="shared" si="10"/>
        <v>Espacialidade</v>
      </c>
      <c r="T95" s="32" t="str">
        <f t="shared" si="10"/>
        <v>Elementos Espaciais</v>
      </c>
      <c r="U95" s="32" t="str">
        <f t="shared" si="10"/>
        <v>Ambientes de Saúde</v>
      </c>
      <c r="V95" s="32" t="s">
        <v>184</v>
      </c>
      <c r="W95" s="47" t="str">
        <f t="shared" si="12"/>
        <v>Key-AMB-95</v>
      </c>
      <c r="X95" s="32" t="s">
        <v>339</v>
      </c>
      <c r="Y95" s="43" t="s">
        <v>322</v>
      </c>
      <c r="Z95" s="58" t="s">
        <v>512</v>
      </c>
      <c r="AA95" s="32" t="str">
        <f t="shared" si="11"/>
        <v>Architectural spaces sized and equipped for hospital activity to carry out the Inpatient process.</v>
      </c>
    </row>
    <row r="96" spans="1:27" s="36" customFormat="1" ht="6.75" customHeight="1" x14ac:dyDescent="0.25">
      <c r="A96" s="51">
        <v>96</v>
      </c>
      <c r="B96" s="29" t="s">
        <v>675</v>
      </c>
      <c r="C96" s="29" t="s">
        <v>847</v>
      </c>
      <c r="D96" s="29" t="s">
        <v>388</v>
      </c>
      <c r="E96" s="29" t="s">
        <v>582</v>
      </c>
      <c r="F96" s="30" t="s">
        <v>618</v>
      </c>
      <c r="G96" s="46" t="s">
        <v>10</v>
      </c>
      <c r="H96" s="46" t="s">
        <v>10</v>
      </c>
      <c r="I96" s="46" t="s">
        <v>10</v>
      </c>
      <c r="J96" s="46" t="s">
        <v>10</v>
      </c>
      <c r="K96" s="46" t="s">
        <v>10</v>
      </c>
      <c r="L96" s="31" t="str">
        <f t="shared" si="6"/>
        <v>Espacialidade</v>
      </c>
      <c r="M96" s="31" t="str">
        <f t="shared" si="6"/>
        <v>Elementos.Espaciais</v>
      </c>
      <c r="N96" s="31" t="str">
        <f t="shared" si="9"/>
        <v>Ambientes de Saúde</v>
      </c>
      <c r="O96" s="31" t="str">
        <f t="shared" si="9"/>
        <v>Ambiente UTI</v>
      </c>
      <c r="P96" s="32" t="s">
        <v>568</v>
      </c>
      <c r="Q96" s="32" t="str">
        <f t="shared" si="13"/>
        <v>Espacios arquitectónicos dimensionados y equipados para actividades hospitalarias que lleven a cabo el proceso de hospitalización en cuidados intensivos.</v>
      </c>
      <c r="R96" s="58" t="s">
        <v>10</v>
      </c>
      <c r="S96" s="32" t="str">
        <f t="shared" si="10"/>
        <v>Espacialidade</v>
      </c>
      <c r="T96" s="32" t="str">
        <f t="shared" si="10"/>
        <v>Elementos Espaciais</v>
      </c>
      <c r="U96" s="32" t="str">
        <f t="shared" si="10"/>
        <v>Ambientes de Saúde</v>
      </c>
      <c r="V96" s="32" t="s">
        <v>184</v>
      </c>
      <c r="W96" s="47" t="str">
        <f t="shared" si="12"/>
        <v>Key-AMB-96</v>
      </c>
      <c r="X96" s="32" t="s">
        <v>339</v>
      </c>
      <c r="Y96" s="43" t="s">
        <v>322</v>
      </c>
      <c r="Z96" s="58" t="s">
        <v>512</v>
      </c>
      <c r="AA96" s="32" t="str">
        <f t="shared" si="11"/>
        <v>Architectural spaces sized and equipped for hospital activity to carry out the Intensive Care Hospitalization process.</v>
      </c>
    </row>
    <row r="97" spans="1:27" s="36" customFormat="1" ht="6.75" customHeight="1" x14ac:dyDescent="0.25">
      <c r="A97" s="51">
        <v>97</v>
      </c>
      <c r="B97" s="29" t="s">
        <v>675</v>
      </c>
      <c r="C97" s="29" t="s">
        <v>847</v>
      </c>
      <c r="D97" s="29" t="s">
        <v>388</v>
      </c>
      <c r="E97" s="29" t="s">
        <v>582</v>
      </c>
      <c r="F97" s="30" t="s">
        <v>619</v>
      </c>
      <c r="G97" s="46" t="s">
        <v>10</v>
      </c>
      <c r="H97" s="46" t="s">
        <v>10</v>
      </c>
      <c r="I97" s="46" t="s">
        <v>10</v>
      </c>
      <c r="J97" s="46" t="s">
        <v>10</v>
      </c>
      <c r="K97" s="46" t="s">
        <v>10</v>
      </c>
      <c r="L97" s="31" t="str">
        <f t="shared" si="6"/>
        <v>Espacialidade</v>
      </c>
      <c r="M97" s="31" t="str">
        <f t="shared" si="6"/>
        <v>Elementos.Espaciais</v>
      </c>
      <c r="N97" s="31" t="str">
        <f t="shared" si="9"/>
        <v>Ambientes de Saúde</v>
      </c>
      <c r="O97" s="31" t="str">
        <f t="shared" si="9"/>
        <v>Ambiente Imagem</v>
      </c>
      <c r="P97" s="32" t="s">
        <v>538</v>
      </c>
      <c r="Q97" s="32" t="str">
        <f t="shared" si="13"/>
        <v>Espacios arquitectónicos dimensionados y equipados para actividades hospitalarias para realizar imágenes diagnósticas (TAC, resonancias magnéticas, ecografías, etc.)</v>
      </c>
      <c r="R97" s="58" t="s">
        <v>10</v>
      </c>
      <c r="S97" s="32" t="str">
        <f t="shared" si="10"/>
        <v>Espacialidade</v>
      </c>
      <c r="T97" s="32" t="str">
        <f t="shared" si="10"/>
        <v>Elementos Espaciais</v>
      </c>
      <c r="U97" s="32" t="str">
        <f t="shared" si="10"/>
        <v>Ambientes de Saúde</v>
      </c>
      <c r="V97" s="32" t="s">
        <v>184</v>
      </c>
      <c r="W97" s="47" t="str">
        <f t="shared" si="12"/>
        <v>Key-AMB-97</v>
      </c>
      <c r="X97" s="32" t="s">
        <v>339</v>
      </c>
      <c r="Y97" s="43" t="s">
        <v>322</v>
      </c>
      <c r="Z97" s="58" t="s">
        <v>512</v>
      </c>
      <c r="AA97" s="32" t="str">
        <f t="shared" si="11"/>
        <v>Architectural spaces sized and equipped for hospital activity to perform Diagnostic Imaging (CT scans, MRIs, Ultrasounds, etc.)</v>
      </c>
    </row>
    <row r="98" spans="1:27" s="36" customFormat="1" ht="6.75" customHeight="1" x14ac:dyDescent="0.25">
      <c r="A98" s="51">
        <v>98</v>
      </c>
      <c r="B98" s="29" t="s">
        <v>675</v>
      </c>
      <c r="C98" s="29" t="s">
        <v>847</v>
      </c>
      <c r="D98" s="29" t="s">
        <v>388</v>
      </c>
      <c r="E98" s="29" t="s">
        <v>582</v>
      </c>
      <c r="F98" s="30" t="s">
        <v>620</v>
      </c>
      <c r="G98" s="46" t="s">
        <v>10</v>
      </c>
      <c r="H98" s="46" t="s">
        <v>10</v>
      </c>
      <c r="I98" s="46" t="s">
        <v>10</v>
      </c>
      <c r="J98" s="46" t="s">
        <v>10</v>
      </c>
      <c r="K98" s="46" t="s">
        <v>10</v>
      </c>
      <c r="L98" s="31" t="str">
        <f t="shared" si="6"/>
        <v>Espacialidade</v>
      </c>
      <c r="M98" s="31" t="str">
        <f t="shared" si="6"/>
        <v>Elementos.Espaciais</v>
      </c>
      <c r="N98" s="31" t="str">
        <f t="shared" si="9"/>
        <v>Ambientes de Saúde</v>
      </c>
      <c r="O98" s="31" t="str">
        <f t="shared" si="9"/>
        <v>Ambiente Terapia</v>
      </c>
      <c r="P98" s="32" t="s">
        <v>475</v>
      </c>
      <c r="Q98" s="32" t="str">
        <f t="shared" si="13"/>
        <v>Espacios arquitectónicos dimensionados y equipados para actividades hospitalarias para realizar terapias con pacientes (fisioterapia, respiratorios, etc.).</v>
      </c>
      <c r="R98" s="58" t="s">
        <v>10</v>
      </c>
      <c r="S98" s="32" t="str">
        <f t="shared" si="10"/>
        <v>Espacialidade</v>
      </c>
      <c r="T98" s="32" t="str">
        <f t="shared" si="10"/>
        <v>Elementos Espaciais</v>
      </c>
      <c r="U98" s="32" t="str">
        <f t="shared" si="10"/>
        <v>Ambientes de Saúde</v>
      </c>
      <c r="V98" s="32" t="s">
        <v>184</v>
      </c>
      <c r="W98" s="47" t="str">
        <f t="shared" si="12"/>
        <v>Key-AMB-98</v>
      </c>
      <c r="X98" s="32" t="s">
        <v>339</v>
      </c>
      <c r="Y98" s="43" t="s">
        <v>322</v>
      </c>
      <c r="Z98" s="58" t="s">
        <v>512</v>
      </c>
      <c r="AA98" s="32" t="str">
        <f t="shared" si="11"/>
        <v>Architectural spaces sized and equipped for hospital activity to carry out therapies with patients (physiotherapy, respiratory, etc.).</v>
      </c>
    </row>
    <row r="99" spans="1:27" s="36" customFormat="1" ht="6.75" customHeight="1" x14ac:dyDescent="0.25">
      <c r="A99" s="51">
        <v>99</v>
      </c>
      <c r="B99" s="29" t="s">
        <v>675</v>
      </c>
      <c r="C99" s="29" t="s">
        <v>847</v>
      </c>
      <c r="D99" s="29" t="s">
        <v>388</v>
      </c>
      <c r="E99" s="29" t="s">
        <v>582</v>
      </c>
      <c r="F99" s="30" t="s">
        <v>621</v>
      </c>
      <c r="G99" s="46" t="s">
        <v>10</v>
      </c>
      <c r="H99" s="46" t="s">
        <v>10</v>
      </c>
      <c r="I99" s="46" t="s">
        <v>10</v>
      </c>
      <c r="J99" s="46" t="s">
        <v>10</v>
      </c>
      <c r="K99" s="46" t="s">
        <v>10</v>
      </c>
      <c r="L99" s="31" t="str">
        <f t="shared" si="6"/>
        <v>Espacialidade</v>
      </c>
      <c r="M99" s="31" t="str">
        <f t="shared" si="6"/>
        <v>Elementos.Espaciais</v>
      </c>
      <c r="N99" s="31" t="str">
        <f t="shared" si="9"/>
        <v>Ambientes de Saúde</v>
      </c>
      <c r="O99" s="31" t="str">
        <f t="shared" si="9"/>
        <v>Ambiente Hidroterapia</v>
      </c>
      <c r="P99" s="32" t="s">
        <v>556</v>
      </c>
      <c r="Q99" s="32" t="str">
        <f t="shared" si="13"/>
        <v>Espacios arquitectónicos dimensionados y equipados para actividades hospitalarias para realizar actividades terapéuticas en piscinas, etc.</v>
      </c>
      <c r="R99" s="58" t="s">
        <v>10</v>
      </c>
      <c r="S99" s="32" t="str">
        <f t="shared" si="10"/>
        <v>Espacialidade</v>
      </c>
      <c r="T99" s="32" t="str">
        <f t="shared" si="10"/>
        <v>Elementos Espaciais</v>
      </c>
      <c r="U99" s="32" t="str">
        <f t="shared" si="10"/>
        <v>Ambientes de Saúde</v>
      </c>
      <c r="V99" s="32" t="s">
        <v>184</v>
      </c>
      <c r="W99" s="47" t="str">
        <f t="shared" si="12"/>
        <v>Key-AMB-99</v>
      </c>
      <c r="X99" s="32" t="s">
        <v>339</v>
      </c>
      <c r="Y99" s="43" t="s">
        <v>322</v>
      </c>
      <c r="Z99" s="58" t="s">
        <v>512</v>
      </c>
      <c r="AA99" s="32" t="str">
        <f t="shared" si="11"/>
        <v>Architectural spaces sized and equipped for hospital activity to carry out Therapeutic activities in Swimming Pool, etc.</v>
      </c>
    </row>
    <row r="100" spans="1:27" s="36" customFormat="1" ht="6.75" customHeight="1" x14ac:dyDescent="0.25">
      <c r="A100" s="51">
        <v>100</v>
      </c>
      <c r="B100" s="29" t="s">
        <v>675</v>
      </c>
      <c r="C100" s="29" t="s">
        <v>847</v>
      </c>
      <c r="D100" s="29" t="s">
        <v>388</v>
      </c>
      <c r="E100" s="29" t="s">
        <v>582</v>
      </c>
      <c r="F100" s="30" t="s">
        <v>622</v>
      </c>
      <c r="G100" s="46" t="s">
        <v>10</v>
      </c>
      <c r="H100" s="46" t="s">
        <v>10</v>
      </c>
      <c r="I100" s="46" t="s">
        <v>10</v>
      </c>
      <c r="J100" s="46" t="s">
        <v>10</v>
      </c>
      <c r="K100" s="46" t="s">
        <v>10</v>
      </c>
      <c r="L100" s="31" t="str">
        <f t="shared" si="6"/>
        <v>Espacialidade</v>
      </c>
      <c r="M100" s="31" t="str">
        <f t="shared" si="6"/>
        <v>Elementos.Espaciais</v>
      </c>
      <c r="N100" s="31" t="str">
        <f t="shared" si="9"/>
        <v>Ambientes de Saúde</v>
      </c>
      <c r="O100" s="31" t="str">
        <f t="shared" si="9"/>
        <v>Ambiente Emergência</v>
      </c>
      <c r="P100" s="32" t="s">
        <v>476</v>
      </c>
      <c r="Q100" s="32" t="str">
        <f t="shared" si="13"/>
        <v>Espacios arquitectónicos dimensionados y equipados para actividades hospitalarias para realizar atención de urgencias.</v>
      </c>
      <c r="R100" s="58" t="s">
        <v>10</v>
      </c>
      <c r="S100" s="32" t="str">
        <f t="shared" si="10"/>
        <v>Espacialidade</v>
      </c>
      <c r="T100" s="32" t="str">
        <f t="shared" si="10"/>
        <v>Elementos Espaciais</v>
      </c>
      <c r="U100" s="32" t="str">
        <f t="shared" si="10"/>
        <v>Ambientes de Saúde</v>
      </c>
      <c r="V100" s="32" t="s">
        <v>184</v>
      </c>
      <c r="W100" s="47" t="str">
        <f t="shared" si="12"/>
        <v>Key-AMB-100</v>
      </c>
      <c r="X100" s="32" t="s">
        <v>339</v>
      </c>
      <c r="Y100" s="43" t="s">
        <v>322</v>
      </c>
      <c r="Z100" s="58" t="s">
        <v>512</v>
      </c>
      <c r="AA100" s="32" t="str">
        <f t="shared" si="11"/>
        <v>Architectural spaces sized and equipped for hospital activity to perform Emergency Care.</v>
      </c>
    </row>
    <row r="101" spans="1:27" s="36" customFormat="1" ht="6.75" customHeight="1" x14ac:dyDescent="0.25">
      <c r="A101" s="51">
        <v>101</v>
      </c>
      <c r="B101" s="29" t="s">
        <v>675</v>
      </c>
      <c r="C101" s="29" t="s">
        <v>847</v>
      </c>
      <c r="D101" s="29" t="s">
        <v>388</v>
      </c>
      <c r="E101" s="29" t="s">
        <v>582</v>
      </c>
      <c r="F101" s="30" t="s">
        <v>623</v>
      </c>
      <c r="G101" s="46" t="s">
        <v>10</v>
      </c>
      <c r="H101" s="46" t="s">
        <v>10</v>
      </c>
      <c r="I101" s="46" t="s">
        <v>10</v>
      </c>
      <c r="J101" s="46" t="s">
        <v>10</v>
      </c>
      <c r="K101" s="46" t="s">
        <v>10</v>
      </c>
      <c r="L101" s="31" t="str">
        <f t="shared" si="6"/>
        <v>Espacialidade</v>
      </c>
      <c r="M101" s="31" t="str">
        <f t="shared" si="6"/>
        <v>Elementos.Espaciais</v>
      </c>
      <c r="N101" s="31" t="str">
        <f t="shared" si="9"/>
        <v>Ambientes de Saúde</v>
      </c>
      <c r="O101" s="31" t="str">
        <f t="shared" si="9"/>
        <v>Ambiente Triagem</v>
      </c>
      <c r="P101" s="32" t="s">
        <v>477</v>
      </c>
      <c r="Q101" s="32" t="str">
        <f t="shared" si="13"/>
        <v>Espacios arquitectónicos dimensionados y equipados para actividades hospitalarias para realizar cribado de pacientes o materiales.</v>
      </c>
      <c r="R101" s="58" t="s">
        <v>10</v>
      </c>
      <c r="S101" s="32" t="str">
        <f t="shared" si="10"/>
        <v>Espacialidade</v>
      </c>
      <c r="T101" s="32" t="str">
        <f t="shared" si="10"/>
        <v>Elementos Espaciais</v>
      </c>
      <c r="U101" s="32" t="str">
        <f t="shared" si="10"/>
        <v>Ambientes de Saúde</v>
      </c>
      <c r="V101" s="32" t="s">
        <v>184</v>
      </c>
      <c r="W101" s="47" t="str">
        <f t="shared" si="12"/>
        <v>Key-AMB-101</v>
      </c>
      <c r="X101" s="32" t="s">
        <v>339</v>
      </c>
      <c r="Y101" s="43" t="s">
        <v>322</v>
      </c>
      <c r="Z101" s="58" t="s">
        <v>512</v>
      </c>
      <c r="AA101" s="32" t="str">
        <f t="shared" si="11"/>
        <v>Architectural spaces sized and equipped for hospital activity to perform Patient or Material Screening.</v>
      </c>
    </row>
    <row r="102" spans="1:27" s="36" customFormat="1" ht="6.75" customHeight="1" x14ac:dyDescent="0.25">
      <c r="A102" s="51">
        <v>102</v>
      </c>
      <c r="B102" s="29" t="s">
        <v>675</v>
      </c>
      <c r="C102" s="29" t="s">
        <v>847</v>
      </c>
      <c r="D102" s="29" t="s">
        <v>388</v>
      </c>
      <c r="E102" s="29" t="s">
        <v>582</v>
      </c>
      <c r="F102" s="30" t="s">
        <v>624</v>
      </c>
      <c r="G102" s="46" t="s">
        <v>10</v>
      </c>
      <c r="H102" s="46" t="s">
        <v>10</v>
      </c>
      <c r="I102" s="46" t="s">
        <v>10</v>
      </c>
      <c r="J102" s="46" t="s">
        <v>10</v>
      </c>
      <c r="K102" s="46" t="s">
        <v>10</v>
      </c>
      <c r="L102" s="31" t="str">
        <f t="shared" si="6"/>
        <v>Espacialidade</v>
      </c>
      <c r="M102" s="31" t="str">
        <f t="shared" si="6"/>
        <v>Elementos.Espaciais</v>
      </c>
      <c r="N102" s="31" t="str">
        <f t="shared" si="9"/>
        <v>Ambientes de Saúde</v>
      </c>
      <c r="O102" s="31" t="str">
        <f t="shared" si="9"/>
        <v>Ambiente Veicular</v>
      </c>
      <c r="P102" s="32" t="s">
        <v>569</v>
      </c>
      <c r="Q102" s="32" t="str">
        <f t="shared" si="13"/>
        <v>Espacios arquitectónicos dimensionados y equipados para actividades hospitalarias que permitan el movimiento vehicular.</v>
      </c>
      <c r="R102" s="58" t="s">
        <v>10</v>
      </c>
      <c r="S102" s="32" t="str">
        <f t="shared" si="10"/>
        <v>Espacialidade</v>
      </c>
      <c r="T102" s="32" t="str">
        <f t="shared" si="10"/>
        <v>Elementos Espaciais</v>
      </c>
      <c r="U102" s="32" t="str">
        <f t="shared" si="10"/>
        <v>Ambientes de Saúde</v>
      </c>
      <c r="V102" s="32" t="s">
        <v>184</v>
      </c>
      <c r="W102" s="47" t="str">
        <f t="shared" si="12"/>
        <v>Key-AMB-102</v>
      </c>
      <c r="X102" s="32" t="s">
        <v>339</v>
      </c>
      <c r="Y102" s="43" t="s">
        <v>322</v>
      </c>
      <c r="Z102" s="58" t="s">
        <v>512</v>
      </c>
      <c r="AA102" s="32" t="str">
        <f t="shared" si="11"/>
        <v>Architectural spaces sized and equipped for hospital activity to carry out vehicular movement.</v>
      </c>
    </row>
    <row r="103" spans="1:27" s="36" customFormat="1" ht="6.75" customHeight="1" x14ac:dyDescent="0.25">
      <c r="A103" s="51">
        <v>103</v>
      </c>
      <c r="B103" s="29" t="s">
        <v>675</v>
      </c>
      <c r="C103" s="29" t="s">
        <v>847</v>
      </c>
      <c r="D103" s="29" t="s">
        <v>388</v>
      </c>
      <c r="E103" s="29" t="s">
        <v>582</v>
      </c>
      <c r="F103" s="30" t="s">
        <v>625</v>
      </c>
      <c r="G103" s="46" t="s">
        <v>10</v>
      </c>
      <c r="H103" s="46" t="s">
        <v>10</v>
      </c>
      <c r="I103" s="46" t="s">
        <v>10</v>
      </c>
      <c r="J103" s="46" t="s">
        <v>10</v>
      </c>
      <c r="K103" s="46" t="s">
        <v>10</v>
      </c>
      <c r="L103" s="31" t="str">
        <f t="shared" si="6"/>
        <v>Espacialidade</v>
      </c>
      <c r="M103" s="31" t="str">
        <f t="shared" si="6"/>
        <v>Elementos.Espaciais</v>
      </c>
      <c r="N103" s="31" t="str">
        <f t="shared" si="9"/>
        <v>Ambientes de Saúde</v>
      </c>
      <c r="O103" s="31" t="str">
        <f t="shared" si="9"/>
        <v>Ambiente Espera</v>
      </c>
      <c r="P103" s="32" t="s">
        <v>557</v>
      </c>
      <c r="Q103" s="32" t="str">
        <f t="shared" si="13"/>
        <v>Espacios arquitectónicos dimensionados y equipados para actividades hospitalarias que lleven a cabo actividades de espera.</v>
      </c>
      <c r="R103" s="58" t="s">
        <v>10</v>
      </c>
      <c r="S103" s="32" t="str">
        <f t="shared" si="10"/>
        <v>Espacialidade</v>
      </c>
      <c r="T103" s="32" t="str">
        <f t="shared" si="10"/>
        <v>Elementos Espaciais</v>
      </c>
      <c r="U103" s="32" t="str">
        <f t="shared" si="10"/>
        <v>Ambientes de Saúde</v>
      </c>
      <c r="V103" s="32" t="s">
        <v>184</v>
      </c>
      <c r="W103" s="47" t="str">
        <f t="shared" si="12"/>
        <v>Key-AMB-103</v>
      </c>
      <c r="X103" s="32" t="s">
        <v>339</v>
      </c>
      <c r="Y103" s="43" t="s">
        <v>322</v>
      </c>
      <c r="Z103" s="58" t="s">
        <v>512</v>
      </c>
      <c r="AA103" s="32" t="str">
        <f t="shared" si="11"/>
        <v>Architectural spaces sized and equipped for hospital activity to carry out Waiting activities.</v>
      </c>
    </row>
    <row r="104" spans="1:27" s="36" customFormat="1" ht="6.75" customHeight="1" x14ac:dyDescent="0.25">
      <c r="A104" s="51">
        <v>104</v>
      </c>
      <c r="B104" s="29" t="s">
        <v>675</v>
      </c>
      <c r="C104" s="29" t="s">
        <v>847</v>
      </c>
      <c r="D104" s="29" t="s">
        <v>388</v>
      </c>
      <c r="E104" s="29" t="s">
        <v>582</v>
      </c>
      <c r="F104" s="30" t="s">
        <v>626</v>
      </c>
      <c r="G104" s="46" t="s">
        <v>10</v>
      </c>
      <c r="H104" s="46" t="s">
        <v>10</v>
      </c>
      <c r="I104" s="46" t="s">
        <v>10</v>
      </c>
      <c r="J104" s="46" t="s">
        <v>10</v>
      </c>
      <c r="K104" s="46" t="s">
        <v>10</v>
      </c>
      <c r="L104" s="31" t="str">
        <f t="shared" si="6"/>
        <v>Espacialidade</v>
      </c>
      <c r="M104" s="31" t="str">
        <f t="shared" si="6"/>
        <v>Elementos.Espaciais</v>
      </c>
      <c r="N104" s="31" t="str">
        <f t="shared" si="9"/>
        <v>Ambientes de Saúde</v>
      </c>
      <c r="O104" s="31" t="str">
        <f t="shared" si="9"/>
        <v>Ambiente Consultório</v>
      </c>
      <c r="P104" s="32" t="s">
        <v>558</v>
      </c>
      <c r="Q104" s="32" t="str">
        <f t="shared" si="13"/>
        <v>Espacios arquitectónicos dimensionados y equipados para actividades hospitalarias que lleven a cabo actividades de Consulta Médica.</v>
      </c>
      <c r="R104" s="58" t="s">
        <v>10</v>
      </c>
      <c r="S104" s="32" t="str">
        <f t="shared" si="10"/>
        <v>Espacialidade</v>
      </c>
      <c r="T104" s="32" t="str">
        <f t="shared" si="10"/>
        <v>Elementos Espaciais</v>
      </c>
      <c r="U104" s="32" t="str">
        <f t="shared" si="10"/>
        <v>Ambientes de Saúde</v>
      </c>
      <c r="V104" s="32" t="s">
        <v>184</v>
      </c>
      <c r="W104" s="47" t="str">
        <f t="shared" si="12"/>
        <v>Key-AMB-104</v>
      </c>
      <c r="X104" s="32" t="s">
        <v>339</v>
      </c>
      <c r="Y104" s="43" t="s">
        <v>322</v>
      </c>
      <c r="Z104" s="58" t="s">
        <v>512</v>
      </c>
      <c r="AA104" s="32" t="str">
        <f t="shared" si="11"/>
        <v>Architectural spaces sized and equipped for hospital activity to carry out Medical Consultation activities.</v>
      </c>
    </row>
    <row r="105" spans="1:27" s="36" customFormat="1" ht="6.75" customHeight="1" x14ac:dyDescent="0.25">
      <c r="A105" s="51">
        <v>105</v>
      </c>
      <c r="B105" s="29" t="s">
        <v>675</v>
      </c>
      <c r="C105" s="29" t="s">
        <v>847</v>
      </c>
      <c r="D105" s="29" t="s">
        <v>388</v>
      </c>
      <c r="E105" s="29" t="s">
        <v>582</v>
      </c>
      <c r="F105" s="30" t="s">
        <v>627</v>
      </c>
      <c r="G105" s="46" t="s">
        <v>10</v>
      </c>
      <c r="H105" s="46" t="s">
        <v>10</v>
      </c>
      <c r="I105" s="46" t="s">
        <v>10</v>
      </c>
      <c r="J105" s="46" t="s">
        <v>10</v>
      </c>
      <c r="K105" s="46" t="s">
        <v>10</v>
      </c>
      <c r="L105" s="31" t="str">
        <f t="shared" ref="L105:M120" si="14">CONCATENATE("", C105)</f>
        <v>Espacialidade</v>
      </c>
      <c r="M105" s="31" t="str">
        <f t="shared" si="14"/>
        <v>Elementos.Espaciais</v>
      </c>
      <c r="N105" s="31" t="str">
        <f t="shared" si="9"/>
        <v>Ambientes de Saúde</v>
      </c>
      <c r="O105" s="31" t="str">
        <f t="shared" si="9"/>
        <v>Ambiente Enfermagem</v>
      </c>
      <c r="P105" s="32" t="s">
        <v>559</v>
      </c>
      <c r="Q105" s="32" t="str">
        <f t="shared" si="13"/>
        <v>Espacios arquitectónicos dimensionados y equipados para actividades hospitalarias para llevar a cabo actividades de enfermería.</v>
      </c>
      <c r="R105" s="58" t="s">
        <v>10</v>
      </c>
      <c r="S105" s="32" t="str">
        <f t="shared" si="10"/>
        <v>Espacialidade</v>
      </c>
      <c r="T105" s="32" t="str">
        <f t="shared" si="10"/>
        <v>Elementos Espaciais</v>
      </c>
      <c r="U105" s="32" t="str">
        <f t="shared" si="10"/>
        <v>Ambientes de Saúde</v>
      </c>
      <c r="V105" s="32" t="s">
        <v>184</v>
      </c>
      <c r="W105" s="47" t="str">
        <f t="shared" si="12"/>
        <v>Key-AMB-105</v>
      </c>
      <c r="X105" s="32" t="s">
        <v>339</v>
      </c>
      <c r="Y105" s="43" t="s">
        <v>322</v>
      </c>
      <c r="Z105" s="58" t="s">
        <v>512</v>
      </c>
      <c r="AA105" s="32" t="str">
        <f t="shared" si="11"/>
        <v>Architectural spaces sized and equipped for hospital activity to carry out Nursing activities.</v>
      </c>
    </row>
    <row r="106" spans="1:27" s="36" customFormat="1" ht="6.75" customHeight="1" x14ac:dyDescent="0.25">
      <c r="A106" s="51">
        <v>106</v>
      </c>
      <c r="B106" s="29" t="s">
        <v>675</v>
      </c>
      <c r="C106" s="29" t="s">
        <v>847</v>
      </c>
      <c r="D106" s="29" t="s">
        <v>388</v>
      </c>
      <c r="E106" s="29" t="s">
        <v>483</v>
      </c>
      <c r="F106" s="30" t="s">
        <v>640</v>
      </c>
      <c r="G106" s="46" t="s">
        <v>10</v>
      </c>
      <c r="H106" s="46" t="s">
        <v>10</v>
      </c>
      <c r="I106" s="46" t="s">
        <v>10</v>
      </c>
      <c r="J106" s="46" t="s">
        <v>10</v>
      </c>
      <c r="K106" s="46" t="s">
        <v>10</v>
      </c>
      <c r="L106" s="31" t="str">
        <f t="shared" si="14"/>
        <v>Espacialidade</v>
      </c>
      <c r="M106" s="31" t="str">
        <f t="shared" si="14"/>
        <v>Elementos.Espaciais</v>
      </c>
      <c r="N106" s="31" t="str">
        <f t="shared" si="9"/>
        <v>Ambientes de Risco</v>
      </c>
      <c r="O106" s="31" t="str">
        <f t="shared" si="9"/>
        <v>Ambiente Biossegurança NB1</v>
      </c>
      <c r="P106" s="32" t="s">
        <v>560</v>
      </c>
      <c r="Q106" s="32" t="str">
        <f t="shared" si="13"/>
        <v>Espacios arquitectónicos dimensionados y equipados para actividades de Laboratorio de Bajo Riesgo Biológico. Prácticas básicas de microbiología. Sin barreras especiales.</v>
      </c>
      <c r="R106" s="58" t="s">
        <v>10</v>
      </c>
      <c r="S106" s="32" t="str">
        <f t="shared" si="10"/>
        <v>Espacialidade</v>
      </c>
      <c r="T106" s="32" t="str">
        <f t="shared" si="10"/>
        <v>Elementos Espaciais</v>
      </c>
      <c r="U106" s="32" t="str">
        <f t="shared" si="10"/>
        <v>Ambientes de Risco</v>
      </c>
      <c r="V106" s="32" t="s">
        <v>184</v>
      </c>
      <c r="W106" s="47" t="str">
        <f t="shared" si="12"/>
        <v>Key-AMB-106</v>
      </c>
      <c r="X106" s="32" t="s">
        <v>339</v>
      </c>
      <c r="Y106" s="43" t="s">
        <v>322</v>
      </c>
      <c r="Z106" s="58" t="s">
        <v>513</v>
      </c>
      <c r="AA106" s="32" t="str">
        <f t="shared" si="11"/>
        <v>Architectural spaces sized and equipped for Low Biological Risk Laboratory activity. Basic microbiology practices. No special barriers.</v>
      </c>
    </row>
    <row r="107" spans="1:27" s="36" customFormat="1" ht="6.75" customHeight="1" x14ac:dyDescent="0.25">
      <c r="A107" s="51">
        <v>107</v>
      </c>
      <c r="B107" s="29" t="s">
        <v>675</v>
      </c>
      <c r="C107" s="29" t="s">
        <v>847</v>
      </c>
      <c r="D107" s="29" t="s">
        <v>388</v>
      </c>
      <c r="E107" s="29" t="s">
        <v>483</v>
      </c>
      <c r="F107" s="30" t="s">
        <v>641</v>
      </c>
      <c r="G107" s="46" t="s">
        <v>10</v>
      </c>
      <c r="H107" s="46" t="s">
        <v>10</v>
      </c>
      <c r="I107" s="46" t="s">
        <v>10</v>
      </c>
      <c r="J107" s="46" t="s">
        <v>10</v>
      </c>
      <c r="K107" s="46" t="s">
        <v>10</v>
      </c>
      <c r="L107" s="31" t="str">
        <f t="shared" si="14"/>
        <v>Espacialidade</v>
      </c>
      <c r="M107" s="31" t="str">
        <f t="shared" si="14"/>
        <v>Elementos.Espaciais</v>
      </c>
      <c r="N107" s="31" t="str">
        <f t="shared" si="9"/>
        <v>Ambientes de Risco</v>
      </c>
      <c r="O107" s="31" t="str">
        <f t="shared" si="9"/>
        <v>Ambiente Biossegurança NB2</v>
      </c>
      <c r="P107" s="32" t="s">
        <v>561</v>
      </c>
      <c r="Q107" s="32" t="str">
        <f t="shared" si="13"/>
        <v>Espacios arquitectónicos dimensionados y equipados para la actividad del Laboratorio de Riesgo Biológico Moderado. Con barreras primarias (EPI, sustrador, descontaminación). Acceso restringido.</v>
      </c>
      <c r="R107" s="58" t="s">
        <v>10</v>
      </c>
      <c r="S107" s="32" t="str">
        <f t="shared" si="10"/>
        <v>Espacialidade</v>
      </c>
      <c r="T107" s="32" t="str">
        <f t="shared" si="10"/>
        <v>Elementos Espaciais</v>
      </c>
      <c r="U107" s="32" t="str">
        <f t="shared" si="10"/>
        <v>Ambientes de Risco</v>
      </c>
      <c r="V107" s="32" t="s">
        <v>184</v>
      </c>
      <c r="W107" s="47" t="str">
        <f t="shared" si="12"/>
        <v>Key-AMB-107</v>
      </c>
      <c r="X107" s="32" t="s">
        <v>339</v>
      </c>
      <c r="Y107" s="43" t="s">
        <v>322</v>
      </c>
      <c r="Z107" s="58" t="s">
        <v>513</v>
      </c>
      <c r="AA107" s="32" t="str">
        <f t="shared" si="11"/>
        <v>Architectural spaces sized and equipped for the activity of Moderate Biological Risk Laboratory. With primary barriers (PPE, sink, decontamination). Restricted access.</v>
      </c>
    </row>
    <row r="108" spans="1:27" s="36" customFormat="1" ht="6.75" customHeight="1" x14ac:dyDescent="0.25">
      <c r="A108" s="51">
        <v>108</v>
      </c>
      <c r="B108" s="29" t="s">
        <v>675</v>
      </c>
      <c r="C108" s="29" t="s">
        <v>847</v>
      </c>
      <c r="D108" s="29" t="s">
        <v>388</v>
      </c>
      <c r="E108" s="29" t="s">
        <v>483</v>
      </c>
      <c r="F108" s="30" t="s">
        <v>642</v>
      </c>
      <c r="G108" s="46" t="s">
        <v>10</v>
      </c>
      <c r="H108" s="46" t="s">
        <v>10</v>
      </c>
      <c r="I108" s="46" t="s">
        <v>10</v>
      </c>
      <c r="J108" s="46" t="s">
        <v>10</v>
      </c>
      <c r="K108" s="46" t="s">
        <v>10</v>
      </c>
      <c r="L108" s="31" t="str">
        <f t="shared" si="14"/>
        <v>Espacialidade</v>
      </c>
      <c r="M108" s="31" t="str">
        <f t="shared" si="14"/>
        <v>Elementos.Espaciais</v>
      </c>
      <c r="N108" s="31" t="str">
        <f t="shared" si="9"/>
        <v>Ambientes de Risco</v>
      </c>
      <c r="O108" s="31" t="str">
        <f t="shared" si="9"/>
        <v>Ambiente Biossegurança NB3</v>
      </c>
      <c r="P108" s="32" t="s">
        <v>562</v>
      </c>
      <c r="Q108" s="32" t="str">
        <f t="shared" si="13"/>
        <v>Espacios arquitectónicos dimensionados y equipados para actividades de Laboratorio de Alto Riesgo Biológico. Con contención avanzada (cabinas de seguridad, ventilación controlada, duchas con agua). Acceso estricto.</v>
      </c>
      <c r="R108" s="58" t="s">
        <v>10</v>
      </c>
      <c r="S108" s="32" t="str">
        <f t="shared" si="10"/>
        <v>Espacialidade</v>
      </c>
      <c r="T108" s="32" t="str">
        <f t="shared" si="10"/>
        <v>Elementos Espaciais</v>
      </c>
      <c r="U108" s="32" t="str">
        <f t="shared" si="10"/>
        <v>Ambientes de Risco</v>
      </c>
      <c r="V108" s="32" t="s">
        <v>184</v>
      </c>
      <c r="W108" s="47" t="str">
        <f t="shared" si="12"/>
        <v>Key-AMB-108</v>
      </c>
      <c r="X108" s="32" t="s">
        <v>339</v>
      </c>
      <c r="Y108" s="43" t="s">
        <v>322</v>
      </c>
      <c r="Z108" s="58" t="s">
        <v>514</v>
      </c>
      <c r="AA108" s="32" t="str">
        <f t="shared" si="11"/>
        <v>Architectural spaces sized and equipped for High Biological Risk Laboratory activity. With advanced containment (safety cabins, controlled ventilation, water showers). Strict access.</v>
      </c>
    </row>
    <row r="109" spans="1:27" s="36" customFormat="1" ht="6.75" customHeight="1" x14ac:dyDescent="0.25">
      <c r="A109" s="51">
        <v>109</v>
      </c>
      <c r="B109" s="29" t="s">
        <v>675</v>
      </c>
      <c r="C109" s="29" t="s">
        <v>847</v>
      </c>
      <c r="D109" s="29" t="s">
        <v>388</v>
      </c>
      <c r="E109" s="29" t="s">
        <v>483</v>
      </c>
      <c r="F109" s="30" t="s">
        <v>643</v>
      </c>
      <c r="G109" s="46" t="s">
        <v>10</v>
      </c>
      <c r="H109" s="46" t="s">
        <v>10</v>
      </c>
      <c r="I109" s="46" t="s">
        <v>10</v>
      </c>
      <c r="J109" s="46" t="s">
        <v>10</v>
      </c>
      <c r="K109" s="46" t="s">
        <v>10</v>
      </c>
      <c r="L109" s="31" t="str">
        <f t="shared" si="14"/>
        <v>Espacialidade</v>
      </c>
      <c r="M109" s="31" t="str">
        <f t="shared" si="14"/>
        <v>Elementos.Espaciais</v>
      </c>
      <c r="N109" s="31" t="str">
        <f t="shared" si="9"/>
        <v>Ambientes de Risco</v>
      </c>
      <c r="O109" s="31" t="str">
        <f t="shared" si="9"/>
        <v>Ambiente Biossegurança NB4</v>
      </c>
      <c r="P109" s="32" t="s">
        <v>563</v>
      </c>
      <c r="Q109" s="32" t="str">
        <f t="shared" si="13"/>
        <v>Espacios arquitectónicos dimensionados y equipados para la actividad del Laboratorio de Muy Alto Riesgo Biológico. Con máxima contención (monos con aire filtrado, ducha química, zonas aisladas).</v>
      </c>
      <c r="R109" s="58" t="s">
        <v>10</v>
      </c>
      <c r="S109" s="32" t="str">
        <f t="shared" si="10"/>
        <v>Espacialidade</v>
      </c>
      <c r="T109" s="32" t="str">
        <f t="shared" si="10"/>
        <v>Elementos Espaciais</v>
      </c>
      <c r="U109" s="32" t="str">
        <f t="shared" si="10"/>
        <v>Ambientes de Risco</v>
      </c>
      <c r="V109" s="32" t="s">
        <v>184</v>
      </c>
      <c r="W109" s="47" t="str">
        <f t="shared" si="12"/>
        <v>Key-AMB-109</v>
      </c>
      <c r="X109" s="32" t="s">
        <v>339</v>
      </c>
      <c r="Y109" s="43" t="s">
        <v>322</v>
      </c>
      <c r="Z109" s="58" t="s">
        <v>513</v>
      </c>
      <c r="AA109" s="32" t="str">
        <f t="shared" si="11"/>
        <v>Architectural spaces sized and equipped for the activity of Very High Biological Risk Laboratory. With maximum containment (overalls with filtered air, chemical shower, isolated areas).</v>
      </c>
    </row>
    <row r="110" spans="1:27" s="36" customFormat="1" ht="6.75" customHeight="1" x14ac:dyDescent="0.25">
      <c r="A110" s="51">
        <v>110</v>
      </c>
      <c r="B110" s="29" t="s">
        <v>675</v>
      </c>
      <c r="C110" s="29" t="s">
        <v>847</v>
      </c>
      <c r="D110" s="29" t="s">
        <v>388</v>
      </c>
      <c r="E110" s="29" t="s">
        <v>483</v>
      </c>
      <c r="F110" s="30" t="s">
        <v>650</v>
      </c>
      <c r="G110" s="46" t="s">
        <v>10</v>
      </c>
      <c r="H110" s="46" t="s">
        <v>10</v>
      </c>
      <c r="I110" s="46" t="s">
        <v>10</v>
      </c>
      <c r="J110" s="46" t="s">
        <v>10</v>
      </c>
      <c r="K110" s="46" t="s">
        <v>10</v>
      </c>
      <c r="L110" s="31" t="str">
        <f t="shared" si="14"/>
        <v>Espacialidade</v>
      </c>
      <c r="M110" s="31" t="str">
        <f t="shared" si="14"/>
        <v>Elementos.Espaciais</v>
      </c>
      <c r="N110" s="31" t="str">
        <f t="shared" si="9"/>
        <v>Ambientes de Risco</v>
      </c>
      <c r="O110" s="31" t="str">
        <f t="shared" si="9"/>
        <v>Ambiente Paramentação</v>
      </c>
      <c r="P110" s="32" t="s">
        <v>651</v>
      </c>
      <c r="Q110" s="32" t="str">
        <f t="shared" si="13"/>
        <v>Espacios arquitectónicos dimensionados y equipados para la actividad de vestimiento de profesionales que trabajan en un entorno de contención de bioseguridad.</v>
      </c>
      <c r="R110" s="58" t="s">
        <v>10</v>
      </c>
      <c r="S110" s="32" t="str">
        <f t="shared" si="10"/>
        <v>Espacialidade</v>
      </c>
      <c r="T110" s="32" t="str">
        <f t="shared" si="10"/>
        <v>Elementos Espaciais</v>
      </c>
      <c r="U110" s="32" t="str">
        <f t="shared" si="10"/>
        <v>Ambientes de Risco</v>
      </c>
      <c r="V110" s="32" t="s">
        <v>184</v>
      </c>
      <c r="W110" s="47" t="str">
        <f t="shared" si="12"/>
        <v>Key-AMB-110</v>
      </c>
      <c r="X110" s="32" t="s">
        <v>339</v>
      </c>
      <c r="Y110" s="43" t="s">
        <v>322</v>
      </c>
      <c r="Z110" s="58" t="s">
        <v>513</v>
      </c>
      <c r="AA110" s="32" t="str">
        <f t="shared" si="11"/>
        <v>Architectural spaces sized and equipped for the activity of Vestment of professionals who work in a Biosafety containment environment.</v>
      </c>
    </row>
    <row r="111" spans="1:27" s="36" customFormat="1" ht="6.75" customHeight="1" x14ac:dyDescent="0.25">
      <c r="A111" s="51">
        <v>111</v>
      </c>
      <c r="B111" s="29" t="s">
        <v>675</v>
      </c>
      <c r="C111" s="29" t="s">
        <v>847</v>
      </c>
      <c r="D111" s="29" t="s">
        <v>388</v>
      </c>
      <c r="E111" s="29" t="s">
        <v>581</v>
      </c>
      <c r="F111" s="30" t="s">
        <v>628</v>
      </c>
      <c r="G111" s="46" t="s">
        <v>10</v>
      </c>
      <c r="H111" s="46" t="s">
        <v>10</v>
      </c>
      <c r="I111" s="46" t="s">
        <v>10</v>
      </c>
      <c r="J111" s="46" t="s">
        <v>10</v>
      </c>
      <c r="K111" s="46" t="s">
        <v>10</v>
      </c>
      <c r="L111" s="31" t="str">
        <f t="shared" si="14"/>
        <v>Espacialidade</v>
      </c>
      <c r="M111" s="31" t="str">
        <f t="shared" si="14"/>
        <v>Elementos.Espaciais</v>
      </c>
      <c r="N111" s="31" t="str">
        <f t="shared" si="9"/>
        <v>Ambientes Formativos</v>
      </c>
      <c r="O111" s="31" t="str">
        <f t="shared" si="9"/>
        <v>Ambiente Infantil</v>
      </c>
      <c r="P111" s="32" t="s">
        <v>570</v>
      </c>
      <c r="Q111" s="32" t="str">
        <f t="shared" si="13"/>
        <v>Espacios arquitectónicos de tamaño y equipamiento para actividades infantiles.</v>
      </c>
      <c r="R111" s="58" t="s">
        <v>10</v>
      </c>
      <c r="S111" s="32" t="str">
        <f t="shared" si="10"/>
        <v>Espacialidade</v>
      </c>
      <c r="T111" s="32" t="str">
        <f t="shared" si="10"/>
        <v>Elementos Espaciais</v>
      </c>
      <c r="U111" s="32" t="str">
        <f t="shared" si="10"/>
        <v>Ambientes Formativos</v>
      </c>
      <c r="V111" s="32" t="s">
        <v>184</v>
      </c>
      <c r="W111" s="47" t="str">
        <f t="shared" si="12"/>
        <v>Key-AMB-111</v>
      </c>
      <c r="X111" s="32" t="s">
        <v>339</v>
      </c>
      <c r="Y111" s="43" t="s">
        <v>322</v>
      </c>
      <c r="Z111" s="58" t="s">
        <v>653</v>
      </c>
      <c r="AA111" s="32" t="str">
        <f t="shared" si="11"/>
        <v>Architectural spaces sized and equipped for children's activities.</v>
      </c>
    </row>
    <row r="112" spans="1:27" s="36" customFormat="1" ht="6.75" customHeight="1" x14ac:dyDescent="0.25">
      <c r="A112" s="51">
        <v>112</v>
      </c>
      <c r="B112" s="29" t="s">
        <v>675</v>
      </c>
      <c r="C112" s="29" t="s">
        <v>847</v>
      </c>
      <c r="D112" s="29" t="s">
        <v>388</v>
      </c>
      <c r="E112" s="29" t="s">
        <v>581</v>
      </c>
      <c r="F112" s="30" t="s">
        <v>629</v>
      </c>
      <c r="G112" s="46" t="s">
        <v>10</v>
      </c>
      <c r="H112" s="46" t="s">
        <v>10</v>
      </c>
      <c r="I112" s="46" t="s">
        <v>10</v>
      </c>
      <c r="J112" s="46" t="s">
        <v>10</v>
      </c>
      <c r="K112" s="46" t="s">
        <v>10</v>
      </c>
      <c r="L112" s="31" t="str">
        <f t="shared" si="14"/>
        <v>Espacialidade</v>
      </c>
      <c r="M112" s="31" t="str">
        <f t="shared" si="14"/>
        <v>Elementos.Espaciais</v>
      </c>
      <c r="N112" s="31" t="str">
        <f t="shared" si="9"/>
        <v>Ambientes Formativos</v>
      </c>
      <c r="O112" s="31" t="str">
        <f t="shared" si="9"/>
        <v>Ambiente Ensino</v>
      </c>
      <c r="P112" s="32" t="s">
        <v>571</v>
      </c>
      <c r="Q112" s="32" t="str">
        <f t="shared" si="13"/>
        <v>Espacios arquitectónicos dimensionados y equipados para actividades docentes e investigadoras generales</v>
      </c>
      <c r="R112" s="58" t="s">
        <v>10</v>
      </c>
      <c r="S112" s="32" t="str">
        <f t="shared" si="10"/>
        <v>Espacialidade</v>
      </c>
      <c r="T112" s="32" t="str">
        <f t="shared" si="10"/>
        <v>Elementos Espaciais</v>
      </c>
      <c r="U112" s="32" t="str">
        <f t="shared" si="10"/>
        <v>Ambientes Formativos</v>
      </c>
      <c r="V112" s="32" t="s">
        <v>184</v>
      </c>
      <c r="W112" s="47" t="str">
        <f t="shared" si="12"/>
        <v>Key-AMB-112</v>
      </c>
      <c r="X112" s="32" t="s">
        <v>339</v>
      </c>
      <c r="Y112" s="43" t="s">
        <v>322</v>
      </c>
      <c r="Z112" s="58" t="s">
        <v>653</v>
      </c>
      <c r="AA112" s="32" t="str">
        <f t="shared" si="11"/>
        <v>Architectural spaces sized and equipped for Teaching and General Research activities</v>
      </c>
    </row>
    <row r="113" spans="1:27" s="36" customFormat="1" ht="6.75" customHeight="1" x14ac:dyDescent="0.25">
      <c r="A113" s="51">
        <v>113</v>
      </c>
      <c r="B113" s="29" t="s">
        <v>675</v>
      </c>
      <c r="C113" s="29" t="s">
        <v>847</v>
      </c>
      <c r="D113" s="29" t="s">
        <v>388</v>
      </c>
      <c r="E113" s="29" t="s">
        <v>581</v>
      </c>
      <c r="F113" s="30" t="s">
        <v>630</v>
      </c>
      <c r="G113" s="46" t="s">
        <v>10</v>
      </c>
      <c r="H113" s="46" t="s">
        <v>10</v>
      </c>
      <c r="I113" s="46" t="s">
        <v>10</v>
      </c>
      <c r="J113" s="46" t="s">
        <v>10</v>
      </c>
      <c r="K113" s="46" t="s">
        <v>10</v>
      </c>
      <c r="L113" s="31" t="str">
        <f t="shared" si="14"/>
        <v>Espacialidade</v>
      </c>
      <c r="M113" s="31" t="str">
        <f t="shared" si="14"/>
        <v>Elementos.Espaciais</v>
      </c>
      <c r="N113" s="31" t="str">
        <f t="shared" si="9"/>
        <v>Ambientes Formativos</v>
      </c>
      <c r="O113" s="31" t="str">
        <f t="shared" si="9"/>
        <v>Ambiente Ensino Artístico</v>
      </c>
      <c r="P113" s="32" t="s">
        <v>564</v>
      </c>
      <c r="Q113" s="32" t="str">
        <f t="shared" si="13"/>
        <v>Espacios arquitectónicos dimensionados y equipados para actividades de enseñanza e investigación artística relacionadas con los plásticos, como pintura, escultura, etc.</v>
      </c>
      <c r="R113" s="58" t="s">
        <v>10</v>
      </c>
      <c r="S113" s="32" t="str">
        <f t="shared" si="10"/>
        <v>Espacialidade</v>
      </c>
      <c r="T113" s="32" t="str">
        <f t="shared" si="10"/>
        <v>Elementos Espaciais</v>
      </c>
      <c r="U113" s="32" t="str">
        <f t="shared" si="10"/>
        <v>Ambientes Formativos</v>
      </c>
      <c r="V113" s="32" t="s">
        <v>184</v>
      </c>
      <c r="W113" s="47" t="str">
        <f t="shared" si="12"/>
        <v>Key-AMB-113</v>
      </c>
      <c r="X113" s="32" t="s">
        <v>339</v>
      </c>
      <c r="Y113" s="43" t="s">
        <v>322</v>
      </c>
      <c r="Z113" s="58" t="s">
        <v>653</v>
      </c>
      <c r="AA113" s="32" t="str">
        <f t="shared" si="11"/>
        <v>Architectural spaces sized and equipped for Teaching and Artistic Research activities related to plastics, such as painting, sculpture, etc.</v>
      </c>
    </row>
    <row r="114" spans="1:27" s="36" customFormat="1" ht="6.75" customHeight="1" x14ac:dyDescent="0.25">
      <c r="A114" s="51">
        <v>114</v>
      </c>
      <c r="B114" s="29" t="s">
        <v>675</v>
      </c>
      <c r="C114" s="29" t="s">
        <v>847</v>
      </c>
      <c r="D114" s="29" t="s">
        <v>388</v>
      </c>
      <c r="E114" s="29" t="s">
        <v>581</v>
      </c>
      <c r="F114" s="30" t="s">
        <v>631</v>
      </c>
      <c r="G114" s="46" t="s">
        <v>10</v>
      </c>
      <c r="H114" s="46" t="s">
        <v>10</v>
      </c>
      <c r="I114" s="46" t="s">
        <v>10</v>
      </c>
      <c r="J114" s="46" t="s">
        <v>10</v>
      </c>
      <c r="K114" s="46" t="s">
        <v>10</v>
      </c>
      <c r="L114" s="31" t="str">
        <f t="shared" si="14"/>
        <v>Espacialidade</v>
      </c>
      <c r="M114" s="31" t="str">
        <f t="shared" si="14"/>
        <v>Elementos.Espaciais</v>
      </c>
      <c r="N114" s="31" t="str">
        <f t="shared" si="9"/>
        <v>Ambientes Formativos</v>
      </c>
      <c r="O114" s="31" t="str">
        <f t="shared" si="9"/>
        <v>Ambiente Ensino Científico</v>
      </c>
      <c r="P114" s="32" t="s">
        <v>565</v>
      </c>
      <c r="Q114" s="32" t="str">
        <f t="shared" si="13"/>
        <v>Espacios arquitectónicos dimensionados y equipados para actividades de enseñanza e investigación científica.</v>
      </c>
      <c r="R114" s="58" t="s">
        <v>10</v>
      </c>
      <c r="S114" s="32" t="str">
        <f t="shared" si="10"/>
        <v>Espacialidade</v>
      </c>
      <c r="T114" s="32" t="str">
        <f t="shared" si="10"/>
        <v>Elementos Espaciais</v>
      </c>
      <c r="U114" s="32" t="str">
        <f t="shared" si="10"/>
        <v>Ambientes Formativos</v>
      </c>
      <c r="V114" s="32" t="s">
        <v>184</v>
      </c>
      <c r="W114" s="47" t="str">
        <f t="shared" si="12"/>
        <v>Key-AMB-114</v>
      </c>
      <c r="X114" s="32" t="s">
        <v>339</v>
      </c>
      <c r="Y114" s="43" t="s">
        <v>322</v>
      </c>
      <c r="Z114" s="58" t="s">
        <v>653</v>
      </c>
      <c r="AA114" s="32" t="str">
        <f t="shared" si="11"/>
        <v>Architectural spaces sized and equipped for Science Teaching and Research activities.</v>
      </c>
    </row>
    <row r="115" spans="1:27" s="36" customFormat="1" ht="6.75" customHeight="1" x14ac:dyDescent="0.25">
      <c r="A115" s="51">
        <v>115</v>
      </c>
      <c r="B115" s="29" t="s">
        <v>675</v>
      </c>
      <c r="C115" s="29" t="s">
        <v>847</v>
      </c>
      <c r="D115" s="29" t="s">
        <v>388</v>
      </c>
      <c r="E115" s="29" t="s">
        <v>581</v>
      </c>
      <c r="F115" s="30" t="s">
        <v>632</v>
      </c>
      <c r="G115" s="46" t="s">
        <v>10</v>
      </c>
      <c r="H115" s="46" t="s">
        <v>10</v>
      </c>
      <c r="I115" s="46" t="s">
        <v>10</v>
      </c>
      <c r="J115" s="46" t="s">
        <v>10</v>
      </c>
      <c r="K115" s="46" t="s">
        <v>10</v>
      </c>
      <c r="L115" s="31" t="str">
        <f t="shared" si="14"/>
        <v>Espacialidade</v>
      </c>
      <c r="M115" s="31" t="str">
        <f t="shared" si="14"/>
        <v>Elementos.Espaciais</v>
      </c>
      <c r="N115" s="31" t="str">
        <f t="shared" si="9"/>
        <v>Ambientes Formativos</v>
      </c>
      <c r="O115" s="31" t="str">
        <f t="shared" si="9"/>
        <v>Ambiente Ensino Técnico</v>
      </c>
      <c r="P115" s="32" t="s">
        <v>577</v>
      </c>
      <c r="Q115" s="32" t="str">
        <f t="shared" si="13"/>
        <v>Espacios arquitectónicos dimensionados y equipados para la enseñanza o la investigación en habilidades técnicas, gráficas, electrónicas, etc.</v>
      </c>
      <c r="R115" s="58" t="s">
        <v>10</v>
      </c>
      <c r="S115" s="32" t="str">
        <f t="shared" si="10"/>
        <v>Espacialidade</v>
      </c>
      <c r="T115" s="32" t="str">
        <f t="shared" si="10"/>
        <v>Elementos Espaciais</v>
      </c>
      <c r="U115" s="32" t="str">
        <f t="shared" si="10"/>
        <v>Ambientes Formativos</v>
      </c>
      <c r="V115" s="32" t="s">
        <v>184</v>
      </c>
      <c r="W115" s="47" t="str">
        <f t="shared" si="12"/>
        <v>Key-AMB-115</v>
      </c>
      <c r="X115" s="32" t="s">
        <v>339</v>
      </c>
      <c r="Y115" s="43" t="s">
        <v>322</v>
      </c>
      <c r="Z115" s="58" t="s">
        <v>653</v>
      </c>
      <c r="AA115" s="32" t="str">
        <f t="shared" si="11"/>
        <v>Architectural spaces sized and equipped for Teaching or Research in technical, graphic, electronic skills, etc.</v>
      </c>
    </row>
    <row r="116" spans="1:27" s="36" customFormat="1" ht="6.75" customHeight="1" x14ac:dyDescent="0.25">
      <c r="A116" s="51">
        <v>116</v>
      </c>
      <c r="B116" s="29" t="s">
        <v>675</v>
      </c>
      <c r="C116" s="29" t="s">
        <v>847</v>
      </c>
      <c r="D116" s="29" t="s">
        <v>388</v>
      </c>
      <c r="E116" s="29" t="s">
        <v>581</v>
      </c>
      <c r="F116" s="30" t="s">
        <v>633</v>
      </c>
      <c r="G116" s="46" t="s">
        <v>10</v>
      </c>
      <c r="H116" s="46" t="s">
        <v>10</v>
      </c>
      <c r="I116" s="46" t="s">
        <v>10</v>
      </c>
      <c r="J116" s="46" t="s">
        <v>10</v>
      </c>
      <c r="K116" s="46" t="s">
        <v>10</v>
      </c>
      <c r="L116" s="31" t="str">
        <f t="shared" si="14"/>
        <v>Espacialidade</v>
      </c>
      <c r="M116" s="31" t="str">
        <f t="shared" si="14"/>
        <v>Elementos.Espaciais</v>
      </c>
      <c r="N116" s="31" t="str">
        <f t="shared" si="9"/>
        <v>Ambientes Formativos</v>
      </c>
      <c r="O116" s="31" t="str">
        <f t="shared" si="9"/>
        <v>Ambiente Ensino Informática</v>
      </c>
      <c r="P116" s="32" t="s">
        <v>572</v>
      </c>
      <c r="Q116" s="32" t="str">
        <f t="shared" si="13"/>
        <v>Espacios arquitectónicos dimensionados y equipados para la enseñanza o la investigación en informática.</v>
      </c>
      <c r="R116" s="58" t="s">
        <v>10</v>
      </c>
      <c r="S116" s="32" t="str">
        <f t="shared" si="10"/>
        <v>Espacialidade</v>
      </c>
      <c r="T116" s="32" t="str">
        <f t="shared" si="10"/>
        <v>Elementos Espaciais</v>
      </c>
      <c r="U116" s="32" t="str">
        <f t="shared" si="10"/>
        <v>Ambientes Formativos</v>
      </c>
      <c r="V116" s="32" t="s">
        <v>184</v>
      </c>
      <c r="W116" s="47" t="str">
        <f t="shared" si="12"/>
        <v>Key-AMB-116</v>
      </c>
      <c r="X116" s="32" t="s">
        <v>339</v>
      </c>
      <c r="Y116" s="43" t="s">
        <v>322</v>
      </c>
      <c r="Z116" s="58" t="s">
        <v>653</v>
      </c>
      <c r="AA116" s="32" t="str">
        <f t="shared" si="11"/>
        <v>Architectural spaces sized and equipped for Teaching or Research in Informatics.</v>
      </c>
    </row>
    <row r="117" spans="1:27" s="36" customFormat="1" ht="6.75" customHeight="1" x14ac:dyDescent="0.25">
      <c r="A117" s="51">
        <v>117</v>
      </c>
      <c r="B117" s="29" t="s">
        <v>675</v>
      </c>
      <c r="C117" s="29" t="s">
        <v>847</v>
      </c>
      <c r="D117" s="29" t="s">
        <v>388</v>
      </c>
      <c r="E117" s="29" t="s">
        <v>581</v>
      </c>
      <c r="F117" s="30" t="s">
        <v>634</v>
      </c>
      <c r="G117" s="46" t="s">
        <v>10</v>
      </c>
      <c r="H117" s="46" t="s">
        <v>10</v>
      </c>
      <c r="I117" s="46" t="s">
        <v>10</v>
      </c>
      <c r="J117" s="46" t="s">
        <v>10</v>
      </c>
      <c r="K117" s="46" t="s">
        <v>10</v>
      </c>
      <c r="L117" s="31" t="str">
        <f t="shared" si="14"/>
        <v>Espacialidade</v>
      </c>
      <c r="M117" s="31" t="str">
        <f t="shared" si="14"/>
        <v>Elementos.Espaciais</v>
      </c>
      <c r="N117" s="31" t="str">
        <f t="shared" si="9"/>
        <v>Ambientes Formativos</v>
      </c>
      <c r="O117" s="31" t="str">
        <f t="shared" si="9"/>
        <v>Ambiente Ensino Química</v>
      </c>
      <c r="P117" s="32" t="s">
        <v>573</v>
      </c>
      <c r="Q117" s="32" t="str">
        <f t="shared" si="13"/>
        <v>Espacios arquitectónicos dimensionados y equipados para la enseñanza o investigación en química.</v>
      </c>
      <c r="R117" s="58" t="s">
        <v>10</v>
      </c>
      <c r="S117" s="32" t="str">
        <f t="shared" si="10"/>
        <v>Espacialidade</v>
      </c>
      <c r="T117" s="32" t="str">
        <f t="shared" si="10"/>
        <v>Elementos Espaciais</v>
      </c>
      <c r="U117" s="32" t="str">
        <f t="shared" si="10"/>
        <v>Ambientes Formativos</v>
      </c>
      <c r="V117" s="32" t="s">
        <v>184</v>
      </c>
      <c r="W117" s="47" t="str">
        <f t="shared" si="12"/>
        <v>Key-AMB-117</v>
      </c>
      <c r="X117" s="32" t="s">
        <v>339</v>
      </c>
      <c r="Y117" s="43" t="s">
        <v>322</v>
      </c>
      <c r="Z117" s="58" t="s">
        <v>653</v>
      </c>
      <c r="AA117" s="32" t="str">
        <f t="shared" si="11"/>
        <v>Architectural spaces sized and equipped for Teaching or Research in Chemistry.</v>
      </c>
    </row>
    <row r="118" spans="1:27" s="36" customFormat="1" ht="6.75" customHeight="1" x14ac:dyDescent="0.25">
      <c r="A118" s="51">
        <v>118</v>
      </c>
      <c r="B118" s="29" t="s">
        <v>675</v>
      </c>
      <c r="C118" s="29" t="s">
        <v>847</v>
      </c>
      <c r="D118" s="29" t="s">
        <v>388</v>
      </c>
      <c r="E118" s="29" t="s">
        <v>581</v>
      </c>
      <c r="F118" s="30" t="s">
        <v>635</v>
      </c>
      <c r="G118" s="46" t="s">
        <v>10</v>
      </c>
      <c r="H118" s="46" t="s">
        <v>10</v>
      </c>
      <c r="I118" s="46" t="s">
        <v>10</v>
      </c>
      <c r="J118" s="46" t="s">
        <v>10</v>
      </c>
      <c r="K118" s="46" t="s">
        <v>10</v>
      </c>
      <c r="L118" s="31" t="str">
        <f t="shared" si="14"/>
        <v>Espacialidade</v>
      </c>
      <c r="M118" s="31" t="str">
        <f t="shared" si="14"/>
        <v>Elementos.Espaciais</v>
      </c>
      <c r="N118" s="31" t="str">
        <f t="shared" si="9"/>
        <v>Ambientes Formativos</v>
      </c>
      <c r="O118" s="31" t="str">
        <f t="shared" si="9"/>
        <v>Ambiente Ensino Física</v>
      </c>
      <c r="P118" s="32" t="s">
        <v>574</v>
      </c>
      <c r="Q118" s="32" t="str">
        <f t="shared" si="13"/>
        <v>Espacios arquitectónicos dimensionados y equipados para la enseñanza o investigación en física.</v>
      </c>
      <c r="R118" s="58" t="s">
        <v>10</v>
      </c>
      <c r="S118" s="32" t="str">
        <f t="shared" si="10"/>
        <v>Espacialidade</v>
      </c>
      <c r="T118" s="32" t="str">
        <f t="shared" si="10"/>
        <v>Elementos Espaciais</v>
      </c>
      <c r="U118" s="32" t="str">
        <f t="shared" si="10"/>
        <v>Ambientes Formativos</v>
      </c>
      <c r="V118" s="32" t="s">
        <v>184</v>
      </c>
      <c r="W118" s="47" t="str">
        <f t="shared" si="12"/>
        <v>Key-AMB-118</v>
      </c>
      <c r="X118" s="32" t="s">
        <v>339</v>
      </c>
      <c r="Y118" s="43" t="s">
        <v>322</v>
      </c>
      <c r="Z118" s="58" t="s">
        <v>653</v>
      </c>
      <c r="AA118" s="32" t="str">
        <f t="shared" si="11"/>
        <v>Architectural spaces sized and equipped for Teaching or Research in Physics.</v>
      </c>
    </row>
    <row r="119" spans="1:27" s="36" customFormat="1" ht="6.75" customHeight="1" x14ac:dyDescent="0.25">
      <c r="A119" s="51">
        <v>119</v>
      </c>
      <c r="B119" s="29" t="s">
        <v>675</v>
      </c>
      <c r="C119" s="29" t="s">
        <v>847</v>
      </c>
      <c r="D119" s="29" t="s">
        <v>388</v>
      </c>
      <c r="E119" s="29" t="s">
        <v>581</v>
      </c>
      <c r="F119" s="30" t="s">
        <v>636</v>
      </c>
      <c r="G119" s="46" t="s">
        <v>10</v>
      </c>
      <c r="H119" s="46" t="s">
        <v>10</v>
      </c>
      <c r="I119" s="46" t="s">
        <v>10</v>
      </c>
      <c r="J119" s="46" t="s">
        <v>10</v>
      </c>
      <c r="K119" s="46" t="s">
        <v>10</v>
      </c>
      <c r="L119" s="31" t="str">
        <f t="shared" si="14"/>
        <v>Espacialidade</v>
      </c>
      <c r="M119" s="31" t="str">
        <f t="shared" si="14"/>
        <v>Elementos.Espaciais</v>
      </c>
      <c r="N119" s="31" t="str">
        <f t="shared" si="9"/>
        <v>Ambientes Formativos</v>
      </c>
      <c r="O119" s="31" t="str">
        <f t="shared" si="9"/>
        <v>Ambiente Ensino Biologia</v>
      </c>
      <c r="P119" s="32" t="s">
        <v>575</v>
      </c>
      <c r="Q119" s="32" t="str">
        <f t="shared" si="13"/>
        <v>Espacios arquitectónicos dimensionados y equipados para la enseñanza o investigación en Biología.</v>
      </c>
      <c r="R119" s="58" t="s">
        <v>10</v>
      </c>
      <c r="S119" s="32" t="str">
        <f t="shared" si="10"/>
        <v>Espacialidade</v>
      </c>
      <c r="T119" s="32" t="str">
        <f t="shared" si="10"/>
        <v>Elementos Espaciais</v>
      </c>
      <c r="U119" s="32" t="str">
        <f t="shared" si="10"/>
        <v>Ambientes Formativos</v>
      </c>
      <c r="V119" s="32" t="s">
        <v>184</v>
      </c>
      <c r="W119" s="47" t="str">
        <f t="shared" si="12"/>
        <v>Key-AMB-119</v>
      </c>
      <c r="X119" s="32" t="s">
        <v>339</v>
      </c>
      <c r="Y119" s="43" t="s">
        <v>322</v>
      </c>
      <c r="Z119" s="58" t="s">
        <v>653</v>
      </c>
      <c r="AA119" s="32" t="str">
        <f t="shared" si="11"/>
        <v>Architectural spaces sized and equipped for Teaching or Research in Biology.</v>
      </c>
    </row>
    <row r="120" spans="1:27" s="36" customFormat="1" ht="6.75" customHeight="1" x14ac:dyDescent="0.25">
      <c r="A120" s="51">
        <v>120</v>
      </c>
      <c r="B120" s="29" t="s">
        <v>675</v>
      </c>
      <c r="C120" s="29" t="s">
        <v>847</v>
      </c>
      <c r="D120" s="29" t="s">
        <v>388</v>
      </c>
      <c r="E120" s="29" t="s">
        <v>581</v>
      </c>
      <c r="F120" s="30" t="s">
        <v>637</v>
      </c>
      <c r="G120" s="46" t="s">
        <v>10</v>
      </c>
      <c r="H120" s="46" t="s">
        <v>10</v>
      </c>
      <c r="I120" s="46" t="s">
        <v>10</v>
      </c>
      <c r="J120" s="46" t="s">
        <v>10</v>
      </c>
      <c r="K120" s="46" t="s">
        <v>10</v>
      </c>
      <c r="L120" s="31" t="str">
        <f t="shared" si="14"/>
        <v>Espacialidade</v>
      </c>
      <c r="M120" s="31" t="str">
        <f t="shared" si="14"/>
        <v>Elementos.Espaciais</v>
      </c>
      <c r="N120" s="31" t="str">
        <f t="shared" si="9"/>
        <v>Ambientes Formativos</v>
      </c>
      <c r="O120" s="31" t="str">
        <f t="shared" si="9"/>
        <v>Ambiente Ensino Música</v>
      </c>
      <c r="P120" s="32" t="s">
        <v>576</v>
      </c>
      <c r="Q120" s="32" t="str">
        <f t="shared" si="13"/>
        <v>Espacios arquitectónicos dimensionados y equipados para la enseñanza o investigación en música o artes escénicas.</v>
      </c>
      <c r="R120" s="58" t="s">
        <v>10</v>
      </c>
      <c r="S120" s="32" t="str">
        <f t="shared" si="10"/>
        <v>Espacialidade</v>
      </c>
      <c r="T120" s="32" t="str">
        <f t="shared" si="10"/>
        <v>Elementos Espaciais</v>
      </c>
      <c r="U120" s="32" t="str">
        <f t="shared" si="10"/>
        <v>Ambientes Formativos</v>
      </c>
      <c r="V120" s="32" t="s">
        <v>184</v>
      </c>
      <c r="W120" s="47" t="str">
        <f t="shared" si="12"/>
        <v>Key-AMB-120</v>
      </c>
      <c r="X120" s="32" t="s">
        <v>339</v>
      </c>
      <c r="Y120" s="43" t="s">
        <v>322</v>
      </c>
      <c r="Z120" s="58" t="s">
        <v>653</v>
      </c>
      <c r="AA120" s="32" t="str">
        <f t="shared" si="11"/>
        <v>Architectural spaces sized and equipped for Teaching or Research in Music or Performing Arts.</v>
      </c>
    </row>
    <row r="121" spans="1:27" s="36" customFormat="1" ht="6.75" customHeight="1" x14ac:dyDescent="0.25">
      <c r="A121" s="51">
        <v>121</v>
      </c>
      <c r="B121" s="29" t="s">
        <v>675</v>
      </c>
      <c r="C121" s="29" t="s">
        <v>847</v>
      </c>
      <c r="D121" s="29" t="s">
        <v>388</v>
      </c>
      <c r="E121" s="29" t="s">
        <v>581</v>
      </c>
      <c r="F121" s="30" t="s">
        <v>638</v>
      </c>
      <c r="G121" s="46" t="s">
        <v>10</v>
      </c>
      <c r="H121" s="46" t="s">
        <v>10</v>
      </c>
      <c r="I121" s="46" t="s">
        <v>10</v>
      </c>
      <c r="J121" s="46" t="s">
        <v>10</v>
      </c>
      <c r="K121" s="46" t="s">
        <v>10</v>
      </c>
      <c r="L121" s="31" t="str">
        <f t="shared" ref="L121:M136" si="15">CONCATENATE("", C121)</f>
        <v>Espacialidade</v>
      </c>
      <c r="M121" s="31" t="str">
        <f t="shared" si="15"/>
        <v>Elementos.Espaciais</v>
      </c>
      <c r="N121" s="31" t="str">
        <f t="shared" si="9"/>
        <v>Ambientes Formativos</v>
      </c>
      <c r="O121" s="31" t="str">
        <f t="shared" si="9"/>
        <v>Ambiente Ensino FabLab</v>
      </c>
      <c r="P121" s="32" t="s">
        <v>505</v>
      </c>
      <c r="Q121" s="32" t="str">
        <f t="shared" si="13"/>
        <v>Espacios arquitectónicos dimensionados y equipados para la enseñanza o la investigación en fabricación robótica, impresión 3D, corte láser y otras tecnologías de fabricación.</v>
      </c>
      <c r="R121" s="58" t="s">
        <v>10</v>
      </c>
      <c r="S121" s="32" t="str">
        <f t="shared" si="10"/>
        <v>Espacialidade</v>
      </c>
      <c r="T121" s="32" t="str">
        <f t="shared" si="10"/>
        <v>Elementos Espaciais</v>
      </c>
      <c r="U121" s="32" t="str">
        <f t="shared" si="10"/>
        <v>Ambientes Formativos</v>
      </c>
      <c r="V121" s="32" t="s">
        <v>184</v>
      </c>
      <c r="W121" s="47" t="str">
        <f t="shared" si="12"/>
        <v>Key-AMB-121</v>
      </c>
      <c r="X121" s="32" t="s">
        <v>339</v>
      </c>
      <c r="Y121" s="43" t="s">
        <v>322</v>
      </c>
      <c r="Z121" s="58" t="s">
        <v>653</v>
      </c>
      <c r="AA121" s="32" t="str">
        <f t="shared" si="11"/>
        <v>Architectural spaces sized and equipped for Teaching or Research in robotic fabrication, 3D printing, laser cutting and other fabrication technologies.</v>
      </c>
    </row>
    <row r="122" spans="1:27" s="36" customFormat="1" ht="6.75" customHeight="1" x14ac:dyDescent="0.25">
      <c r="A122" s="51">
        <v>122</v>
      </c>
      <c r="B122" s="29" t="s">
        <v>675</v>
      </c>
      <c r="C122" s="29" t="s">
        <v>847</v>
      </c>
      <c r="D122" s="29" t="s">
        <v>388</v>
      </c>
      <c r="E122" s="29" t="s">
        <v>581</v>
      </c>
      <c r="F122" s="30" t="s">
        <v>639</v>
      </c>
      <c r="G122" s="46" t="s">
        <v>10</v>
      </c>
      <c r="H122" s="46" t="s">
        <v>10</v>
      </c>
      <c r="I122" s="46" t="s">
        <v>10</v>
      </c>
      <c r="J122" s="46" t="s">
        <v>10</v>
      </c>
      <c r="K122" s="46" t="s">
        <v>10</v>
      </c>
      <c r="L122" s="31" t="str">
        <f t="shared" si="15"/>
        <v>Espacialidade</v>
      </c>
      <c r="M122" s="31" t="str">
        <f t="shared" si="15"/>
        <v>Elementos.Espaciais</v>
      </c>
      <c r="N122" s="31" t="str">
        <f t="shared" si="9"/>
        <v>Ambientes Formativos</v>
      </c>
      <c r="O122" s="31" t="str">
        <f t="shared" si="9"/>
        <v>Ambiente Recreativo</v>
      </c>
      <c r="P122" s="32" t="s">
        <v>578</v>
      </c>
      <c r="Q122" s="32" t="str">
        <f t="shared" si="13"/>
        <v>Espacios arquitectónicos de tamaño y equipamiento para actividades escolares recreativas.</v>
      </c>
      <c r="R122" s="58" t="s">
        <v>10</v>
      </c>
      <c r="S122" s="32" t="str">
        <f t="shared" si="10"/>
        <v>Espacialidade</v>
      </c>
      <c r="T122" s="32" t="str">
        <f t="shared" si="10"/>
        <v>Elementos Espaciais</v>
      </c>
      <c r="U122" s="32" t="str">
        <f t="shared" si="10"/>
        <v>Ambientes Formativos</v>
      </c>
      <c r="V122" s="32" t="s">
        <v>184</v>
      </c>
      <c r="W122" s="47" t="str">
        <f t="shared" si="12"/>
        <v>Key-AMB-122</v>
      </c>
      <c r="X122" s="32" t="s">
        <v>339</v>
      </c>
      <c r="Y122" s="43" t="s">
        <v>322</v>
      </c>
      <c r="Z122" s="58" t="s">
        <v>653</v>
      </c>
      <c r="AA122" s="32" t="str">
        <f t="shared" si="11"/>
        <v>Architectural spaces sized and equipped for recreational school activities.</v>
      </c>
    </row>
    <row r="123" spans="1:27" s="36" customFormat="1" ht="6.75" customHeight="1" x14ac:dyDescent="0.25">
      <c r="A123" s="51">
        <v>123</v>
      </c>
      <c r="B123" s="29" t="s">
        <v>675</v>
      </c>
      <c r="C123" s="29" t="s">
        <v>847</v>
      </c>
      <c r="D123" s="29" t="s">
        <v>388</v>
      </c>
      <c r="E123" s="29" t="s">
        <v>484</v>
      </c>
      <c r="F123" s="30" t="s">
        <v>227</v>
      </c>
      <c r="G123" s="46" t="s">
        <v>10</v>
      </c>
      <c r="H123" s="46" t="s">
        <v>10</v>
      </c>
      <c r="I123" s="46" t="s">
        <v>10</v>
      </c>
      <c r="J123" s="46" t="s">
        <v>10</v>
      </c>
      <c r="K123" s="46" t="s">
        <v>10</v>
      </c>
      <c r="L123" s="31" t="str">
        <f t="shared" si="15"/>
        <v>Espacialidade</v>
      </c>
      <c r="M123" s="31" t="str">
        <f t="shared" si="15"/>
        <v>Elementos.Espaciais</v>
      </c>
      <c r="N123" s="31" t="str">
        <f t="shared" si="9"/>
        <v>Ambientes Culturais</v>
      </c>
      <c r="O123" s="31" t="str">
        <f t="shared" si="9"/>
        <v>Camarim</v>
      </c>
      <c r="P123" s="32" t="s">
        <v>501</v>
      </c>
      <c r="Q123" s="32" t="str">
        <f t="shared" si="13"/>
        <v>Espacios arquitectónicos dimensionados y equipados para la preparación de artistas.</v>
      </c>
      <c r="R123" s="58" t="s">
        <v>10</v>
      </c>
      <c r="S123" s="32" t="str">
        <f t="shared" si="10"/>
        <v>Espacialidade</v>
      </c>
      <c r="T123" s="32" t="str">
        <f t="shared" si="10"/>
        <v>Elementos Espaciais</v>
      </c>
      <c r="U123" s="32" t="str">
        <f t="shared" si="10"/>
        <v>Ambientes Culturais</v>
      </c>
      <c r="V123" s="32" t="s">
        <v>184</v>
      </c>
      <c r="W123" s="47" t="str">
        <f t="shared" si="12"/>
        <v>Key-AMB-123</v>
      </c>
      <c r="X123" s="32" t="s">
        <v>339</v>
      </c>
      <c r="Y123" s="43" t="s">
        <v>322</v>
      </c>
      <c r="Z123" s="58" t="s">
        <v>653</v>
      </c>
      <c r="AA123" s="32" t="str">
        <f t="shared" si="11"/>
        <v>Architectural spaces sized and equipped for the preparation of artists.</v>
      </c>
    </row>
    <row r="124" spans="1:27" s="36" customFormat="1" ht="6.75" customHeight="1" x14ac:dyDescent="0.25">
      <c r="A124" s="51">
        <v>124</v>
      </c>
      <c r="B124" s="29" t="s">
        <v>675</v>
      </c>
      <c r="C124" s="29" t="s">
        <v>847</v>
      </c>
      <c r="D124" s="29" t="s">
        <v>388</v>
      </c>
      <c r="E124" s="29" t="s">
        <v>484</v>
      </c>
      <c r="F124" s="30" t="s">
        <v>228</v>
      </c>
      <c r="G124" s="46" t="s">
        <v>10</v>
      </c>
      <c r="H124" s="46" t="s">
        <v>10</v>
      </c>
      <c r="I124" s="46" t="s">
        <v>10</v>
      </c>
      <c r="J124" s="46" t="s">
        <v>10</v>
      </c>
      <c r="K124" s="46" t="s">
        <v>10</v>
      </c>
      <c r="L124" s="31" t="str">
        <f t="shared" si="15"/>
        <v>Espacialidade</v>
      </c>
      <c r="M124" s="31" t="str">
        <f t="shared" si="15"/>
        <v>Elementos.Espaciais</v>
      </c>
      <c r="N124" s="31" t="str">
        <f t="shared" si="9"/>
        <v>Ambientes Culturais</v>
      </c>
      <c r="O124" s="31" t="str">
        <f t="shared" si="9"/>
        <v>Proscênio</v>
      </c>
      <c r="P124" s="32" t="s">
        <v>414</v>
      </c>
      <c r="Q124" s="32" t="str">
        <f t="shared" si="13"/>
        <v>Espacio frontal del escenario, cerca del público. Se integra arquitectónicamente en la escena, cumpliendo funciones estéticas y acústicas, también llamadas boca del escenario.</v>
      </c>
      <c r="R124" s="58" t="s">
        <v>10</v>
      </c>
      <c r="S124" s="32" t="str">
        <f t="shared" si="10"/>
        <v>Espacialidade</v>
      </c>
      <c r="T124" s="32" t="str">
        <f t="shared" si="10"/>
        <v>Elementos Espaciais</v>
      </c>
      <c r="U124" s="32" t="str">
        <f t="shared" si="10"/>
        <v>Ambientes Culturais</v>
      </c>
      <c r="V124" s="32" t="s">
        <v>184</v>
      </c>
      <c r="W124" s="47" t="str">
        <f t="shared" si="12"/>
        <v>Key-AMB-124</v>
      </c>
      <c r="X124" s="32" t="s">
        <v>339</v>
      </c>
      <c r="Y124" s="43" t="s">
        <v>322</v>
      </c>
      <c r="Z124" s="58" t="s">
        <v>653</v>
      </c>
      <c r="AA124" s="32" t="str">
        <f t="shared" si="11"/>
        <v>Front space of the stage, close to the audience. It integrates architecturally into the scene, fulfilling aesthetic and acoustic functions, also called the stage mouth.</v>
      </c>
    </row>
    <row r="125" spans="1:27" s="36" customFormat="1" ht="6.75" customHeight="1" x14ac:dyDescent="0.25">
      <c r="A125" s="51">
        <v>125</v>
      </c>
      <c r="B125" s="29" t="s">
        <v>675</v>
      </c>
      <c r="C125" s="29" t="s">
        <v>847</v>
      </c>
      <c r="D125" s="29" t="s">
        <v>388</v>
      </c>
      <c r="E125" s="29" t="s">
        <v>484</v>
      </c>
      <c r="F125" s="30" t="s">
        <v>229</v>
      </c>
      <c r="G125" s="46" t="s">
        <v>10</v>
      </c>
      <c r="H125" s="46" t="s">
        <v>10</v>
      </c>
      <c r="I125" s="46" t="s">
        <v>10</v>
      </c>
      <c r="J125" s="46" t="s">
        <v>10</v>
      </c>
      <c r="K125" s="46" t="s">
        <v>10</v>
      </c>
      <c r="L125" s="31" t="str">
        <f t="shared" si="15"/>
        <v>Espacialidade</v>
      </c>
      <c r="M125" s="31" t="str">
        <f t="shared" si="15"/>
        <v>Elementos.Espaciais</v>
      </c>
      <c r="N125" s="31" t="str">
        <f t="shared" si="9"/>
        <v>Ambientes Culturais</v>
      </c>
      <c r="O125" s="31" t="str">
        <f t="shared" si="9"/>
        <v>Palco</v>
      </c>
      <c r="P125" s="32" t="s">
        <v>230</v>
      </c>
      <c r="Q125" s="32" t="str">
        <f t="shared" si="13"/>
        <v>Espacio expuesto a los espectadores, donde actúan los actores. Puede ser elevado, plano, giratorio, italiano, arena, entre otros formatos.</v>
      </c>
      <c r="R125" s="58" t="s">
        <v>10</v>
      </c>
      <c r="S125" s="32" t="str">
        <f t="shared" si="10"/>
        <v>Espacialidade</v>
      </c>
      <c r="T125" s="32" t="str">
        <f t="shared" si="10"/>
        <v>Elementos Espaciais</v>
      </c>
      <c r="U125" s="32" t="str">
        <f t="shared" si="10"/>
        <v>Ambientes Culturais</v>
      </c>
      <c r="V125" s="32" t="s">
        <v>184</v>
      </c>
      <c r="W125" s="47" t="str">
        <f t="shared" si="12"/>
        <v>Key-AMB-125</v>
      </c>
      <c r="X125" s="32" t="s">
        <v>339</v>
      </c>
      <c r="Y125" s="43" t="s">
        <v>322</v>
      </c>
      <c r="Z125" s="58" t="s">
        <v>653</v>
      </c>
      <c r="AA125" s="32" t="str">
        <f t="shared" si="11"/>
        <v>Space exposed to spectators, where the actors perform. It can be elevated, flat, swivel, Italian, arena, among other formats.</v>
      </c>
    </row>
    <row r="126" spans="1:27" s="36" customFormat="1" ht="6.75" customHeight="1" x14ac:dyDescent="0.25">
      <c r="A126" s="51">
        <v>126</v>
      </c>
      <c r="B126" s="29" t="s">
        <v>675</v>
      </c>
      <c r="C126" s="29" t="s">
        <v>847</v>
      </c>
      <c r="D126" s="29" t="s">
        <v>388</v>
      </c>
      <c r="E126" s="29" t="s">
        <v>484</v>
      </c>
      <c r="F126" s="30" t="s">
        <v>231</v>
      </c>
      <c r="G126" s="46" t="s">
        <v>10</v>
      </c>
      <c r="H126" s="46" t="s">
        <v>10</v>
      </c>
      <c r="I126" s="46" t="s">
        <v>10</v>
      </c>
      <c r="J126" s="46" t="s">
        <v>10</v>
      </c>
      <c r="K126" s="46" t="s">
        <v>10</v>
      </c>
      <c r="L126" s="31" t="str">
        <f t="shared" si="15"/>
        <v>Espacialidade</v>
      </c>
      <c r="M126" s="31" t="str">
        <f t="shared" si="15"/>
        <v>Elementos.Espaciais</v>
      </c>
      <c r="N126" s="31" t="str">
        <f t="shared" si="9"/>
        <v>Ambientes Culturais</v>
      </c>
      <c r="O126" s="31" t="str">
        <f t="shared" si="9"/>
        <v>Fundo do Palco</v>
      </c>
      <c r="P126" s="32" t="s">
        <v>232</v>
      </c>
      <c r="Q126" s="32" t="str">
        <f t="shared" si="13"/>
        <v>Espacio oculto y de vuelta al escenario, detrás de la zona de actuación de artistas. Puede albergar varios elementos escenográficos, técnicos y funcionales de la pieza.</v>
      </c>
      <c r="R126" s="58" t="s">
        <v>10</v>
      </c>
      <c r="S126" s="32" t="str">
        <f t="shared" si="10"/>
        <v>Espacialidade</v>
      </c>
      <c r="T126" s="32" t="str">
        <f t="shared" si="10"/>
        <v>Elementos Espaciais</v>
      </c>
      <c r="U126" s="32" t="str">
        <f t="shared" si="10"/>
        <v>Ambientes Culturais</v>
      </c>
      <c r="V126" s="32" t="s">
        <v>184</v>
      </c>
      <c r="W126" s="47" t="str">
        <f t="shared" si="12"/>
        <v>Key-AMB-126</v>
      </c>
      <c r="X126" s="32" t="s">
        <v>339</v>
      </c>
      <c r="Y126" s="43" t="s">
        <v>322</v>
      </c>
      <c r="Z126" s="58" t="s">
        <v>653</v>
      </c>
      <c r="AA126" s="32" t="str">
        <f t="shared" si="11"/>
        <v>Hidden space and back to the stage, behind the artists' performance area. It can house several scenographic, technical and functional elements to the piece.</v>
      </c>
    </row>
    <row r="127" spans="1:27" s="36" customFormat="1" ht="6.75" customHeight="1" x14ac:dyDescent="0.25">
      <c r="A127" s="51">
        <v>127</v>
      </c>
      <c r="B127" s="29" t="s">
        <v>675</v>
      </c>
      <c r="C127" s="29" t="s">
        <v>847</v>
      </c>
      <c r="D127" s="29" t="s">
        <v>388</v>
      </c>
      <c r="E127" s="29" t="s">
        <v>484</v>
      </c>
      <c r="F127" s="30" t="s">
        <v>233</v>
      </c>
      <c r="G127" s="46" t="s">
        <v>10</v>
      </c>
      <c r="H127" s="46" t="s">
        <v>10</v>
      </c>
      <c r="I127" s="46" t="s">
        <v>10</v>
      </c>
      <c r="J127" s="46" t="s">
        <v>10</v>
      </c>
      <c r="K127" s="46" t="s">
        <v>10</v>
      </c>
      <c r="L127" s="31" t="str">
        <f t="shared" si="15"/>
        <v>Espacialidade</v>
      </c>
      <c r="M127" s="31" t="str">
        <f t="shared" si="15"/>
        <v>Elementos.Espaciais</v>
      </c>
      <c r="N127" s="31" t="str">
        <f t="shared" si="9"/>
        <v>Ambientes Culturais</v>
      </c>
      <c r="O127" s="31" t="str">
        <f t="shared" si="9"/>
        <v>Coxia</v>
      </c>
      <c r="P127" s="32" t="s">
        <v>407</v>
      </c>
      <c r="Q127" s="32" t="str">
        <f t="shared" si="13"/>
        <v>Espacio lateral al escenario, utilizado para la entrada y salida de los artistas.</v>
      </c>
      <c r="R127" s="58" t="s">
        <v>10</v>
      </c>
      <c r="S127" s="32" t="str">
        <f t="shared" si="10"/>
        <v>Espacialidade</v>
      </c>
      <c r="T127" s="32" t="str">
        <f t="shared" si="10"/>
        <v>Elementos Espaciais</v>
      </c>
      <c r="U127" s="32" t="str">
        <f t="shared" si="10"/>
        <v>Ambientes Culturais</v>
      </c>
      <c r="V127" s="32" t="s">
        <v>184</v>
      </c>
      <c r="W127" s="47" t="str">
        <f t="shared" si="12"/>
        <v>Key-AMB-127</v>
      </c>
      <c r="X127" s="32" t="s">
        <v>339</v>
      </c>
      <c r="Y127" s="43" t="s">
        <v>322</v>
      </c>
      <c r="Z127" s="58" t="s">
        <v>653</v>
      </c>
      <c r="AA127" s="32" t="str">
        <f t="shared" si="11"/>
        <v>Space lateral to the stage, used for the entry and exit of the artists.</v>
      </c>
    </row>
    <row r="128" spans="1:27" s="36" customFormat="1" ht="6.75" customHeight="1" x14ac:dyDescent="0.25">
      <c r="A128" s="51">
        <v>128</v>
      </c>
      <c r="B128" s="29" t="s">
        <v>675</v>
      </c>
      <c r="C128" s="29" t="s">
        <v>847</v>
      </c>
      <c r="D128" s="29" t="s">
        <v>388</v>
      </c>
      <c r="E128" s="29" t="s">
        <v>484</v>
      </c>
      <c r="F128" s="30" t="s">
        <v>234</v>
      </c>
      <c r="G128" s="46" t="s">
        <v>10</v>
      </c>
      <c r="H128" s="46" t="s">
        <v>10</v>
      </c>
      <c r="I128" s="46" t="s">
        <v>10</v>
      </c>
      <c r="J128" s="46" t="s">
        <v>10</v>
      </c>
      <c r="K128" s="46" t="s">
        <v>10</v>
      </c>
      <c r="L128" s="31" t="str">
        <f t="shared" si="15"/>
        <v>Espacialidade</v>
      </c>
      <c r="M128" s="31" t="str">
        <f t="shared" si="15"/>
        <v>Elementos.Espaciais</v>
      </c>
      <c r="N128" s="31" t="str">
        <f t="shared" si="9"/>
        <v>Ambientes Culturais</v>
      </c>
      <c r="O128" s="31" t="str">
        <f t="shared" si="9"/>
        <v>Foso</v>
      </c>
      <c r="P128" s="32" t="s">
        <v>235</v>
      </c>
      <c r="Q128" s="32" t="str">
        <f t="shared" si="13"/>
        <v>Espacio entre el público y el escenario, normalmente bajo el escenario, para acomodar a la orquesta durante una actuación musical o de danza.</v>
      </c>
      <c r="R128" s="58" t="s">
        <v>10</v>
      </c>
      <c r="S128" s="32" t="str">
        <f t="shared" si="10"/>
        <v>Espacialidade</v>
      </c>
      <c r="T128" s="32" t="str">
        <f t="shared" si="10"/>
        <v>Elementos Espaciais</v>
      </c>
      <c r="U128" s="32" t="str">
        <f t="shared" si="10"/>
        <v>Ambientes Culturais</v>
      </c>
      <c r="V128" s="32" t="s">
        <v>184</v>
      </c>
      <c r="W128" s="47" t="str">
        <f t="shared" si="12"/>
        <v>Key-AMB-128</v>
      </c>
      <c r="X128" s="32" t="s">
        <v>339</v>
      </c>
      <c r="Y128" s="43" t="s">
        <v>322</v>
      </c>
      <c r="Z128" s="58" t="s">
        <v>653</v>
      </c>
      <c r="AA128" s="32" t="str">
        <f t="shared" si="11"/>
        <v>Space between the audience and the stage, usually below the stage, to accommodate the orchestra during a musical or dance performance.</v>
      </c>
    </row>
    <row r="129" spans="1:27" s="36" customFormat="1" ht="6.75" customHeight="1" x14ac:dyDescent="0.25">
      <c r="A129" s="51">
        <v>129</v>
      </c>
      <c r="B129" s="29" t="s">
        <v>675</v>
      </c>
      <c r="C129" s="29" t="s">
        <v>847</v>
      </c>
      <c r="D129" s="29" t="s">
        <v>388</v>
      </c>
      <c r="E129" s="29" t="s">
        <v>484</v>
      </c>
      <c r="F129" s="30" t="s">
        <v>236</v>
      </c>
      <c r="G129" s="46" t="s">
        <v>10</v>
      </c>
      <c r="H129" s="46" t="s">
        <v>10</v>
      </c>
      <c r="I129" s="46" t="s">
        <v>10</v>
      </c>
      <c r="J129" s="46" t="s">
        <v>10</v>
      </c>
      <c r="K129" s="46" t="s">
        <v>10</v>
      </c>
      <c r="L129" s="31" t="str">
        <f t="shared" si="15"/>
        <v>Espacialidade</v>
      </c>
      <c r="M129" s="31" t="str">
        <f t="shared" si="15"/>
        <v>Elementos.Espaciais</v>
      </c>
      <c r="N129" s="31" t="str">
        <f t="shared" si="9"/>
        <v>Ambientes Culturais</v>
      </c>
      <c r="O129" s="31" t="str">
        <f t="shared" si="9"/>
        <v>Plateia</v>
      </c>
      <c r="P129" s="32" t="s">
        <v>237</v>
      </c>
      <c r="Q129" s="32" t="str">
        <f t="shared" si="13"/>
        <v>Espacio a nivel del escenario, donde el público se sienta con vistas a la parte delantera del escenario.</v>
      </c>
      <c r="R129" s="58" t="s">
        <v>10</v>
      </c>
      <c r="S129" s="32" t="str">
        <f t="shared" si="10"/>
        <v>Espacialidade</v>
      </c>
      <c r="T129" s="32" t="str">
        <f t="shared" si="10"/>
        <v>Elementos Espaciais</v>
      </c>
      <c r="U129" s="32" t="str">
        <f t="shared" si="10"/>
        <v>Ambientes Culturais</v>
      </c>
      <c r="V129" s="32" t="s">
        <v>184</v>
      </c>
      <c r="W129" s="47" t="str">
        <f t="shared" si="12"/>
        <v>Key-AMB-129</v>
      </c>
      <c r="X129" s="32" t="s">
        <v>339</v>
      </c>
      <c r="Y129" s="43" t="s">
        <v>322</v>
      </c>
      <c r="Z129" s="58" t="s">
        <v>653</v>
      </c>
      <c r="AA129" s="32" t="str">
        <f t="shared" si="11"/>
        <v>Space at stage level, where the audience sits with a view of the front of the stage.</v>
      </c>
    </row>
    <row r="130" spans="1:27" s="36" customFormat="1" ht="6.75" customHeight="1" x14ac:dyDescent="0.25">
      <c r="A130" s="51">
        <v>130</v>
      </c>
      <c r="B130" s="29" t="s">
        <v>675</v>
      </c>
      <c r="C130" s="29" t="s">
        <v>847</v>
      </c>
      <c r="D130" s="29" t="s">
        <v>388</v>
      </c>
      <c r="E130" s="29" t="s">
        <v>484</v>
      </c>
      <c r="F130" s="30" t="s">
        <v>238</v>
      </c>
      <c r="G130" s="46" t="s">
        <v>10</v>
      </c>
      <c r="H130" s="46" t="s">
        <v>10</v>
      </c>
      <c r="I130" s="46" t="s">
        <v>10</v>
      </c>
      <c r="J130" s="46" t="s">
        <v>10</v>
      </c>
      <c r="K130" s="46" t="s">
        <v>10</v>
      </c>
      <c r="L130" s="31" t="str">
        <f t="shared" si="15"/>
        <v>Espacialidade</v>
      </c>
      <c r="M130" s="31" t="str">
        <f t="shared" si="15"/>
        <v>Elementos.Espaciais</v>
      </c>
      <c r="N130" s="31" t="str">
        <f t="shared" si="9"/>
        <v>Ambientes Culturais</v>
      </c>
      <c r="O130" s="31" t="str">
        <f t="shared" si="9"/>
        <v>Balção</v>
      </c>
      <c r="P130" s="32" t="s">
        <v>239</v>
      </c>
      <c r="Q130" s="32" t="str">
        <f t="shared" si="13"/>
        <v>El espacio está integrado al público, pero en un nivel superior donde el público puede acomodarse con una vista frontal del escenario.</v>
      </c>
      <c r="R130" s="58" t="s">
        <v>10</v>
      </c>
      <c r="S130" s="32" t="str">
        <f t="shared" si="10"/>
        <v>Espacialidade</v>
      </c>
      <c r="T130" s="32" t="str">
        <f t="shared" si="10"/>
        <v>Elementos Espaciais</v>
      </c>
      <c r="U130" s="32" t="str">
        <f t="shared" si="10"/>
        <v>Ambientes Culturais</v>
      </c>
      <c r="V130" s="32" t="s">
        <v>184</v>
      </c>
      <c r="W130" s="47" t="str">
        <f t="shared" si="12"/>
        <v>Key-AMB-130</v>
      </c>
      <c r="X130" s="32" t="s">
        <v>339</v>
      </c>
      <c r="Y130" s="43" t="s">
        <v>322</v>
      </c>
      <c r="Z130" s="58" t="s">
        <v>653</v>
      </c>
      <c r="AA130" s="32" t="str">
        <f t="shared" ref="AA130:AA175" si="16">_xlfn.TRANSLATE(P130,"pt","en")</f>
        <v>Space integrated to the audience, but at an upper level where the audience is accommodated with a frontal view of the stage.</v>
      </c>
    </row>
    <row r="131" spans="1:27" s="36" customFormat="1" ht="6.75" customHeight="1" x14ac:dyDescent="0.25">
      <c r="A131" s="51">
        <v>131</v>
      </c>
      <c r="B131" s="29" t="s">
        <v>675</v>
      </c>
      <c r="C131" s="29" t="s">
        <v>847</v>
      </c>
      <c r="D131" s="29" t="s">
        <v>388</v>
      </c>
      <c r="E131" s="29" t="s">
        <v>484</v>
      </c>
      <c r="F131" s="30" t="s">
        <v>240</v>
      </c>
      <c r="G131" s="46" t="s">
        <v>10</v>
      </c>
      <c r="H131" s="46" t="s">
        <v>10</v>
      </c>
      <c r="I131" s="46" t="s">
        <v>10</v>
      </c>
      <c r="J131" s="46" t="s">
        <v>10</v>
      </c>
      <c r="K131" s="46" t="s">
        <v>10</v>
      </c>
      <c r="L131" s="31" t="str">
        <f t="shared" si="15"/>
        <v>Espacialidade</v>
      </c>
      <c r="M131" s="31" t="str">
        <f t="shared" si="15"/>
        <v>Elementos.Espaciais</v>
      </c>
      <c r="N131" s="31" t="str">
        <f t="shared" si="9"/>
        <v>Ambientes Culturais</v>
      </c>
      <c r="O131" s="31" t="str">
        <f t="shared" si="9"/>
        <v>Camarote</v>
      </c>
      <c r="P131" s="32" t="s">
        <v>241</v>
      </c>
      <c r="Q131" s="32" t="str">
        <f t="shared" si="13"/>
        <v>El espacio integrado en la sala de conciertos, normalmente reservado y con mejor visibilidad y comodidad.</v>
      </c>
      <c r="R131" s="58" t="s">
        <v>10</v>
      </c>
      <c r="S131" s="32" t="str">
        <f t="shared" si="10"/>
        <v>Espacialidade</v>
      </c>
      <c r="T131" s="32" t="str">
        <f t="shared" si="10"/>
        <v>Elementos Espaciais</v>
      </c>
      <c r="U131" s="32" t="str">
        <f t="shared" si="10"/>
        <v>Ambientes Culturais</v>
      </c>
      <c r="V131" s="32" t="s">
        <v>184</v>
      </c>
      <c r="W131" s="47" t="str">
        <f t="shared" ref="W131:W186" si="17">CONCATENATE("Key-AMB-",A131)</f>
        <v>Key-AMB-131</v>
      </c>
      <c r="X131" s="32" t="s">
        <v>339</v>
      </c>
      <c r="Y131" s="43" t="s">
        <v>322</v>
      </c>
      <c r="Z131" s="58" t="s">
        <v>653</v>
      </c>
      <c r="AA131" s="32" t="str">
        <f t="shared" si="16"/>
        <v>Space integrated into the concert hall, usually reserved and with better visibility and comfort.</v>
      </c>
    </row>
    <row r="132" spans="1:27" s="36" customFormat="1" ht="6.75" customHeight="1" x14ac:dyDescent="0.25">
      <c r="A132" s="51">
        <v>132</v>
      </c>
      <c r="B132" s="29" t="s">
        <v>675</v>
      </c>
      <c r="C132" s="29" t="s">
        <v>847</v>
      </c>
      <c r="D132" s="29" t="s">
        <v>388</v>
      </c>
      <c r="E132" s="29" t="s">
        <v>484</v>
      </c>
      <c r="F132" s="30" t="s">
        <v>242</v>
      </c>
      <c r="G132" s="46" t="s">
        <v>10</v>
      </c>
      <c r="H132" s="46" t="s">
        <v>10</v>
      </c>
      <c r="I132" s="46" t="s">
        <v>10</v>
      </c>
      <c r="J132" s="46" t="s">
        <v>10</v>
      </c>
      <c r="K132" s="46" t="s">
        <v>10</v>
      </c>
      <c r="L132" s="31" t="str">
        <f t="shared" si="15"/>
        <v>Espacialidade</v>
      </c>
      <c r="M132" s="31" t="str">
        <f t="shared" si="15"/>
        <v>Elementos.Espaciais</v>
      </c>
      <c r="N132" s="31" t="str">
        <f t="shared" si="9"/>
        <v>Ambientes Culturais</v>
      </c>
      <c r="O132" s="31" t="str">
        <f t="shared" si="9"/>
        <v>Galeria</v>
      </c>
      <c r="P132" s="32" t="s">
        <v>406</v>
      </c>
      <c r="Q132" s="32" t="str">
        <f t="shared" si="13"/>
        <v>Espacio superior para acomodar al público con precios más asequibles.</v>
      </c>
      <c r="R132" s="58" t="s">
        <v>10</v>
      </c>
      <c r="S132" s="32" t="str">
        <f t="shared" si="10"/>
        <v>Espacialidade</v>
      </c>
      <c r="T132" s="32" t="str">
        <f t="shared" si="10"/>
        <v>Elementos Espaciais</v>
      </c>
      <c r="U132" s="32" t="str">
        <f t="shared" si="10"/>
        <v>Ambientes Culturais</v>
      </c>
      <c r="V132" s="32" t="s">
        <v>184</v>
      </c>
      <c r="W132" s="47" t="str">
        <f t="shared" si="17"/>
        <v>Key-AMB-132</v>
      </c>
      <c r="X132" s="32" t="s">
        <v>339</v>
      </c>
      <c r="Y132" s="43" t="s">
        <v>322</v>
      </c>
      <c r="Z132" s="58" t="s">
        <v>653</v>
      </c>
      <c r="AA132" s="32" t="str">
        <f t="shared" si="16"/>
        <v>Superior space to accommodate the public with more affordable prices.</v>
      </c>
    </row>
    <row r="133" spans="1:27" s="36" customFormat="1" ht="6.75" customHeight="1" x14ac:dyDescent="0.25">
      <c r="A133" s="51">
        <v>133</v>
      </c>
      <c r="B133" s="29" t="s">
        <v>675</v>
      </c>
      <c r="C133" s="29" t="s">
        <v>847</v>
      </c>
      <c r="D133" s="29" t="s">
        <v>388</v>
      </c>
      <c r="E133" s="29" t="s">
        <v>485</v>
      </c>
      <c r="F133" s="30" t="s">
        <v>404</v>
      </c>
      <c r="G133" s="46" t="s">
        <v>10</v>
      </c>
      <c r="H133" s="46" t="s">
        <v>10</v>
      </c>
      <c r="I133" s="46" t="s">
        <v>10</v>
      </c>
      <c r="J133" s="46" t="s">
        <v>10</v>
      </c>
      <c r="K133" s="46" t="s">
        <v>10</v>
      </c>
      <c r="L133" s="31" t="str">
        <f t="shared" si="15"/>
        <v>Espacialidade</v>
      </c>
      <c r="M133" s="31" t="str">
        <f t="shared" si="15"/>
        <v>Elementos.Espaciais</v>
      </c>
      <c r="N133" s="31" t="str">
        <f t="shared" si="9"/>
        <v>Ambientes Industriais</v>
      </c>
      <c r="O133" s="31" t="str">
        <f t="shared" si="9"/>
        <v>Nave Industrial</v>
      </c>
      <c r="P133" s="43" t="s">
        <v>511</v>
      </c>
      <c r="Q133" s="32" t="str">
        <f t="shared" si="13"/>
        <v>Tipo Espacio Industrial Edificio Industrial Grande.</v>
      </c>
      <c r="R133" s="58" t="s">
        <v>10</v>
      </c>
      <c r="S133" s="32" t="str">
        <f t="shared" si="10"/>
        <v>Espacialidade</v>
      </c>
      <c r="T133" s="32" t="str">
        <f t="shared" si="10"/>
        <v>Elementos Espaciais</v>
      </c>
      <c r="U133" s="32" t="str">
        <f t="shared" si="10"/>
        <v>Ambientes Industriais</v>
      </c>
      <c r="V133" s="32" t="s">
        <v>184</v>
      </c>
      <c r="W133" s="47" t="str">
        <f t="shared" si="17"/>
        <v>Key-AMB-133</v>
      </c>
      <c r="X133" s="32" t="s">
        <v>339</v>
      </c>
      <c r="Y133" s="43" t="s">
        <v>322</v>
      </c>
      <c r="Z133" s="58" t="s">
        <v>653</v>
      </c>
      <c r="AA133" s="32" t="str">
        <f t="shared" si="16"/>
        <v>Industrial Space type Large Industrial Building.</v>
      </c>
    </row>
    <row r="134" spans="1:27" s="36" customFormat="1" ht="6.75" customHeight="1" x14ac:dyDescent="0.25">
      <c r="A134" s="51">
        <v>134</v>
      </c>
      <c r="B134" s="29" t="s">
        <v>675</v>
      </c>
      <c r="C134" s="29" t="s">
        <v>847</v>
      </c>
      <c r="D134" s="29" t="s">
        <v>388</v>
      </c>
      <c r="E134" s="29" t="s">
        <v>485</v>
      </c>
      <c r="F134" s="30" t="s">
        <v>405</v>
      </c>
      <c r="G134" s="46" t="s">
        <v>10</v>
      </c>
      <c r="H134" s="46" t="s">
        <v>10</v>
      </c>
      <c r="I134" s="46" t="s">
        <v>10</v>
      </c>
      <c r="J134" s="46" t="s">
        <v>10</v>
      </c>
      <c r="K134" s="46" t="s">
        <v>10</v>
      </c>
      <c r="L134" s="31" t="str">
        <f t="shared" si="15"/>
        <v>Espacialidade</v>
      </c>
      <c r="M134" s="31" t="str">
        <f t="shared" si="15"/>
        <v>Elementos.Espaciais</v>
      </c>
      <c r="N134" s="31" t="str">
        <f t="shared" si="9"/>
        <v>Ambientes Industriais</v>
      </c>
      <c r="O134" s="31" t="str">
        <f t="shared" si="9"/>
        <v>Galpão Industrial</v>
      </c>
      <c r="P134" s="43" t="s">
        <v>504</v>
      </c>
      <c r="Q134" s="32" t="str">
        <f t="shared" si="13"/>
        <v>Cobertizo tipo Espacio Industrial.</v>
      </c>
      <c r="R134" s="58" t="s">
        <v>10</v>
      </c>
      <c r="S134" s="32" t="str">
        <f t="shared" si="10"/>
        <v>Espacialidade</v>
      </c>
      <c r="T134" s="32" t="str">
        <f t="shared" si="10"/>
        <v>Elementos Espaciais</v>
      </c>
      <c r="U134" s="32" t="str">
        <f t="shared" si="10"/>
        <v>Ambientes Industriais</v>
      </c>
      <c r="V134" s="32" t="s">
        <v>184</v>
      </c>
      <c r="W134" s="47" t="str">
        <f t="shared" si="17"/>
        <v>Key-AMB-134</v>
      </c>
      <c r="X134" s="32" t="s">
        <v>339</v>
      </c>
      <c r="Y134" s="43" t="s">
        <v>322</v>
      </c>
      <c r="Z134" s="58" t="s">
        <v>653</v>
      </c>
      <c r="AA134" s="32" t="str">
        <f t="shared" si="16"/>
        <v>Industrial Space type Shed.</v>
      </c>
    </row>
    <row r="135" spans="1:27" s="36" customFormat="1" ht="6.75" customHeight="1" x14ac:dyDescent="0.25">
      <c r="A135" s="51">
        <v>135</v>
      </c>
      <c r="B135" s="29" t="s">
        <v>675</v>
      </c>
      <c r="C135" s="29" t="s">
        <v>847</v>
      </c>
      <c r="D135" s="29" t="s">
        <v>388</v>
      </c>
      <c r="E135" s="29" t="s">
        <v>485</v>
      </c>
      <c r="F135" s="30" t="s">
        <v>547</v>
      </c>
      <c r="G135" s="46" t="s">
        <v>10</v>
      </c>
      <c r="H135" s="46" t="s">
        <v>10</v>
      </c>
      <c r="I135" s="46" t="s">
        <v>10</v>
      </c>
      <c r="J135" s="46" t="s">
        <v>10</v>
      </c>
      <c r="K135" s="46" t="s">
        <v>10</v>
      </c>
      <c r="L135" s="31" t="str">
        <f t="shared" si="15"/>
        <v>Espacialidade</v>
      </c>
      <c r="M135" s="31" t="str">
        <f t="shared" si="15"/>
        <v>Elementos.Espaciais</v>
      </c>
      <c r="N135" s="31" t="str">
        <f t="shared" si="9"/>
        <v>Ambientes Industriais</v>
      </c>
      <c r="O135" s="31" t="str">
        <f t="shared" si="9"/>
        <v>Siderúrgico</v>
      </c>
      <c r="P135" s="43" t="s">
        <v>502</v>
      </c>
      <c r="Q135" s="32" t="str">
        <f t="shared" ref="Q135:Q186" si="18">_xlfn.TRANSLATE(P135,"pt","es")</f>
        <v>Espacio industrial de tamaño y equipado con hornos o maquinaria pesada para el procesamiento de metales y aleaciones.</v>
      </c>
      <c r="R135" s="58" t="s">
        <v>10</v>
      </c>
      <c r="S135" s="32" t="str">
        <f t="shared" si="10"/>
        <v>Espacialidade</v>
      </c>
      <c r="T135" s="32" t="str">
        <f t="shared" si="10"/>
        <v>Elementos Espaciais</v>
      </c>
      <c r="U135" s="32" t="str">
        <f t="shared" si="10"/>
        <v>Ambientes Industriais</v>
      </c>
      <c r="V135" s="32" t="s">
        <v>184</v>
      </c>
      <c r="W135" s="47" t="str">
        <f t="shared" si="17"/>
        <v>Key-AMB-135</v>
      </c>
      <c r="X135" s="32" t="s">
        <v>339</v>
      </c>
      <c r="Y135" s="43" t="s">
        <v>322</v>
      </c>
      <c r="Z135" s="58" t="s">
        <v>653</v>
      </c>
      <c r="AA135" s="32" t="str">
        <f t="shared" si="16"/>
        <v>Industrial space sized and equipped with furnaces or heavy equipment for processing metals and alloys.</v>
      </c>
    </row>
    <row r="136" spans="1:27" s="36" customFormat="1" ht="6.75" customHeight="1" x14ac:dyDescent="0.25">
      <c r="A136" s="51">
        <v>136</v>
      </c>
      <c r="B136" s="29" t="s">
        <v>675</v>
      </c>
      <c r="C136" s="29" t="s">
        <v>847</v>
      </c>
      <c r="D136" s="29" t="s">
        <v>388</v>
      </c>
      <c r="E136" s="29" t="s">
        <v>485</v>
      </c>
      <c r="F136" s="30" t="s">
        <v>412</v>
      </c>
      <c r="G136" s="46" t="s">
        <v>10</v>
      </c>
      <c r="H136" s="46" t="s">
        <v>10</v>
      </c>
      <c r="I136" s="46" t="s">
        <v>10</v>
      </c>
      <c r="J136" s="46" t="s">
        <v>10</v>
      </c>
      <c r="K136" s="46" t="s">
        <v>10</v>
      </c>
      <c r="L136" s="31" t="str">
        <f t="shared" si="15"/>
        <v>Espacialidade</v>
      </c>
      <c r="M136" s="31" t="str">
        <f t="shared" si="15"/>
        <v>Elementos.Espaciais</v>
      </c>
      <c r="N136" s="31" t="str">
        <f t="shared" si="9"/>
        <v>Ambientes Industriais</v>
      </c>
      <c r="O136" s="31" t="str">
        <f t="shared" si="9"/>
        <v>Manufatura</v>
      </c>
      <c r="P136" s="43" t="s">
        <v>503</v>
      </c>
      <c r="Q136" s="32" t="str">
        <f t="shared" si="18"/>
        <v>Espacio industrial dimensionado y equipado como línea de producción para bienes a gran escala (automóviles, electrónica, textiles y alimentos, etc.). Es una línea de montaje de máquinas automatizadas</v>
      </c>
      <c r="R136" s="58" t="s">
        <v>10</v>
      </c>
      <c r="S136" s="32" t="str">
        <f t="shared" si="10"/>
        <v>Espacialidade</v>
      </c>
      <c r="T136" s="32" t="str">
        <f t="shared" si="10"/>
        <v>Elementos Espaciais</v>
      </c>
      <c r="U136" s="32" t="str">
        <f t="shared" si="10"/>
        <v>Ambientes Industriais</v>
      </c>
      <c r="V136" s="32" t="s">
        <v>184</v>
      </c>
      <c r="W136" s="47" t="str">
        <f t="shared" si="17"/>
        <v>Key-AMB-136</v>
      </c>
      <c r="X136" s="32" t="s">
        <v>339</v>
      </c>
      <c r="Y136" s="43" t="s">
        <v>322</v>
      </c>
      <c r="Z136" s="58" t="s">
        <v>653</v>
      </c>
      <c r="AA136" s="32" t="str">
        <f t="shared" si="16"/>
        <v>Industrial space sized and equipped as a Production Line for large-scale goods (automobiles, electronics, textiles and food, etc.). It is an assembly line of automated machines</v>
      </c>
    </row>
    <row r="137" spans="1:27" s="36" customFormat="1" ht="6.75" customHeight="1" x14ac:dyDescent="0.25">
      <c r="A137" s="51">
        <v>137</v>
      </c>
      <c r="B137" s="29" t="s">
        <v>675</v>
      </c>
      <c r="C137" s="29" t="s">
        <v>847</v>
      </c>
      <c r="D137" s="29" t="s">
        <v>388</v>
      </c>
      <c r="E137" s="29" t="s">
        <v>485</v>
      </c>
      <c r="F137" s="30" t="s">
        <v>507</v>
      </c>
      <c r="G137" s="46" t="s">
        <v>10</v>
      </c>
      <c r="H137" s="46" t="s">
        <v>10</v>
      </c>
      <c r="I137" s="46" t="s">
        <v>10</v>
      </c>
      <c r="J137" s="46" t="s">
        <v>10</v>
      </c>
      <c r="K137" s="46" t="s">
        <v>10</v>
      </c>
      <c r="L137" s="31" t="str">
        <f t="shared" ref="L137:M152" si="19">CONCATENATE("", C137)</f>
        <v>Espacialidade</v>
      </c>
      <c r="M137" s="31" t="str">
        <f t="shared" si="19"/>
        <v>Elementos.Espaciais</v>
      </c>
      <c r="N137" s="31" t="str">
        <f t="shared" si="9"/>
        <v>Ambientes Industriais</v>
      </c>
      <c r="O137" s="31" t="str">
        <f t="shared" si="9"/>
        <v>Oficina</v>
      </c>
      <c r="P137" s="43" t="s">
        <v>508</v>
      </c>
      <c r="Q137" s="32" t="str">
        <f t="shared" si="18"/>
        <v>Espacio industrial de tamaño y equipamiento como taller de producción para mercancías de tamaño medio o bajo (muebles, equipos, vehículos pequeños, etc.). Se prepara para las asambleas.</v>
      </c>
      <c r="R137" s="58" t="s">
        <v>10</v>
      </c>
      <c r="S137" s="32" t="str">
        <f t="shared" si="10"/>
        <v>Espacialidade</v>
      </c>
      <c r="T137" s="32" t="str">
        <f t="shared" si="10"/>
        <v>Elementos Espaciais</v>
      </c>
      <c r="U137" s="32" t="str">
        <f t="shared" si="10"/>
        <v>Ambientes Industriais</v>
      </c>
      <c r="V137" s="32" t="s">
        <v>184</v>
      </c>
      <c r="W137" s="47" t="str">
        <f t="shared" si="17"/>
        <v>Key-AMB-137</v>
      </c>
      <c r="X137" s="32" t="s">
        <v>339</v>
      </c>
      <c r="Y137" s="43" t="s">
        <v>322</v>
      </c>
      <c r="Z137" s="58" t="s">
        <v>653</v>
      </c>
      <c r="AA137" s="32" t="str">
        <f t="shared" si="16"/>
        <v>Industrial Space sized and equipped as a Production Workshop for medium or low scale goods (furniture, equipment, small vehicles, etc.). It is prepared for assemblies.</v>
      </c>
    </row>
    <row r="138" spans="1:27" s="36" customFormat="1" ht="6.75" customHeight="1" x14ac:dyDescent="0.25">
      <c r="A138" s="51">
        <v>138</v>
      </c>
      <c r="B138" s="29" t="s">
        <v>675</v>
      </c>
      <c r="C138" s="29" t="s">
        <v>847</v>
      </c>
      <c r="D138" s="29" t="s">
        <v>388</v>
      </c>
      <c r="E138" s="29" t="s">
        <v>485</v>
      </c>
      <c r="F138" s="30" t="s">
        <v>509</v>
      </c>
      <c r="G138" s="46" t="s">
        <v>10</v>
      </c>
      <c r="H138" s="46" t="s">
        <v>10</v>
      </c>
      <c r="I138" s="46" t="s">
        <v>10</v>
      </c>
      <c r="J138" s="46" t="s">
        <v>10</v>
      </c>
      <c r="K138" s="46" t="s">
        <v>10</v>
      </c>
      <c r="L138" s="31" t="str">
        <f t="shared" si="19"/>
        <v>Espacialidade</v>
      </c>
      <c r="M138" s="31" t="str">
        <f t="shared" si="19"/>
        <v>Elementos.Espaciais</v>
      </c>
      <c r="N138" s="31" t="str">
        <f t="shared" si="9"/>
        <v>Ambientes Industriais</v>
      </c>
      <c r="O138" s="31" t="str">
        <f t="shared" si="9"/>
        <v>Oficina de Pintura</v>
      </c>
      <c r="P138" s="43" t="s">
        <v>510</v>
      </c>
      <c r="Q138" s="32" t="str">
        <f t="shared" si="18"/>
        <v>Espacio industrial de tamaño y equipamiento como taller de pintura para productos de tamaño medio o bajo (muebles, equipos, vehículos pequeños, etc.). Se prepara para las asambleas.</v>
      </c>
      <c r="R138" s="58" t="s">
        <v>10</v>
      </c>
      <c r="S138" s="32" t="str">
        <f t="shared" si="10"/>
        <v>Espacialidade</v>
      </c>
      <c r="T138" s="32" t="str">
        <f t="shared" si="10"/>
        <v>Elementos Espaciais</v>
      </c>
      <c r="U138" s="32" t="str">
        <f t="shared" si="10"/>
        <v>Ambientes Industriais</v>
      </c>
      <c r="V138" s="32" t="s">
        <v>184</v>
      </c>
      <c r="W138" s="47" t="str">
        <f t="shared" si="17"/>
        <v>Key-AMB-138</v>
      </c>
      <c r="X138" s="32" t="s">
        <v>339</v>
      </c>
      <c r="Y138" s="43" t="s">
        <v>322</v>
      </c>
      <c r="Z138" s="58" t="s">
        <v>653</v>
      </c>
      <c r="AA138" s="32" t="str">
        <f t="shared" si="16"/>
        <v>Industrial Space sized and equipped as a Painting Workshop for medium or low scale goods (furniture, equipment, small vehicles, etc.). It is prepared for assemblies.</v>
      </c>
    </row>
    <row r="139" spans="1:27" s="36" customFormat="1" ht="6.75" customHeight="1" x14ac:dyDescent="0.25">
      <c r="A139" s="51">
        <v>139</v>
      </c>
      <c r="B139" s="29" t="s">
        <v>675</v>
      </c>
      <c r="C139" s="29" t="s">
        <v>847</v>
      </c>
      <c r="D139" s="29" t="s">
        <v>486</v>
      </c>
      <c r="E139" s="29" t="s">
        <v>306</v>
      </c>
      <c r="F139" s="30" t="s">
        <v>583</v>
      </c>
      <c r="G139" s="46" t="s">
        <v>10</v>
      </c>
      <c r="H139" s="46" t="s">
        <v>10</v>
      </c>
      <c r="I139" s="46" t="s">
        <v>10</v>
      </c>
      <c r="J139" s="46" t="s">
        <v>10</v>
      </c>
      <c r="K139" s="46" t="s">
        <v>10</v>
      </c>
      <c r="L139" s="31" t="str">
        <f t="shared" si="19"/>
        <v>Espacialidade</v>
      </c>
      <c r="M139" s="31" t="str">
        <f t="shared" si="19"/>
        <v>Elementos.Englobantes</v>
      </c>
      <c r="N139" s="31" t="str">
        <f t="shared" si="9"/>
        <v>Unidades Autônomas</v>
      </c>
      <c r="O139" s="31" t="str">
        <f t="shared" si="9"/>
        <v>HIS</v>
      </c>
      <c r="P139" s="32" t="s">
        <v>584</v>
      </c>
      <c r="Q139" s="32" t="str">
        <f t="shared" si="18"/>
        <v>Representa una Unidad de Vivienda de Interés Social.</v>
      </c>
      <c r="R139" s="58" t="s">
        <v>10</v>
      </c>
      <c r="S139" s="32" t="str">
        <f t="shared" si="10"/>
        <v>Espacialidade</v>
      </c>
      <c r="T139" s="32" t="str">
        <f t="shared" si="10"/>
        <v>Elementos Englobantes</v>
      </c>
      <c r="U139" s="32" t="str">
        <f t="shared" si="10"/>
        <v>Unidades Autônomas</v>
      </c>
      <c r="V139" s="32" t="s">
        <v>184</v>
      </c>
      <c r="W139" s="47" t="str">
        <f t="shared" si="17"/>
        <v>Key-AMB-139</v>
      </c>
      <c r="X139" s="32" t="s">
        <v>434</v>
      </c>
      <c r="Y139" s="43" t="s">
        <v>323</v>
      </c>
      <c r="Z139" s="58" t="s">
        <v>654</v>
      </c>
      <c r="AA139" s="32" t="str">
        <f t="shared" si="16"/>
        <v>It represents a Housing Unit of Social Interest.</v>
      </c>
    </row>
    <row r="140" spans="1:27" s="36" customFormat="1" ht="6.75" customHeight="1" x14ac:dyDescent="0.25">
      <c r="A140" s="51">
        <v>140</v>
      </c>
      <c r="B140" s="29" t="s">
        <v>675</v>
      </c>
      <c r="C140" s="29" t="s">
        <v>847</v>
      </c>
      <c r="D140" s="29" t="s">
        <v>486</v>
      </c>
      <c r="E140" s="29" t="s">
        <v>306</v>
      </c>
      <c r="F140" s="30" t="s">
        <v>243</v>
      </c>
      <c r="G140" s="46" t="s">
        <v>10</v>
      </c>
      <c r="H140" s="46" t="s">
        <v>10</v>
      </c>
      <c r="I140" s="46" t="s">
        <v>10</v>
      </c>
      <c r="J140" s="46" t="s">
        <v>10</v>
      </c>
      <c r="K140" s="46" t="s">
        <v>10</v>
      </c>
      <c r="L140" s="31" t="str">
        <f t="shared" si="19"/>
        <v>Espacialidade</v>
      </c>
      <c r="M140" s="31" t="str">
        <f t="shared" si="19"/>
        <v>Elementos.Englobantes</v>
      </c>
      <c r="N140" s="31" t="str">
        <f t="shared" si="9"/>
        <v>Unidades Autônomas</v>
      </c>
      <c r="O140" s="31" t="str">
        <f t="shared" si="9"/>
        <v>Apartamento</v>
      </c>
      <c r="P140" s="32" t="s">
        <v>415</v>
      </c>
      <c r="Q140" s="32" t="str">
        <f t="shared" si="18"/>
        <v>Representa un edificio residencial de apartamentos.</v>
      </c>
      <c r="R140" s="58" t="s">
        <v>10</v>
      </c>
      <c r="S140" s="32" t="str">
        <f t="shared" si="10"/>
        <v>Espacialidade</v>
      </c>
      <c r="T140" s="32" t="str">
        <f t="shared" si="10"/>
        <v>Elementos Englobantes</v>
      </c>
      <c r="U140" s="32" t="str">
        <f t="shared" si="10"/>
        <v>Unidades Autônomas</v>
      </c>
      <c r="V140" s="32" t="s">
        <v>184</v>
      </c>
      <c r="W140" s="47" t="str">
        <f t="shared" si="17"/>
        <v>Key-AMB-140</v>
      </c>
      <c r="X140" s="32" t="s">
        <v>434</v>
      </c>
      <c r="Y140" s="43" t="s">
        <v>323</v>
      </c>
      <c r="Z140" s="58" t="s">
        <v>654</v>
      </c>
      <c r="AA140" s="32" t="str">
        <f t="shared" si="16"/>
        <v>Represents an Apartment of residential building.</v>
      </c>
    </row>
    <row r="141" spans="1:27" s="36" customFormat="1" ht="6.75" customHeight="1" x14ac:dyDescent="0.25">
      <c r="A141" s="51">
        <v>141</v>
      </c>
      <c r="B141" s="29" t="s">
        <v>675</v>
      </c>
      <c r="C141" s="29" t="s">
        <v>847</v>
      </c>
      <c r="D141" s="29" t="s">
        <v>486</v>
      </c>
      <c r="E141" s="29" t="s">
        <v>306</v>
      </c>
      <c r="F141" s="30" t="s">
        <v>429</v>
      </c>
      <c r="G141" s="46" t="s">
        <v>10</v>
      </c>
      <c r="H141" s="46" t="s">
        <v>10</v>
      </c>
      <c r="I141" s="46" t="s">
        <v>10</v>
      </c>
      <c r="J141" s="46" t="s">
        <v>10</v>
      </c>
      <c r="K141" s="46" t="s">
        <v>10</v>
      </c>
      <c r="L141" s="31" t="str">
        <f t="shared" si="19"/>
        <v>Espacialidade</v>
      </c>
      <c r="M141" s="31" t="str">
        <f t="shared" si="19"/>
        <v>Elementos.Englobantes</v>
      </c>
      <c r="N141" s="31" t="str">
        <f t="shared" si="9"/>
        <v>Unidades Autônomas</v>
      </c>
      <c r="O141" s="31" t="str">
        <f t="shared" si="9"/>
        <v>Departamento</v>
      </c>
      <c r="P141" s="32" t="s">
        <v>433</v>
      </c>
      <c r="Q141" s="32" t="str">
        <f t="shared" si="18"/>
        <v>Representa un departamento administrativo funcional de un edificio institucional.</v>
      </c>
      <c r="R141" s="58" t="s">
        <v>10</v>
      </c>
      <c r="S141" s="32" t="str">
        <f t="shared" si="10"/>
        <v>Espacialidade</v>
      </c>
      <c r="T141" s="32" t="str">
        <f t="shared" si="10"/>
        <v>Elementos Englobantes</v>
      </c>
      <c r="U141" s="32" t="str">
        <f t="shared" si="10"/>
        <v>Unidades Autônomas</v>
      </c>
      <c r="V141" s="32" t="s">
        <v>184</v>
      </c>
      <c r="W141" s="47" t="str">
        <f t="shared" si="17"/>
        <v>Key-AMB-141</v>
      </c>
      <c r="X141" s="32" t="s">
        <v>434</v>
      </c>
      <c r="Y141" s="43" t="s">
        <v>323</v>
      </c>
      <c r="Z141" s="58" t="s">
        <v>654</v>
      </c>
      <c r="AA141" s="32" t="str">
        <f t="shared" si="16"/>
        <v>Represents an administrative functional department of an institutional building.</v>
      </c>
    </row>
    <row r="142" spans="1:27" s="36" customFormat="1" ht="6.75" customHeight="1" x14ac:dyDescent="0.25">
      <c r="A142" s="51">
        <v>142</v>
      </c>
      <c r="B142" s="29" t="s">
        <v>675</v>
      </c>
      <c r="C142" s="29" t="s">
        <v>847</v>
      </c>
      <c r="D142" s="29" t="s">
        <v>486</v>
      </c>
      <c r="E142" s="29" t="s">
        <v>306</v>
      </c>
      <c r="F142" s="30" t="s">
        <v>430</v>
      </c>
      <c r="G142" s="46" t="s">
        <v>10</v>
      </c>
      <c r="H142" s="46" t="s">
        <v>10</v>
      </c>
      <c r="I142" s="46" t="s">
        <v>10</v>
      </c>
      <c r="J142" s="46" t="s">
        <v>10</v>
      </c>
      <c r="K142" s="46" t="s">
        <v>10</v>
      </c>
      <c r="L142" s="31" t="str">
        <f t="shared" si="19"/>
        <v>Espacialidade</v>
      </c>
      <c r="M142" s="31" t="str">
        <f t="shared" si="19"/>
        <v>Elementos.Englobantes</v>
      </c>
      <c r="N142" s="31" t="str">
        <f t="shared" si="9"/>
        <v>Unidades Autônomas</v>
      </c>
      <c r="O142" s="31" t="str">
        <f t="shared" si="9"/>
        <v>Divisão</v>
      </c>
      <c r="P142" s="32" t="s">
        <v>432</v>
      </c>
      <c r="Q142" s="32" t="str">
        <f t="shared" si="18"/>
        <v>Representa una división administrativa y funcional de un edificio institucional.</v>
      </c>
      <c r="R142" s="58" t="s">
        <v>10</v>
      </c>
      <c r="S142" s="32" t="str">
        <f t="shared" si="10"/>
        <v>Espacialidade</v>
      </c>
      <c r="T142" s="32" t="str">
        <f t="shared" si="10"/>
        <v>Elementos Englobantes</v>
      </c>
      <c r="U142" s="32" t="str">
        <f t="shared" si="10"/>
        <v>Unidades Autônomas</v>
      </c>
      <c r="V142" s="32" t="s">
        <v>184</v>
      </c>
      <c r="W142" s="47" t="str">
        <f t="shared" si="17"/>
        <v>Key-AMB-142</v>
      </c>
      <c r="X142" s="32" t="s">
        <v>434</v>
      </c>
      <c r="Y142" s="43" t="s">
        <v>323</v>
      </c>
      <c r="Z142" s="58" t="s">
        <v>654</v>
      </c>
      <c r="AA142" s="32" t="str">
        <f t="shared" si="16"/>
        <v>It represents an administrative functional division of an institutional building.</v>
      </c>
    </row>
    <row r="143" spans="1:27" s="36" customFormat="1" ht="6.75" customHeight="1" x14ac:dyDescent="0.25">
      <c r="A143" s="51">
        <v>143</v>
      </c>
      <c r="B143" s="29" t="s">
        <v>675</v>
      </c>
      <c r="C143" s="29" t="s">
        <v>847</v>
      </c>
      <c r="D143" s="29" t="s">
        <v>486</v>
      </c>
      <c r="E143" s="29" t="s">
        <v>306</v>
      </c>
      <c r="F143" s="30" t="s">
        <v>428</v>
      </c>
      <c r="G143" s="46" t="s">
        <v>10</v>
      </c>
      <c r="H143" s="46" t="s">
        <v>10</v>
      </c>
      <c r="I143" s="46" t="s">
        <v>10</v>
      </c>
      <c r="J143" s="46" t="s">
        <v>10</v>
      </c>
      <c r="K143" s="46" t="s">
        <v>10</v>
      </c>
      <c r="L143" s="31" t="str">
        <f t="shared" si="19"/>
        <v>Espacialidade</v>
      </c>
      <c r="M143" s="31" t="str">
        <f t="shared" si="19"/>
        <v>Elementos.Englobantes</v>
      </c>
      <c r="N143" s="31" t="str">
        <f t="shared" si="9"/>
        <v>Unidades Autônomas</v>
      </c>
      <c r="O143" s="31" t="str">
        <f t="shared" si="9"/>
        <v>Setor</v>
      </c>
      <c r="P143" s="32" t="s">
        <v>431</v>
      </c>
      <c r="Q143" s="32" t="str">
        <f t="shared" si="18"/>
        <v>Representa un sector administrativo y funcional de un edificio institucional.</v>
      </c>
      <c r="R143" s="58" t="s">
        <v>10</v>
      </c>
      <c r="S143" s="32" t="str">
        <f t="shared" si="10"/>
        <v>Espacialidade</v>
      </c>
      <c r="T143" s="32" t="str">
        <f t="shared" si="10"/>
        <v>Elementos Englobantes</v>
      </c>
      <c r="U143" s="32" t="str">
        <f t="shared" si="10"/>
        <v>Unidades Autônomas</v>
      </c>
      <c r="V143" s="32" t="s">
        <v>184</v>
      </c>
      <c r="W143" s="47" t="str">
        <f t="shared" si="17"/>
        <v>Key-AMB-143</v>
      </c>
      <c r="X143" s="32" t="s">
        <v>434</v>
      </c>
      <c r="Y143" s="43" t="s">
        <v>323</v>
      </c>
      <c r="Z143" s="58" t="s">
        <v>654</v>
      </c>
      <c r="AA143" s="32" t="str">
        <f t="shared" si="16"/>
        <v>It represents an administrative functional sector of an institutional building.</v>
      </c>
    </row>
    <row r="144" spans="1:27" s="36" customFormat="1" ht="6.75" customHeight="1" x14ac:dyDescent="0.25">
      <c r="A144" s="51">
        <v>144</v>
      </c>
      <c r="B144" s="29" t="s">
        <v>675</v>
      </c>
      <c r="C144" s="29" t="s">
        <v>847</v>
      </c>
      <c r="D144" s="29" t="s">
        <v>291</v>
      </c>
      <c r="E144" s="29" t="s">
        <v>778</v>
      </c>
      <c r="F144" s="30" t="s">
        <v>435</v>
      </c>
      <c r="G144" s="46" t="s">
        <v>10</v>
      </c>
      <c r="H144" s="46" t="s">
        <v>10</v>
      </c>
      <c r="I144" s="46" t="s">
        <v>10</v>
      </c>
      <c r="J144" s="46" t="s">
        <v>10</v>
      </c>
      <c r="K144" s="46" t="s">
        <v>10</v>
      </c>
      <c r="L144" s="31" t="str">
        <f t="shared" si="19"/>
        <v>Espacialidade</v>
      </c>
      <c r="M144" s="31" t="str">
        <f t="shared" si="19"/>
        <v>Elementos.Prediais</v>
      </c>
      <c r="N144" s="31" t="str">
        <f t="shared" si="9"/>
        <v>Blocos Edilícios</v>
      </c>
      <c r="O144" s="31" t="str">
        <f t="shared" si="9"/>
        <v>Prédio Indiferenciado</v>
      </c>
      <c r="P144" s="32" t="s">
        <v>416</v>
      </c>
      <c r="Q144" s="32" t="str">
        <f t="shared" si="18"/>
        <v>Representa un Bloque Construido que contiene otras unidades autónomas sin una función específica.</v>
      </c>
      <c r="R144" s="58" t="s">
        <v>10</v>
      </c>
      <c r="S144" s="32" t="str">
        <f t="shared" ref="S144:U159" si="20">SUBSTITUTE(C144, ".", " ")</f>
        <v>Espacialidade</v>
      </c>
      <c r="T144" s="32" t="str">
        <f t="shared" si="20"/>
        <v>Elementos Prediais</v>
      </c>
      <c r="U144" s="32" t="str">
        <f t="shared" si="20"/>
        <v>Blocos Edilícios</v>
      </c>
      <c r="V144" s="32" t="s">
        <v>184</v>
      </c>
      <c r="W144" s="47" t="str">
        <f t="shared" si="17"/>
        <v>Key-AMB-144</v>
      </c>
      <c r="X144" s="32" t="s">
        <v>339</v>
      </c>
      <c r="Y144" s="43" t="s">
        <v>323</v>
      </c>
      <c r="Z144" s="58" t="s">
        <v>362</v>
      </c>
      <c r="AA144" s="32" t="str">
        <f t="shared" si="16"/>
        <v>It represents a Built Block that contains other autonomous units without a specific function.</v>
      </c>
    </row>
    <row r="145" spans="1:27" s="36" customFormat="1" ht="6.75" customHeight="1" x14ac:dyDescent="0.25">
      <c r="A145" s="51">
        <v>145</v>
      </c>
      <c r="B145" s="29" t="s">
        <v>675</v>
      </c>
      <c r="C145" s="29" t="s">
        <v>847</v>
      </c>
      <c r="D145" s="29" t="s">
        <v>291</v>
      </c>
      <c r="E145" s="29" t="s">
        <v>778</v>
      </c>
      <c r="F145" s="30" t="s">
        <v>441</v>
      </c>
      <c r="G145" s="46" t="s">
        <v>10</v>
      </c>
      <c r="H145" s="46" t="s">
        <v>10</v>
      </c>
      <c r="I145" s="46" t="s">
        <v>10</v>
      </c>
      <c r="J145" s="46" t="s">
        <v>10</v>
      </c>
      <c r="K145" s="46" t="s">
        <v>10</v>
      </c>
      <c r="L145" s="31" t="str">
        <f t="shared" si="19"/>
        <v>Espacialidade</v>
      </c>
      <c r="M145" s="31" t="str">
        <f t="shared" si="19"/>
        <v>Elementos.Prediais</v>
      </c>
      <c r="N145" s="31" t="str">
        <f t="shared" si="9"/>
        <v>Blocos Edilícios</v>
      </c>
      <c r="O145" s="31" t="str">
        <f t="shared" si="9"/>
        <v>Prédio Casa</v>
      </c>
      <c r="P145" s="32" t="s">
        <v>442</v>
      </c>
      <c r="Q145" s="32" t="str">
        <f t="shared" si="18"/>
        <v>Representa un bloque construido que es una casa o unidad residencial individual.</v>
      </c>
      <c r="R145" s="58" t="s">
        <v>10</v>
      </c>
      <c r="S145" s="32" t="str">
        <f t="shared" si="20"/>
        <v>Espacialidade</v>
      </c>
      <c r="T145" s="32" t="str">
        <f t="shared" si="20"/>
        <v>Elementos Prediais</v>
      </c>
      <c r="U145" s="32" t="str">
        <f t="shared" si="20"/>
        <v>Blocos Edilícios</v>
      </c>
      <c r="V145" s="32" t="s">
        <v>184</v>
      </c>
      <c r="W145" s="47" t="str">
        <f t="shared" si="17"/>
        <v>Key-AMB-145</v>
      </c>
      <c r="X145" s="32" t="s">
        <v>339</v>
      </c>
      <c r="Y145" s="43" t="s">
        <v>323</v>
      </c>
      <c r="Z145" s="58" t="s">
        <v>362</v>
      </c>
      <c r="AA145" s="32" t="str">
        <f t="shared" si="16"/>
        <v>It represents a Built Block that is a House or Individual Residential Unit.</v>
      </c>
    </row>
    <row r="146" spans="1:27" s="36" customFormat="1" ht="6.75" customHeight="1" x14ac:dyDescent="0.25">
      <c r="A146" s="51">
        <v>146</v>
      </c>
      <c r="B146" s="29" t="s">
        <v>675</v>
      </c>
      <c r="C146" s="29" t="s">
        <v>847</v>
      </c>
      <c r="D146" s="29" t="s">
        <v>291</v>
      </c>
      <c r="E146" s="29" t="s">
        <v>778</v>
      </c>
      <c r="F146" s="30" t="s">
        <v>436</v>
      </c>
      <c r="G146" s="46" t="s">
        <v>10</v>
      </c>
      <c r="H146" s="46" t="s">
        <v>10</v>
      </c>
      <c r="I146" s="46" t="s">
        <v>10</v>
      </c>
      <c r="J146" s="46" t="s">
        <v>10</v>
      </c>
      <c r="K146" s="46" t="s">
        <v>10</v>
      </c>
      <c r="L146" s="31" t="str">
        <f t="shared" si="19"/>
        <v>Espacialidade</v>
      </c>
      <c r="M146" s="31" t="str">
        <f t="shared" si="19"/>
        <v>Elementos.Prediais</v>
      </c>
      <c r="N146" s="31" t="str">
        <f t="shared" si="9"/>
        <v>Blocos Edilícios</v>
      </c>
      <c r="O146" s="31" t="str">
        <f t="shared" si="9"/>
        <v>Prédio Residencial</v>
      </c>
      <c r="P146" s="32" t="s">
        <v>418</v>
      </c>
      <c r="Q146" s="32" t="str">
        <f t="shared" si="18"/>
        <v>Representa un Bloque Construido que contiene otras unidades autónomas con función residencial.</v>
      </c>
      <c r="R146" s="58" t="s">
        <v>10</v>
      </c>
      <c r="S146" s="32" t="str">
        <f t="shared" si="20"/>
        <v>Espacialidade</v>
      </c>
      <c r="T146" s="32" t="str">
        <f t="shared" si="20"/>
        <v>Elementos Prediais</v>
      </c>
      <c r="U146" s="32" t="str">
        <f t="shared" si="20"/>
        <v>Blocos Edilícios</v>
      </c>
      <c r="V146" s="32" t="s">
        <v>184</v>
      </c>
      <c r="W146" s="47" t="str">
        <f t="shared" si="17"/>
        <v>Key-AMB-146</v>
      </c>
      <c r="X146" s="32" t="s">
        <v>339</v>
      </c>
      <c r="Y146" s="43" t="s">
        <v>323</v>
      </c>
      <c r="Z146" s="58" t="s">
        <v>361</v>
      </c>
      <c r="AA146" s="32" t="str">
        <f t="shared" si="16"/>
        <v>It represents a Built Block that contains other autonomous units with a residential function.</v>
      </c>
    </row>
    <row r="147" spans="1:27" s="36" customFormat="1" ht="6.75" customHeight="1" x14ac:dyDescent="0.25">
      <c r="A147" s="51">
        <v>147</v>
      </c>
      <c r="B147" s="29" t="s">
        <v>675</v>
      </c>
      <c r="C147" s="29" t="s">
        <v>847</v>
      </c>
      <c r="D147" s="29" t="s">
        <v>291</v>
      </c>
      <c r="E147" s="29" t="s">
        <v>778</v>
      </c>
      <c r="F147" s="30" t="s">
        <v>437</v>
      </c>
      <c r="G147" s="46" t="s">
        <v>10</v>
      </c>
      <c r="H147" s="46" t="s">
        <v>10</v>
      </c>
      <c r="I147" s="46" t="s">
        <v>10</v>
      </c>
      <c r="J147" s="46" t="s">
        <v>10</v>
      </c>
      <c r="K147" s="46" t="s">
        <v>10</v>
      </c>
      <c r="L147" s="31" t="str">
        <f t="shared" si="19"/>
        <v>Espacialidade</v>
      </c>
      <c r="M147" s="31" t="str">
        <f t="shared" si="19"/>
        <v>Elementos.Prediais</v>
      </c>
      <c r="N147" s="31" t="str">
        <f t="shared" si="9"/>
        <v>Blocos Edilícios</v>
      </c>
      <c r="O147" s="31" t="str">
        <f t="shared" si="9"/>
        <v>Prédio Educativo</v>
      </c>
      <c r="P147" s="32" t="s">
        <v>417</v>
      </c>
      <c r="Q147" s="32" t="str">
        <f t="shared" si="18"/>
        <v>Representa un bloque construido de una unidad educativa.</v>
      </c>
      <c r="R147" s="58" t="s">
        <v>10</v>
      </c>
      <c r="S147" s="32" t="str">
        <f t="shared" si="20"/>
        <v>Espacialidade</v>
      </c>
      <c r="T147" s="32" t="str">
        <f t="shared" si="20"/>
        <v>Elementos Prediais</v>
      </c>
      <c r="U147" s="32" t="str">
        <f t="shared" si="20"/>
        <v>Blocos Edilícios</v>
      </c>
      <c r="V147" s="32" t="s">
        <v>184</v>
      </c>
      <c r="W147" s="47" t="str">
        <f t="shared" si="17"/>
        <v>Key-AMB-147</v>
      </c>
      <c r="X147" s="32" t="s">
        <v>339</v>
      </c>
      <c r="Y147" s="43" t="s">
        <v>323</v>
      </c>
      <c r="Z147" s="58" t="s">
        <v>359</v>
      </c>
      <c r="AA147" s="32" t="str">
        <f t="shared" si="16"/>
        <v>It represents a Built Block of an Educational Unit.</v>
      </c>
    </row>
    <row r="148" spans="1:27" s="36" customFormat="1" ht="6.75" customHeight="1" x14ac:dyDescent="0.25">
      <c r="A148" s="51">
        <v>148</v>
      </c>
      <c r="B148" s="29" t="s">
        <v>675</v>
      </c>
      <c r="C148" s="29" t="s">
        <v>847</v>
      </c>
      <c r="D148" s="29" t="s">
        <v>291</v>
      </c>
      <c r="E148" s="29" t="s">
        <v>778</v>
      </c>
      <c r="F148" s="30" t="s">
        <v>438</v>
      </c>
      <c r="G148" s="46" t="s">
        <v>10</v>
      </c>
      <c r="H148" s="46" t="s">
        <v>10</v>
      </c>
      <c r="I148" s="46" t="s">
        <v>10</v>
      </c>
      <c r="J148" s="46" t="s">
        <v>10</v>
      </c>
      <c r="K148" s="46" t="s">
        <v>10</v>
      </c>
      <c r="L148" s="31" t="str">
        <f t="shared" si="19"/>
        <v>Espacialidade</v>
      </c>
      <c r="M148" s="31" t="str">
        <f t="shared" si="19"/>
        <v>Elementos.Prediais</v>
      </c>
      <c r="N148" s="31" t="str">
        <f t="shared" si="9"/>
        <v>Blocos Edilícios</v>
      </c>
      <c r="O148" s="31" t="str">
        <f t="shared" si="9"/>
        <v>Prédio Hospital SUS</v>
      </c>
      <c r="P148" s="32" t="s">
        <v>419</v>
      </c>
      <c r="Q148" s="32" t="str">
        <f t="shared" si="18"/>
        <v>Representa un bloque construido de una unidad sanitaria de la SUS.</v>
      </c>
      <c r="R148" s="58" t="s">
        <v>10</v>
      </c>
      <c r="S148" s="32" t="str">
        <f t="shared" si="20"/>
        <v>Espacialidade</v>
      </c>
      <c r="T148" s="32" t="str">
        <f t="shared" si="20"/>
        <v>Elementos Prediais</v>
      </c>
      <c r="U148" s="32" t="str">
        <f t="shared" si="20"/>
        <v>Blocos Edilícios</v>
      </c>
      <c r="V148" s="32" t="s">
        <v>184</v>
      </c>
      <c r="W148" s="47" t="str">
        <f t="shared" si="17"/>
        <v>Key-AMB-148</v>
      </c>
      <c r="X148" s="32" t="s">
        <v>339</v>
      </c>
      <c r="Y148" s="43" t="s">
        <v>323</v>
      </c>
      <c r="Z148" s="58" t="s">
        <v>360</v>
      </c>
      <c r="AA148" s="32" t="str">
        <f t="shared" si="16"/>
        <v>It represents a Built Block of a SUS Health Unit.</v>
      </c>
    </row>
    <row r="149" spans="1:27" s="36" customFormat="1" ht="6.75" customHeight="1" x14ac:dyDescent="0.25">
      <c r="A149" s="51">
        <v>149</v>
      </c>
      <c r="B149" s="29" t="s">
        <v>675</v>
      </c>
      <c r="C149" s="29" t="s">
        <v>847</v>
      </c>
      <c r="D149" s="29" t="s">
        <v>291</v>
      </c>
      <c r="E149" s="29" t="s">
        <v>778</v>
      </c>
      <c r="F149" s="30" t="s">
        <v>439</v>
      </c>
      <c r="G149" s="46" t="s">
        <v>10</v>
      </c>
      <c r="H149" s="46" t="s">
        <v>10</v>
      </c>
      <c r="I149" s="46" t="s">
        <v>10</v>
      </c>
      <c r="J149" s="46" t="s">
        <v>10</v>
      </c>
      <c r="K149" s="46" t="s">
        <v>10</v>
      </c>
      <c r="L149" s="31" t="str">
        <f t="shared" si="19"/>
        <v>Espacialidade</v>
      </c>
      <c r="M149" s="31" t="str">
        <f t="shared" si="19"/>
        <v>Elementos.Prediais</v>
      </c>
      <c r="N149" s="31" t="str">
        <f t="shared" si="9"/>
        <v>Blocos Edilícios</v>
      </c>
      <c r="O149" s="31" t="str">
        <f t="shared" si="9"/>
        <v>Prédio Hospital Privado</v>
      </c>
      <c r="P149" s="32" t="s">
        <v>420</v>
      </c>
      <c r="Q149" s="32" t="str">
        <f t="shared" si="18"/>
        <v>Representa un bloque construido de una unidad sanitaria de la red privada.</v>
      </c>
      <c r="R149" s="58" t="s">
        <v>10</v>
      </c>
      <c r="S149" s="32" t="str">
        <f t="shared" si="20"/>
        <v>Espacialidade</v>
      </c>
      <c r="T149" s="32" t="str">
        <f t="shared" si="20"/>
        <v>Elementos Prediais</v>
      </c>
      <c r="U149" s="32" t="str">
        <f t="shared" si="20"/>
        <v>Blocos Edilícios</v>
      </c>
      <c r="V149" s="32" t="s">
        <v>184</v>
      </c>
      <c r="W149" s="47" t="str">
        <f t="shared" si="17"/>
        <v>Key-AMB-149</v>
      </c>
      <c r="X149" s="32" t="s">
        <v>339</v>
      </c>
      <c r="Y149" s="43" t="s">
        <v>323</v>
      </c>
      <c r="Z149" s="58" t="s">
        <v>360</v>
      </c>
      <c r="AA149" s="32" t="str">
        <f t="shared" si="16"/>
        <v>It represents a Built Block of a Health Unit of the Private Network.</v>
      </c>
    </row>
    <row r="150" spans="1:27" s="36" customFormat="1" ht="6.75" customHeight="1" x14ac:dyDescent="0.25">
      <c r="A150" s="51">
        <v>150</v>
      </c>
      <c r="B150" s="29" t="s">
        <v>675</v>
      </c>
      <c r="C150" s="29" t="s">
        <v>847</v>
      </c>
      <c r="D150" s="29" t="s">
        <v>291</v>
      </c>
      <c r="E150" s="29" t="s">
        <v>778</v>
      </c>
      <c r="F150" s="30" t="s">
        <v>440</v>
      </c>
      <c r="G150" s="46" t="s">
        <v>10</v>
      </c>
      <c r="H150" s="46" t="s">
        <v>10</v>
      </c>
      <c r="I150" s="46" t="s">
        <v>10</v>
      </c>
      <c r="J150" s="46" t="s">
        <v>10</v>
      </c>
      <c r="K150" s="46" t="s">
        <v>10</v>
      </c>
      <c r="L150" s="31" t="str">
        <f t="shared" si="19"/>
        <v>Espacialidade</v>
      </c>
      <c r="M150" s="31" t="str">
        <f t="shared" si="19"/>
        <v>Elementos.Prediais</v>
      </c>
      <c r="N150" s="31" t="str">
        <f t="shared" si="9"/>
        <v>Blocos Edilícios</v>
      </c>
      <c r="O150" s="31" t="str">
        <f t="shared" si="9"/>
        <v>Prédio Hospital Conveniado</v>
      </c>
      <c r="P150" s="32" t="s">
        <v>421</v>
      </c>
      <c r="Q150" s="32" t="str">
        <f t="shared" si="18"/>
        <v>Representa un bloque construido de una unidad sanitaria de la Red Privada contratada con el SUS.</v>
      </c>
      <c r="R150" s="58" t="s">
        <v>10</v>
      </c>
      <c r="S150" s="32" t="str">
        <f t="shared" si="20"/>
        <v>Espacialidade</v>
      </c>
      <c r="T150" s="32" t="str">
        <f t="shared" si="20"/>
        <v>Elementos Prediais</v>
      </c>
      <c r="U150" s="32" t="str">
        <f t="shared" si="20"/>
        <v>Blocos Edilícios</v>
      </c>
      <c r="V150" s="32" t="s">
        <v>184</v>
      </c>
      <c r="W150" s="47" t="str">
        <f t="shared" si="17"/>
        <v>Key-AMB-150</v>
      </c>
      <c r="X150" s="32" t="s">
        <v>339</v>
      </c>
      <c r="Y150" s="43" t="s">
        <v>323</v>
      </c>
      <c r="Z150" s="58" t="s">
        <v>360</v>
      </c>
      <c r="AA150" s="32" t="str">
        <f t="shared" si="16"/>
        <v>It represents a Built Block of a Health Unit of the Private Network contracted with the SUS.</v>
      </c>
    </row>
    <row r="151" spans="1:27" s="36" customFormat="1" ht="6.75" customHeight="1" x14ac:dyDescent="0.25">
      <c r="A151" s="51">
        <v>151</v>
      </c>
      <c r="B151" s="29" t="s">
        <v>675</v>
      </c>
      <c r="C151" s="29" t="s">
        <v>847</v>
      </c>
      <c r="D151" s="29" t="s">
        <v>780</v>
      </c>
      <c r="E151" s="29" t="s">
        <v>779</v>
      </c>
      <c r="F151" s="30" t="s">
        <v>341</v>
      </c>
      <c r="G151" s="46" t="s">
        <v>10</v>
      </c>
      <c r="H151" s="46" t="s">
        <v>10</v>
      </c>
      <c r="I151" s="46" t="s">
        <v>10</v>
      </c>
      <c r="J151" s="46" t="s">
        <v>10</v>
      </c>
      <c r="K151" s="46" t="s">
        <v>10</v>
      </c>
      <c r="L151" s="31" t="str">
        <f t="shared" si="19"/>
        <v>Espacialidade</v>
      </c>
      <c r="M151" s="31" t="str">
        <f t="shared" si="19"/>
        <v>Zonificação</v>
      </c>
      <c r="N151" s="31" t="str">
        <f t="shared" si="9"/>
        <v>Zonas Prediais</v>
      </c>
      <c r="O151" s="31" t="str">
        <f t="shared" si="9"/>
        <v>Zona Definida</v>
      </c>
      <c r="P151" s="32" t="s">
        <v>244</v>
      </c>
      <c r="Q151" s="32" t="str">
        <f t="shared" si="18"/>
        <v>La zona espacial es una descomposición no jerárquica y potencialmente superpuesta del proyecto bajo alguna condición.</v>
      </c>
      <c r="R151" s="58" t="s">
        <v>10</v>
      </c>
      <c r="S151" s="32" t="str">
        <f t="shared" si="20"/>
        <v>Espacialidade</v>
      </c>
      <c r="T151" s="32" t="str">
        <f t="shared" si="20"/>
        <v>Zonificação</v>
      </c>
      <c r="U151" s="32" t="str">
        <f t="shared" si="20"/>
        <v>Zonas Prediais</v>
      </c>
      <c r="V151" s="32" t="s">
        <v>184</v>
      </c>
      <c r="W151" s="47" t="str">
        <f t="shared" si="17"/>
        <v>Key-AMB-151</v>
      </c>
      <c r="X151" s="32" t="s">
        <v>340</v>
      </c>
      <c r="Y151" s="43" t="s">
        <v>324</v>
      </c>
      <c r="Z151" s="58" t="s">
        <v>653</v>
      </c>
      <c r="AA151" s="32" t="str">
        <f t="shared" si="16"/>
        <v>Spatial zone is a non-hierarchical and potentially overlapping decomposition of the project under some condition.</v>
      </c>
    </row>
    <row r="152" spans="1:27" s="36" customFormat="1" ht="6.75" customHeight="1" x14ac:dyDescent="0.25">
      <c r="A152" s="51">
        <v>152</v>
      </c>
      <c r="B152" s="29" t="s">
        <v>675</v>
      </c>
      <c r="C152" s="29" t="s">
        <v>847</v>
      </c>
      <c r="D152" s="29" t="s">
        <v>780</v>
      </c>
      <c r="E152" s="29" t="s">
        <v>779</v>
      </c>
      <c r="F152" s="30" t="s">
        <v>245</v>
      </c>
      <c r="G152" s="46" t="s">
        <v>10</v>
      </c>
      <c r="H152" s="46" t="s">
        <v>10</v>
      </c>
      <c r="I152" s="46" t="s">
        <v>10</v>
      </c>
      <c r="J152" s="46" t="s">
        <v>10</v>
      </c>
      <c r="K152" s="46" t="s">
        <v>10</v>
      </c>
      <c r="L152" s="31" t="str">
        <f t="shared" si="19"/>
        <v>Espacialidade</v>
      </c>
      <c r="M152" s="31" t="str">
        <f t="shared" si="19"/>
        <v>Zonificação</v>
      </c>
      <c r="N152" s="31" t="str">
        <f t="shared" si="9"/>
        <v>Zonas Prediais</v>
      </c>
      <c r="O152" s="31" t="str">
        <f t="shared" si="9"/>
        <v>Zona de Construção</v>
      </c>
      <c r="P152" s="32" t="s">
        <v>246</v>
      </c>
      <c r="Q152" s="32" t="str">
        <f t="shared" si="18"/>
        <v>La zona espacial se utiliza para representar una zona de construcción para el proceso de fabricación.</v>
      </c>
      <c r="R152" s="58" t="s">
        <v>10</v>
      </c>
      <c r="S152" s="32" t="str">
        <f t="shared" si="20"/>
        <v>Espacialidade</v>
      </c>
      <c r="T152" s="32" t="str">
        <f t="shared" si="20"/>
        <v>Zonificação</v>
      </c>
      <c r="U152" s="32" t="str">
        <f t="shared" si="20"/>
        <v>Zonas Prediais</v>
      </c>
      <c r="V152" s="32" t="s">
        <v>184</v>
      </c>
      <c r="W152" s="47" t="str">
        <f t="shared" si="17"/>
        <v>Key-AMB-152</v>
      </c>
      <c r="X152" s="32" t="s">
        <v>340</v>
      </c>
      <c r="Y152" s="43" t="s">
        <v>325</v>
      </c>
      <c r="Z152" s="58" t="s">
        <v>653</v>
      </c>
      <c r="AA152" s="32" t="str">
        <f t="shared" si="16"/>
        <v>Space zone is used to represent a construction zone for the manufacturing process.</v>
      </c>
    </row>
    <row r="153" spans="1:27" s="36" customFormat="1" ht="6.75" customHeight="1" x14ac:dyDescent="0.25">
      <c r="A153" s="51">
        <v>153</v>
      </c>
      <c r="B153" s="29" t="s">
        <v>675</v>
      </c>
      <c r="C153" s="29" t="s">
        <v>847</v>
      </c>
      <c r="D153" s="29" t="s">
        <v>780</v>
      </c>
      <c r="E153" s="29" t="s">
        <v>779</v>
      </c>
      <c r="F153" s="30" t="s">
        <v>247</v>
      </c>
      <c r="G153" s="46" t="s">
        <v>10</v>
      </c>
      <c r="H153" s="46" t="s">
        <v>10</v>
      </c>
      <c r="I153" s="46" t="s">
        <v>10</v>
      </c>
      <c r="J153" s="46" t="s">
        <v>10</v>
      </c>
      <c r="K153" s="46" t="s">
        <v>10</v>
      </c>
      <c r="L153" s="31" t="str">
        <f t="shared" ref="L153:M183" si="21">CONCATENATE("", C153)</f>
        <v>Espacialidade</v>
      </c>
      <c r="M153" s="31" t="str">
        <f t="shared" si="21"/>
        <v>Zonificação</v>
      </c>
      <c r="N153" s="31" t="str">
        <f t="shared" si="9"/>
        <v>Zonas Prediais</v>
      </c>
      <c r="O153" s="31" t="str">
        <f t="shared" si="9"/>
        <v>Zona de Interferência</v>
      </c>
      <c r="P153" s="32" t="s">
        <v>248</v>
      </c>
      <c r="Q153" s="32" t="str">
        <f t="shared" si="18"/>
        <v>La zona espacial se utiliza para definir una interferencia entre ocurrencias de Ifcspatialelement.</v>
      </c>
      <c r="R153" s="58" t="s">
        <v>10</v>
      </c>
      <c r="S153" s="32" t="str">
        <f t="shared" si="20"/>
        <v>Espacialidade</v>
      </c>
      <c r="T153" s="32" t="str">
        <f t="shared" si="20"/>
        <v>Zonificação</v>
      </c>
      <c r="U153" s="32" t="str">
        <f t="shared" si="20"/>
        <v>Zonas Prediais</v>
      </c>
      <c r="V153" s="32" t="s">
        <v>184</v>
      </c>
      <c r="W153" s="47" t="str">
        <f t="shared" si="17"/>
        <v>Key-AMB-153</v>
      </c>
      <c r="X153" s="32" t="s">
        <v>340</v>
      </c>
      <c r="Y153" s="43" t="s">
        <v>326</v>
      </c>
      <c r="Z153" s="58" t="s">
        <v>653</v>
      </c>
      <c r="AA153" s="32" t="str">
        <f t="shared" si="16"/>
        <v>Spatial zone is used to define an interference between occurrences of Ifcspatialelement.</v>
      </c>
    </row>
    <row r="154" spans="1:27" s="36" customFormat="1" ht="6.75" customHeight="1" x14ac:dyDescent="0.25">
      <c r="A154" s="51">
        <v>154</v>
      </c>
      <c r="B154" s="29" t="s">
        <v>675</v>
      </c>
      <c r="C154" s="29" t="s">
        <v>847</v>
      </c>
      <c r="D154" s="29" t="s">
        <v>780</v>
      </c>
      <c r="E154" s="29" t="s">
        <v>779</v>
      </c>
      <c r="F154" s="30" t="s">
        <v>249</v>
      </c>
      <c r="G154" s="46" t="s">
        <v>10</v>
      </c>
      <c r="H154" s="46" t="s">
        <v>10</v>
      </c>
      <c r="I154" s="46" t="s">
        <v>10</v>
      </c>
      <c r="J154" s="46" t="s">
        <v>10</v>
      </c>
      <c r="K154" s="46" t="s">
        <v>10</v>
      </c>
      <c r="L154" s="31" t="str">
        <f t="shared" si="21"/>
        <v>Espacialidade</v>
      </c>
      <c r="M154" s="31" t="str">
        <f t="shared" si="21"/>
        <v>Zonificação</v>
      </c>
      <c r="N154" s="31" t="str">
        <f t="shared" si="9"/>
        <v>Zonas Prediais</v>
      </c>
      <c r="O154" s="31" t="str">
        <f t="shared" si="9"/>
        <v>Zona de Ocupação</v>
      </c>
      <c r="P154" s="32" t="s">
        <v>250</v>
      </c>
      <c r="Q154" s="32" t="str">
        <f t="shared" si="18"/>
        <v>La zona espacial se utiliza para representar una zona de ocupación particular.</v>
      </c>
      <c r="R154" s="58" t="s">
        <v>10</v>
      </c>
      <c r="S154" s="32" t="str">
        <f t="shared" si="20"/>
        <v>Espacialidade</v>
      </c>
      <c r="T154" s="32" t="str">
        <f t="shared" si="20"/>
        <v>Zonificação</v>
      </c>
      <c r="U154" s="32" t="str">
        <f t="shared" si="20"/>
        <v>Zonas Prediais</v>
      </c>
      <c r="V154" s="32" t="s">
        <v>184</v>
      </c>
      <c r="W154" s="47" t="str">
        <f t="shared" si="17"/>
        <v>Key-AMB-154</v>
      </c>
      <c r="X154" s="32" t="s">
        <v>340</v>
      </c>
      <c r="Y154" s="43" t="s">
        <v>327</v>
      </c>
      <c r="Z154" s="58" t="s">
        <v>653</v>
      </c>
      <c r="AA154" s="32" t="str">
        <f t="shared" si="16"/>
        <v>Spatial zone is used to represent a particular zone of occupation.</v>
      </c>
    </row>
    <row r="155" spans="1:27" s="36" customFormat="1" ht="6.75" customHeight="1" x14ac:dyDescent="0.25">
      <c r="A155" s="51">
        <v>155</v>
      </c>
      <c r="B155" s="29" t="s">
        <v>675</v>
      </c>
      <c r="C155" s="29" t="s">
        <v>847</v>
      </c>
      <c r="D155" s="29" t="s">
        <v>780</v>
      </c>
      <c r="E155" s="29" t="s">
        <v>779</v>
      </c>
      <c r="F155" s="30" t="s">
        <v>251</v>
      </c>
      <c r="G155" s="46" t="s">
        <v>10</v>
      </c>
      <c r="H155" s="46" t="s">
        <v>10</v>
      </c>
      <c r="I155" s="46" t="s">
        <v>10</v>
      </c>
      <c r="J155" s="46" t="s">
        <v>10</v>
      </c>
      <c r="K155" s="46" t="s">
        <v>10</v>
      </c>
      <c r="L155" s="31" t="str">
        <f t="shared" si="21"/>
        <v>Espacialidade</v>
      </c>
      <c r="M155" s="31" t="str">
        <f t="shared" si="21"/>
        <v>Zonificação</v>
      </c>
      <c r="N155" s="31" t="str">
        <f t="shared" si="9"/>
        <v>Zonas Prediais</v>
      </c>
      <c r="O155" s="31" t="str">
        <f t="shared" si="9"/>
        <v>Zona de Reserva</v>
      </c>
      <c r="P155" s="32" t="s">
        <v>252</v>
      </c>
      <c r="Q155" s="32" t="str">
        <f t="shared" si="18"/>
        <v>Una zona espacial que representa algún tipo de reserva dentro del proyecto para uso futuro.</v>
      </c>
      <c r="R155" s="58" t="s">
        <v>10</v>
      </c>
      <c r="S155" s="32" t="str">
        <f t="shared" si="20"/>
        <v>Espacialidade</v>
      </c>
      <c r="T155" s="32" t="str">
        <f t="shared" si="20"/>
        <v>Zonificação</v>
      </c>
      <c r="U155" s="32" t="str">
        <f t="shared" si="20"/>
        <v>Zonas Prediais</v>
      </c>
      <c r="V155" s="32" t="s">
        <v>184</v>
      </c>
      <c r="W155" s="47" t="str">
        <f t="shared" si="17"/>
        <v>Key-AMB-155</v>
      </c>
      <c r="X155" s="32" t="s">
        <v>340</v>
      </c>
      <c r="Y155" s="43" t="s">
        <v>328</v>
      </c>
      <c r="Z155" s="58" t="s">
        <v>653</v>
      </c>
      <c r="AA155" s="32" t="str">
        <f t="shared" si="16"/>
        <v>A spatial zone that represents some type of reserve within the project for future use.</v>
      </c>
    </row>
    <row r="156" spans="1:27" s="36" customFormat="1" ht="6.75" customHeight="1" x14ac:dyDescent="0.25">
      <c r="A156" s="51">
        <v>156</v>
      </c>
      <c r="B156" s="29" t="s">
        <v>675</v>
      </c>
      <c r="C156" s="29" t="s">
        <v>847</v>
      </c>
      <c r="D156" s="29" t="s">
        <v>780</v>
      </c>
      <c r="E156" s="29" t="s">
        <v>779</v>
      </c>
      <c r="F156" s="30" t="s">
        <v>253</v>
      </c>
      <c r="G156" s="46" t="s">
        <v>10</v>
      </c>
      <c r="H156" s="46" t="s">
        <v>10</v>
      </c>
      <c r="I156" s="46" t="s">
        <v>10</v>
      </c>
      <c r="J156" s="46" t="s">
        <v>10</v>
      </c>
      <c r="K156" s="46" t="s">
        <v>10</v>
      </c>
      <c r="L156" s="31" t="str">
        <f t="shared" si="21"/>
        <v>Espacialidade</v>
      </c>
      <c r="M156" s="31" t="str">
        <f t="shared" si="21"/>
        <v>Zonificação</v>
      </c>
      <c r="N156" s="31" t="str">
        <f t="shared" si="9"/>
        <v>Zonas Prediais</v>
      </c>
      <c r="O156" s="31" t="str">
        <f t="shared" si="9"/>
        <v>Zona de Transporte</v>
      </c>
      <c r="P156" s="32" t="s">
        <v>254</v>
      </c>
      <c r="Q156" s="32" t="str">
        <f t="shared" si="18"/>
        <v>La zona espacial se utiliza para representar un área dedicada principalmente a la circulación de personas o vehículos.</v>
      </c>
      <c r="R156" s="58" t="s">
        <v>10</v>
      </c>
      <c r="S156" s="32" t="str">
        <f t="shared" si="20"/>
        <v>Espacialidade</v>
      </c>
      <c r="T156" s="32" t="str">
        <f t="shared" si="20"/>
        <v>Zonificação</v>
      </c>
      <c r="U156" s="32" t="str">
        <f t="shared" si="20"/>
        <v>Zonas Prediais</v>
      </c>
      <c r="V156" s="32" t="s">
        <v>184</v>
      </c>
      <c r="W156" s="47" t="str">
        <f t="shared" si="17"/>
        <v>Key-AMB-156</v>
      </c>
      <c r="X156" s="32" t="s">
        <v>340</v>
      </c>
      <c r="Y156" s="43" t="s">
        <v>329</v>
      </c>
      <c r="Z156" s="58" t="s">
        <v>653</v>
      </c>
      <c r="AA156" s="32" t="str">
        <f t="shared" si="16"/>
        <v>Spatial zone is used to represent an area primarily dedicated to the circulation of people or vehicles.</v>
      </c>
    </row>
    <row r="157" spans="1:27" s="36" customFormat="1" ht="6.75" customHeight="1" x14ac:dyDescent="0.25">
      <c r="A157" s="51">
        <v>157</v>
      </c>
      <c r="B157" s="29" t="s">
        <v>675</v>
      </c>
      <c r="C157" s="29" t="s">
        <v>847</v>
      </c>
      <c r="D157" s="29" t="s">
        <v>780</v>
      </c>
      <c r="E157" s="29" t="s">
        <v>255</v>
      </c>
      <c r="F157" s="30" t="s">
        <v>256</v>
      </c>
      <c r="G157" s="46" t="s">
        <v>10</v>
      </c>
      <c r="H157" s="46" t="s">
        <v>10</v>
      </c>
      <c r="I157" s="46" t="s">
        <v>10</v>
      </c>
      <c r="J157" s="46" t="s">
        <v>10</v>
      </c>
      <c r="K157" s="46" t="s">
        <v>10</v>
      </c>
      <c r="L157" s="31" t="str">
        <f t="shared" si="21"/>
        <v>Espacialidade</v>
      </c>
      <c r="M157" s="31" t="str">
        <f t="shared" si="21"/>
        <v>Zonificação</v>
      </c>
      <c r="N157" s="31" t="str">
        <f t="shared" si="9"/>
        <v>Zonas de Sistemas</v>
      </c>
      <c r="O157" s="31" t="str">
        <f t="shared" si="9"/>
        <v>Zona de Térmica</v>
      </c>
      <c r="P157" s="32" t="s">
        <v>257</v>
      </c>
      <c r="Q157" s="32" t="str">
        <f t="shared" si="18"/>
        <v>La zona espacial se utiliza para representar una zona térmica con características homogéneas.</v>
      </c>
      <c r="R157" s="58" t="s">
        <v>10</v>
      </c>
      <c r="S157" s="32" t="str">
        <f t="shared" si="20"/>
        <v>Espacialidade</v>
      </c>
      <c r="T157" s="32" t="str">
        <f t="shared" si="20"/>
        <v>Zonificação</v>
      </c>
      <c r="U157" s="32" t="str">
        <f t="shared" si="20"/>
        <v>Zonas de Sistemas</v>
      </c>
      <c r="V157" s="32" t="s">
        <v>184</v>
      </c>
      <c r="W157" s="47" t="str">
        <f t="shared" si="17"/>
        <v>Key-AMB-157</v>
      </c>
      <c r="X157" s="32" t="s">
        <v>340</v>
      </c>
      <c r="Y157" s="43" t="s">
        <v>330</v>
      </c>
      <c r="Z157" s="58" t="s">
        <v>653</v>
      </c>
      <c r="AA157" s="32" t="str">
        <f t="shared" si="16"/>
        <v>Space zone is used to represent a thermal zone with homogeneous characteristics.</v>
      </c>
    </row>
    <row r="158" spans="1:27" s="36" customFormat="1" ht="6.75" customHeight="1" x14ac:dyDescent="0.25">
      <c r="A158" s="51">
        <v>158</v>
      </c>
      <c r="B158" s="29" t="s">
        <v>675</v>
      </c>
      <c r="C158" s="29" t="s">
        <v>847</v>
      </c>
      <c r="D158" s="29" t="s">
        <v>780</v>
      </c>
      <c r="E158" s="29" t="s">
        <v>255</v>
      </c>
      <c r="F158" s="30" t="s">
        <v>258</v>
      </c>
      <c r="G158" s="46" t="s">
        <v>10</v>
      </c>
      <c r="H158" s="46" t="s">
        <v>10</v>
      </c>
      <c r="I158" s="46" t="s">
        <v>10</v>
      </c>
      <c r="J158" s="46" t="s">
        <v>10</v>
      </c>
      <c r="K158" s="46" t="s">
        <v>10</v>
      </c>
      <c r="L158" s="31" t="str">
        <f t="shared" si="21"/>
        <v>Espacialidade</v>
      </c>
      <c r="M158" s="31" t="str">
        <f t="shared" si="21"/>
        <v>Zonificação</v>
      </c>
      <c r="N158" s="31" t="str">
        <f t="shared" si="9"/>
        <v>Zonas de Sistemas</v>
      </c>
      <c r="O158" s="31" t="str">
        <f t="shared" si="9"/>
        <v>Zona de Iluminação</v>
      </c>
      <c r="P158" s="32" t="s">
        <v>259</v>
      </c>
      <c r="Q158" s="32" t="str">
        <f t="shared" si="18"/>
        <v>La zona espacial se utiliza para representar una zona de iluminación; Una zona de luz natural.</v>
      </c>
      <c r="R158" s="58" t="s">
        <v>10</v>
      </c>
      <c r="S158" s="32" t="str">
        <f t="shared" si="20"/>
        <v>Espacialidade</v>
      </c>
      <c r="T158" s="32" t="str">
        <f t="shared" si="20"/>
        <v>Zonificação</v>
      </c>
      <c r="U158" s="32" t="str">
        <f t="shared" si="20"/>
        <v>Zonas de Sistemas</v>
      </c>
      <c r="V158" s="32" t="s">
        <v>184</v>
      </c>
      <c r="W158" s="47" t="str">
        <f t="shared" si="17"/>
        <v>Key-AMB-158</v>
      </c>
      <c r="X158" s="32" t="s">
        <v>340</v>
      </c>
      <c r="Y158" s="43" t="s">
        <v>331</v>
      </c>
      <c r="Z158" s="58" t="s">
        <v>653</v>
      </c>
      <c r="AA158" s="32" t="str">
        <f t="shared" si="16"/>
        <v>Spatial zone is used to represent a lighting zone; a natural light zone.</v>
      </c>
    </row>
    <row r="159" spans="1:27" s="36" customFormat="1" ht="6.75" customHeight="1" x14ac:dyDescent="0.25">
      <c r="A159" s="51">
        <v>159</v>
      </c>
      <c r="B159" s="29" t="s">
        <v>675</v>
      </c>
      <c r="C159" s="29" t="s">
        <v>847</v>
      </c>
      <c r="D159" s="29" t="s">
        <v>780</v>
      </c>
      <c r="E159" s="29" t="s">
        <v>255</v>
      </c>
      <c r="F159" s="30" t="s">
        <v>260</v>
      </c>
      <c r="G159" s="46" t="s">
        <v>10</v>
      </c>
      <c r="H159" s="46" t="s">
        <v>10</v>
      </c>
      <c r="I159" s="46" t="s">
        <v>10</v>
      </c>
      <c r="J159" s="46" t="s">
        <v>10</v>
      </c>
      <c r="K159" s="46" t="s">
        <v>10</v>
      </c>
      <c r="L159" s="31" t="str">
        <f t="shared" si="21"/>
        <v>Espacialidade</v>
      </c>
      <c r="M159" s="31" t="str">
        <f t="shared" si="21"/>
        <v>Zonificação</v>
      </c>
      <c r="N159" s="31" t="str">
        <f t="shared" si="9"/>
        <v>Zonas de Sistemas</v>
      </c>
      <c r="O159" s="31" t="str">
        <f t="shared" si="9"/>
        <v>Zona de Ventilação</v>
      </c>
      <c r="P159" s="32" t="s">
        <v>261</v>
      </c>
      <c r="Q159" s="32" t="str">
        <f t="shared" si="18"/>
        <v>La zona espacial se utiliza para representar una zona de ventilación.</v>
      </c>
      <c r="R159" s="58" t="s">
        <v>10</v>
      </c>
      <c r="S159" s="32" t="str">
        <f t="shared" si="20"/>
        <v>Espacialidade</v>
      </c>
      <c r="T159" s="32" t="str">
        <f t="shared" si="20"/>
        <v>Zonificação</v>
      </c>
      <c r="U159" s="32" t="str">
        <f t="shared" si="20"/>
        <v>Zonas de Sistemas</v>
      </c>
      <c r="V159" s="32" t="s">
        <v>184</v>
      </c>
      <c r="W159" s="47" t="str">
        <f t="shared" si="17"/>
        <v>Key-AMB-159</v>
      </c>
      <c r="X159" s="32" t="s">
        <v>340</v>
      </c>
      <c r="Y159" s="43" t="s">
        <v>332</v>
      </c>
      <c r="Z159" s="58" t="s">
        <v>653</v>
      </c>
      <c r="AA159" s="32" t="str">
        <f t="shared" si="16"/>
        <v>Spatial zone is used to represent a ventilation zone.</v>
      </c>
    </row>
    <row r="160" spans="1:27" s="36" customFormat="1" ht="6.75" customHeight="1" x14ac:dyDescent="0.25">
      <c r="A160" s="51">
        <v>160</v>
      </c>
      <c r="B160" s="29" t="s">
        <v>675</v>
      </c>
      <c r="C160" s="29" t="s">
        <v>847</v>
      </c>
      <c r="D160" s="29" t="s">
        <v>780</v>
      </c>
      <c r="E160" s="29" t="s">
        <v>262</v>
      </c>
      <c r="F160" s="30" t="s">
        <v>265</v>
      </c>
      <c r="G160" s="46" t="s">
        <v>10</v>
      </c>
      <c r="H160" s="46" t="s">
        <v>10</v>
      </c>
      <c r="I160" s="46" t="s">
        <v>10</v>
      </c>
      <c r="J160" s="46" t="s">
        <v>10</v>
      </c>
      <c r="K160" s="46" t="s">
        <v>10</v>
      </c>
      <c r="L160" s="31" t="str">
        <f t="shared" si="21"/>
        <v>Espacialidade</v>
      </c>
      <c r="M160" s="31" t="str">
        <f t="shared" si="21"/>
        <v>Zonificação</v>
      </c>
      <c r="N160" s="31" t="str">
        <f t="shared" si="9"/>
        <v>Zonas de Segurança</v>
      </c>
      <c r="O160" s="31" t="str">
        <f t="shared" si="9"/>
        <v>Zona de Segurança</v>
      </c>
      <c r="P160" s="32" t="s">
        <v>266</v>
      </c>
      <c r="Q160" s="32" t="str">
        <f t="shared" si="18"/>
        <v>La zona espacial se utiliza para representar una zona para planificar la seguridad y el trabajo, accesos, etc.</v>
      </c>
      <c r="R160" s="58" t="s">
        <v>10</v>
      </c>
      <c r="S160" s="32" t="str">
        <f t="shared" ref="S160:U177" si="22">SUBSTITUTE(C160, ".", " ")</f>
        <v>Espacialidade</v>
      </c>
      <c r="T160" s="32" t="str">
        <f t="shared" si="22"/>
        <v>Zonificação</v>
      </c>
      <c r="U160" s="32" t="str">
        <f t="shared" si="22"/>
        <v>Zonas de Segurança</v>
      </c>
      <c r="V160" s="32" t="s">
        <v>184</v>
      </c>
      <c r="W160" s="47" t="str">
        <f t="shared" si="17"/>
        <v>Key-AMB-160</v>
      </c>
      <c r="X160" s="32" t="s">
        <v>340</v>
      </c>
      <c r="Y160" s="43" t="s">
        <v>334</v>
      </c>
      <c r="Z160" s="58" t="s">
        <v>653</v>
      </c>
      <c r="AA160" s="32" t="str">
        <f t="shared" si="16"/>
        <v>Spatial zone is used to represent a zone for planning safety and work, accesses, etc.</v>
      </c>
    </row>
    <row r="161" spans="1:27" s="36" customFormat="1" ht="6.75" customHeight="1" x14ac:dyDescent="0.25">
      <c r="A161" s="51">
        <v>161</v>
      </c>
      <c r="B161" s="29" t="s">
        <v>675</v>
      </c>
      <c r="C161" s="29" t="s">
        <v>847</v>
      </c>
      <c r="D161" s="29" t="s">
        <v>780</v>
      </c>
      <c r="E161" s="29" t="s">
        <v>262</v>
      </c>
      <c r="F161" s="30" t="s">
        <v>263</v>
      </c>
      <c r="G161" s="46" t="s">
        <v>10</v>
      </c>
      <c r="H161" s="46" t="s">
        <v>10</v>
      </c>
      <c r="I161" s="46" t="s">
        <v>10</v>
      </c>
      <c r="J161" s="46" t="s">
        <v>10</v>
      </c>
      <c r="K161" s="46" t="s">
        <v>10</v>
      </c>
      <c r="L161" s="31" t="str">
        <f t="shared" si="21"/>
        <v>Espacialidade</v>
      </c>
      <c r="M161" s="31" t="str">
        <f t="shared" si="21"/>
        <v>Zonificação</v>
      </c>
      <c r="N161" s="31" t="str">
        <f t="shared" si="9"/>
        <v>Zonas de Segurança</v>
      </c>
      <c r="O161" s="31" t="str">
        <f t="shared" si="9"/>
        <v>Zona de Segurança Incêndio</v>
      </c>
      <c r="P161" s="32" t="s">
        <v>264</v>
      </c>
      <c r="Q161" s="32" t="str">
        <f t="shared" si="18"/>
        <v>La zona espacial se utiliza para representar una zona de seguridad contra incendios, o compartimento.</v>
      </c>
      <c r="R161" s="58" t="s">
        <v>10</v>
      </c>
      <c r="S161" s="32" t="str">
        <f t="shared" si="22"/>
        <v>Espacialidade</v>
      </c>
      <c r="T161" s="32" t="str">
        <f t="shared" si="22"/>
        <v>Zonificação</v>
      </c>
      <c r="U161" s="32" t="str">
        <f t="shared" si="22"/>
        <v>Zonas de Segurança</v>
      </c>
      <c r="V161" s="32" t="s">
        <v>184</v>
      </c>
      <c r="W161" s="47" t="str">
        <f t="shared" si="17"/>
        <v>Key-AMB-161</v>
      </c>
      <c r="X161" s="32" t="s">
        <v>340</v>
      </c>
      <c r="Y161" s="43" t="s">
        <v>333</v>
      </c>
      <c r="Z161" s="58" t="s">
        <v>653</v>
      </c>
      <c r="AA161" s="32" t="str">
        <f t="shared" si="16"/>
        <v>Space zone is used to represent a fire safety zone, or compartment.</v>
      </c>
    </row>
    <row r="162" spans="1:27" s="36" customFormat="1" ht="6.75" customHeight="1" x14ac:dyDescent="0.25">
      <c r="A162" s="51">
        <v>162</v>
      </c>
      <c r="B162" s="29" t="s">
        <v>675</v>
      </c>
      <c r="C162" s="29" t="s">
        <v>847</v>
      </c>
      <c r="D162" s="29" t="s">
        <v>780</v>
      </c>
      <c r="E162" s="29" t="s">
        <v>262</v>
      </c>
      <c r="F162" s="30" t="s">
        <v>515</v>
      </c>
      <c r="G162" s="46" t="s">
        <v>10</v>
      </c>
      <c r="H162" s="46" t="s">
        <v>10</v>
      </c>
      <c r="I162" s="46" t="s">
        <v>10</v>
      </c>
      <c r="J162" s="46" t="s">
        <v>10</v>
      </c>
      <c r="K162" s="48" t="s">
        <v>655</v>
      </c>
      <c r="L162" s="31" t="str">
        <f t="shared" si="21"/>
        <v>Espacialidade</v>
      </c>
      <c r="M162" s="31" t="str">
        <f t="shared" si="21"/>
        <v>Zonificação</v>
      </c>
      <c r="N162" s="31" t="str">
        <f t="shared" si="9"/>
        <v>Zonas de Segurança</v>
      </c>
      <c r="O162" s="31" t="str">
        <f t="shared" ref="O162:O171" si="23">(SUBSTITUTE(SUBSTITUTE(CONCATENATE("",F162),"."," ")," De "," de "))</f>
        <v>Zona de Biossegurança</v>
      </c>
      <c r="P162" s="32" t="s">
        <v>516</v>
      </c>
      <c r="Q162" s="32" t="str">
        <f t="shared" si="18"/>
        <v>La zona espacial se utiliza para representar una zona de bioseguridad, normalmente donde la ventilación es crítica.</v>
      </c>
      <c r="R162" s="58" t="s">
        <v>10</v>
      </c>
      <c r="S162" s="32" t="str">
        <f t="shared" si="22"/>
        <v>Espacialidade</v>
      </c>
      <c r="T162" s="32" t="str">
        <f t="shared" si="22"/>
        <v>Zonificação</v>
      </c>
      <c r="U162" s="32" t="str">
        <f t="shared" si="22"/>
        <v>Zonas de Segurança</v>
      </c>
      <c r="V162" s="32" t="s">
        <v>184</v>
      </c>
      <c r="W162" s="47" t="str">
        <f t="shared" si="17"/>
        <v>Key-AMB-162</v>
      </c>
      <c r="X162" s="32" t="s">
        <v>340</v>
      </c>
      <c r="Y162" s="43" t="s">
        <v>332</v>
      </c>
      <c r="Z162" s="58" t="s">
        <v>653</v>
      </c>
      <c r="AA162" s="32" t="str">
        <f t="shared" si="16"/>
        <v>Space zone is used to represent a biosecurity zone, typically where ventilation is critical.</v>
      </c>
    </row>
    <row r="163" spans="1:27" s="36" customFormat="1" ht="6.75" customHeight="1" x14ac:dyDescent="0.25">
      <c r="A163" s="51">
        <v>163</v>
      </c>
      <c r="B163" s="29" t="s">
        <v>675</v>
      </c>
      <c r="C163" s="29" t="s">
        <v>847</v>
      </c>
      <c r="D163" s="29" t="s">
        <v>523</v>
      </c>
      <c r="E163" s="29" t="s">
        <v>367</v>
      </c>
      <c r="F163" s="49" t="s">
        <v>375</v>
      </c>
      <c r="G163" s="46" t="s">
        <v>10</v>
      </c>
      <c r="H163" s="46" t="s">
        <v>10</v>
      </c>
      <c r="I163" s="46" t="s">
        <v>10</v>
      </c>
      <c r="J163" s="46" t="s">
        <v>10</v>
      </c>
      <c r="K163" s="46" t="s">
        <v>10</v>
      </c>
      <c r="L163" s="31" t="str">
        <f t="shared" si="21"/>
        <v>Espacialidade</v>
      </c>
      <c r="M163" s="31" t="str">
        <f t="shared" si="21"/>
        <v>Analítica.Espacial</v>
      </c>
      <c r="N163" s="31" t="str">
        <f t="shared" ref="N163:N171" si="24">(SUBSTITUTE(SUBSTITUTE(CONCATENATE("",E163),"."," ")," De "," de "))</f>
        <v>Analema Solar</v>
      </c>
      <c r="O163" s="31" t="str">
        <f t="shared" si="23"/>
        <v>Sol</v>
      </c>
      <c r="P163" s="32" t="s">
        <v>524</v>
      </c>
      <c r="Q163" s="32" t="str">
        <f t="shared" si="18"/>
        <v>Heliodomo solar o Analema: sol.</v>
      </c>
      <c r="R163" s="58" t="s">
        <v>10</v>
      </c>
      <c r="S163" s="32" t="str">
        <f t="shared" si="22"/>
        <v>Espacialidade</v>
      </c>
      <c r="T163" s="32" t="str">
        <f t="shared" si="22"/>
        <v>Analítica Espacial</v>
      </c>
      <c r="U163" s="32" t="str">
        <f t="shared" si="22"/>
        <v>Analema Solar</v>
      </c>
      <c r="V163" s="32" t="s">
        <v>184</v>
      </c>
      <c r="W163" s="47" t="str">
        <f t="shared" si="17"/>
        <v>Key-AMB-163</v>
      </c>
      <c r="X163" s="50" t="s">
        <v>368</v>
      </c>
      <c r="Y163" s="32" t="s">
        <v>366</v>
      </c>
      <c r="Z163" s="58" t="s">
        <v>366</v>
      </c>
      <c r="AA163" s="32" t="str">
        <f t="shared" si="16"/>
        <v>Solar Heliodom or Analema: sun.</v>
      </c>
    </row>
    <row r="164" spans="1:27" s="36" customFormat="1" ht="6.75" customHeight="1" x14ac:dyDescent="0.25">
      <c r="A164" s="51">
        <v>164</v>
      </c>
      <c r="B164" s="29" t="s">
        <v>675</v>
      </c>
      <c r="C164" s="29" t="s">
        <v>847</v>
      </c>
      <c r="D164" s="29" t="s">
        <v>523</v>
      </c>
      <c r="E164" s="29" t="s">
        <v>367</v>
      </c>
      <c r="F164" s="49" t="s">
        <v>376</v>
      </c>
      <c r="G164" s="46" t="s">
        <v>10</v>
      </c>
      <c r="H164" s="46" t="s">
        <v>10</v>
      </c>
      <c r="I164" s="46" t="s">
        <v>10</v>
      </c>
      <c r="J164" s="46" t="s">
        <v>10</v>
      </c>
      <c r="K164" s="46" t="s">
        <v>10</v>
      </c>
      <c r="L164" s="31" t="str">
        <f t="shared" si="21"/>
        <v>Espacialidade</v>
      </c>
      <c r="M164" s="31" t="str">
        <f t="shared" si="21"/>
        <v>Analítica.Espacial</v>
      </c>
      <c r="N164" s="31" t="str">
        <f t="shared" si="24"/>
        <v>Analema Solar</v>
      </c>
      <c r="O164" s="31" t="str">
        <f t="shared" si="23"/>
        <v>Sol Percurso 1</v>
      </c>
      <c r="P164" s="32" t="s">
        <v>525</v>
      </c>
      <c r="Q164" s="32" t="str">
        <f t="shared" si="18"/>
        <v>Analema Solar Heliodom: Camino Solar 1.</v>
      </c>
      <c r="R164" s="58" t="s">
        <v>10</v>
      </c>
      <c r="S164" s="32" t="str">
        <f t="shared" si="22"/>
        <v>Espacialidade</v>
      </c>
      <c r="T164" s="32" t="str">
        <f t="shared" si="22"/>
        <v>Analítica Espacial</v>
      </c>
      <c r="U164" s="32" t="str">
        <f t="shared" si="22"/>
        <v>Analema Solar</v>
      </c>
      <c r="V164" s="32" t="s">
        <v>184</v>
      </c>
      <c r="W164" s="47" t="str">
        <f t="shared" si="17"/>
        <v>Key-AMB-164</v>
      </c>
      <c r="X164" s="50" t="s">
        <v>374</v>
      </c>
      <c r="Y164" s="32" t="s">
        <v>366</v>
      </c>
      <c r="Z164" s="58" t="s">
        <v>366</v>
      </c>
      <c r="AA164" s="32" t="str">
        <f t="shared" si="16"/>
        <v>Heliodom Solar Analemma: Solar Path 1.</v>
      </c>
    </row>
    <row r="165" spans="1:27" s="36" customFormat="1" ht="6.75" customHeight="1" x14ac:dyDescent="0.25">
      <c r="A165" s="51">
        <v>165</v>
      </c>
      <c r="B165" s="29" t="s">
        <v>675</v>
      </c>
      <c r="C165" s="29" t="s">
        <v>847</v>
      </c>
      <c r="D165" s="29" t="s">
        <v>523</v>
      </c>
      <c r="E165" s="29" t="s">
        <v>367</v>
      </c>
      <c r="F165" s="49" t="s">
        <v>377</v>
      </c>
      <c r="G165" s="46" t="s">
        <v>10</v>
      </c>
      <c r="H165" s="46" t="s">
        <v>10</v>
      </c>
      <c r="I165" s="46" t="s">
        <v>10</v>
      </c>
      <c r="J165" s="46" t="s">
        <v>10</v>
      </c>
      <c r="K165" s="46" t="s">
        <v>10</v>
      </c>
      <c r="L165" s="31" t="str">
        <f t="shared" si="21"/>
        <v>Espacialidade</v>
      </c>
      <c r="M165" s="31" t="str">
        <f t="shared" si="21"/>
        <v>Analítica.Espacial</v>
      </c>
      <c r="N165" s="31" t="str">
        <f t="shared" si="24"/>
        <v>Analema Solar</v>
      </c>
      <c r="O165" s="31" t="str">
        <f t="shared" si="23"/>
        <v>Sol Percurso 2</v>
      </c>
      <c r="P165" s="32" t="s">
        <v>525</v>
      </c>
      <c r="Q165" s="32" t="str">
        <f t="shared" si="18"/>
        <v>Analema Solar Heliodom: Camino Solar 1.</v>
      </c>
      <c r="R165" s="58" t="s">
        <v>10</v>
      </c>
      <c r="S165" s="32" t="str">
        <f t="shared" si="22"/>
        <v>Espacialidade</v>
      </c>
      <c r="T165" s="32" t="str">
        <f t="shared" si="22"/>
        <v>Analítica Espacial</v>
      </c>
      <c r="U165" s="32" t="str">
        <f t="shared" si="22"/>
        <v>Analema Solar</v>
      </c>
      <c r="V165" s="32" t="s">
        <v>184</v>
      </c>
      <c r="W165" s="47" t="str">
        <f t="shared" si="17"/>
        <v>Key-AMB-165</v>
      </c>
      <c r="X165" s="50" t="s">
        <v>369</v>
      </c>
      <c r="Y165" s="32" t="s">
        <v>366</v>
      </c>
      <c r="Z165" s="58" t="s">
        <v>366</v>
      </c>
      <c r="AA165" s="32" t="str">
        <f t="shared" si="16"/>
        <v>Heliodom Solar Analemma: Solar Path 1.</v>
      </c>
    </row>
    <row r="166" spans="1:27" s="36" customFormat="1" ht="6.75" customHeight="1" x14ac:dyDescent="0.25">
      <c r="A166" s="51">
        <v>166</v>
      </c>
      <c r="B166" s="29" t="s">
        <v>675</v>
      </c>
      <c r="C166" s="29" t="s">
        <v>847</v>
      </c>
      <c r="D166" s="29" t="s">
        <v>523</v>
      </c>
      <c r="E166" s="29" t="s">
        <v>367</v>
      </c>
      <c r="F166" s="49" t="s">
        <v>378</v>
      </c>
      <c r="G166" s="46" t="s">
        <v>10</v>
      </c>
      <c r="H166" s="46" t="s">
        <v>10</v>
      </c>
      <c r="I166" s="46" t="s">
        <v>10</v>
      </c>
      <c r="J166" s="46" t="s">
        <v>10</v>
      </c>
      <c r="K166" s="46" t="s">
        <v>10</v>
      </c>
      <c r="L166" s="31" t="str">
        <f t="shared" si="21"/>
        <v>Espacialidade</v>
      </c>
      <c r="M166" s="31" t="str">
        <f t="shared" si="21"/>
        <v>Analítica.Espacial</v>
      </c>
      <c r="N166" s="31" t="str">
        <f t="shared" si="24"/>
        <v>Analema Solar</v>
      </c>
      <c r="O166" s="31" t="str">
        <f t="shared" si="23"/>
        <v>Sol Texto Amanhecer</v>
      </c>
      <c r="P166" s="32" t="s">
        <v>526</v>
      </c>
      <c r="Q166" s="32" t="str">
        <f t="shared" si="18"/>
        <v>Heliodom Dawn: Texto desde la salida del sol.</v>
      </c>
      <c r="R166" s="58" t="s">
        <v>10</v>
      </c>
      <c r="S166" s="32" t="str">
        <f t="shared" si="22"/>
        <v>Espacialidade</v>
      </c>
      <c r="T166" s="32" t="str">
        <f t="shared" si="22"/>
        <v>Analítica Espacial</v>
      </c>
      <c r="U166" s="32" t="str">
        <f t="shared" si="22"/>
        <v>Analema Solar</v>
      </c>
      <c r="V166" s="32" t="s">
        <v>184</v>
      </c>
      <c r="W166" s="47" t="str">
        <f t="shared" si="17"/>
        <v>Key-AMB-166</v>
      </c>
      <c r="X166" s="50" t="s">
        <v>373</v>
      </c>
      <c r="Y166" s="32" t="s">
        <v>366</v>
      </c>
      <c r="Z166" s="58" t="s">
        <v>366</v>
      </c>
      <c r="AA166" s="32" t="str">
        <f t="shared" si="16"/>
        <v>Heliodom Dawn: Text from the exit of the sun.</v>
      </c>
    </row>
    <row r="167" spans="1:27" s="36" customFormat="1" ht="6.75" customHeight="1" x14ac:dyDescent="0.25">
      <c r="A167" s="51">
        <v>167</v>
      </c>
      <c r="B167" s="29" t="s">
        <v>675</v>
      </c>
      <c r="C167" s="29" t="s">
        <v>847</v>
      </c>
      <c r="D167" s="29" t="s">
        <v>523</v>
      </c>
      <c r="E167" s="29" t="s">
        <v>367</v>
      </c>
      <c r="F167" s="49" t="s">
        <v>379</v>
      </c>
      <c r="G167" s="46" t="s">
        <v>10</v>
      </c>
      <c r="H167" s="46" t="s">
        <v>10</v>
      </c>
      <c r="I167" s="46" t="s">
        <v>10</v>
      </c>
      <c r="J167" s="46" t="s">
        <v>10</v>
      </c>
      <c r="K167" s="46" t="s">
        <v>10</v>
      </c>
      <c r="L167" s="31" t="str">
        <f t="shared" si="21"/>
        <v>Espacialidade</v>
      </c>
      <c r="M167" s="31" t="str">
        <f t="shared" si="21"/>
        <v>Analítica.Espacial</v>
      </c>
      <c r="N167" s="31" t="str">
        <f t="shared" si="24"/>
        <v>Analema Solar</v>
      </c>
      <c r="O167" s="31" t="str">
        <f t="shared" si="23"/>
        <v>Sol Texto Anoitecer</v>
      </c>
      <c r="P167" s="32" t="s">
        <v>527</v>
      </c>
      <c r="Q167" s="32" t="str">
        <f t="shared" si="18"/>
        <v>Heliodom Nightfall: mensaje de la posta do sol.</v>
      </c>
      <c r="R167" s="58" t="s">
        <v>10</v>
      </c>
      <c r="S167" s="32" t="str">
        <f t="shared" si="22"/>
        <v>Espacialidade</v>
      </c>
      <c r="T167" s="32" t="str">
        <f t="shared" si="22"/>
        <v>Analítica Espacial</v>
      </c>
      <c r="U167" s="32" t="str">
        <f t="shared" si="22"/>
        <v>Analema Solar</v>
      </c>
      <c r="V167" s="32" t="s">
        <v>184</v>
      </c>
      <c r="W167" s="47" t="str">
        <f t="shared" si="17"/>
        <v>Key-AMB-167</v>
      </c>
      <c r="X167" s="50" t="s">
        <v>370</v>
      </c>
      <c r="Y167" s="32" t="s">
        <v>366</v>
      </c>
      <c r="Z167" s="58" t="s">
        <v>366</v>
      </c>
      <c r="AA167" s="32" t="str">
        <f t="shared" si="16"/>
        <v>Heliodom Nightfall: text from posta do sol.</v>
      </c>
    </row>
    <row r="168" spans="1:27" s="36" customFormat="1" ht="6.75" customHeight="1" x14ac:dyDescent="0.25">
      <c r="A168" s="51">
        <v>168</v>
      </c>
      <c r="B168" s="29" t="s">
        <v>675</v>
      </c>
      <c r="C168" s="29" t="s">
        <v>847</v>
      </c>
      <c r="D168" s="29" t="s">
        <v>523</v>
      </c>
      <c r="E168" s="29" t="s">
        <v>367</v>
      </c>
      <c r="F168" s="49" t="s">
        <v>380</v>
      </c>
      <c r="G168" s="46" t="s">
        <v>10</v>
      </c>
      <c r="H168" s="46" t="s">
        <v>10</v>
      </c>
      <c r="I168" s="46" t="s">
        <v>10</v>
      </c>
      <c r="J168" s="46" t="s">
        <v>10</v>
      </c>
      <c r="K168" s="46" t="s">
        <v>10</v>
      </c>
      <c r="L168" s="31" t="str">
        <f t="shared" si="21"/>
        <v>Espacialidade</v>
      </c>
      <c r="M168" s="31" t="str">
        <f t="shared" si="21"/>
        <v>Analítica.Espacial</v>
      </c>
      <c r="N168" s="31" t="str">
        <f t="shared" si="24"/>
        <v>Analema Solar</v>
      </c>
      <c r="O168" s="31" t="str">
        <f t="shared" si="23"/>
        <v>Sol Estudo</v>
      </c>
      <c r="P168" s="32" t="s">
        <v>528</v>
      </c>
      <c r="Q168" s="32" t="str">
        <f t="shared" si="18"/>
        <v>Estudio Solar Heliodom.</v>
      </c>
      <c r="R168" s="58" t="s">
        <v>10</v>
      </c>
      <c r="S168" s="32" t="str">
        <f t="shared" si="22"/>
        <v>Espacialidade</v>
      </c>
      <c r="T168" s="32" t="str">
        <f t="shared" si="22"/>
        <v>Analítica Espacial</v>
      </c>
      <c r="U168" s="32" t="str">
        <f t="shared" si="22"/>
        <v>Analema Solar</v>
      </c>
      <c r="V168" s="32" t="s">
        <v>184</v>
      </c>
      <c r="W168" s="47" t="str">
        <f t="shared" si="17"/>
        <v>Key-AMB-168</v>
      </c>
      <c r="X168" s="50" t="s">
        <v>372</v>
      </c>
      <c r="Y168" s="32" t="s">
        <v>366</v>
      </c>
      <c r="Z168" s="58" t="s">
        <v>366</v>
      </c>
      <c r="AA168" s="32" t="str">
        <f t="shared" si="16"/>
        <v>Solar Study Heliodom.</v>
      </c>
    </row>
    <row r="169" spans="1:27" s="36" customFormat="1" ht="6.75" customHeight="1" x14ac:dyDescent="0.25">
      <c r="A169" s="51">
        <v>169</v>
      </c>
      <c r="B169" s="29" t="s">
        <v>675</v>
      </c>
      <c r="C169" s="29" t="s">
        <v>847</v>
      </c>
      <c r="D169" s="29" t="s">
        <v>523</v>
      </c>
      <c r="E169" s="29" t="s">
        <v>367</v>
      </c>
      <c r="F169" s="49" t="s">
        <v>381</v>
      </c>
      <c r="G169" s="46" t="s">
        <v>10</v>
      </c>
      <c r="H169" s="46" t="s">
        <v>10</v>
      </c>
      <c r="I169" s="46" t="s">
        <v>10</v>
      </c>
      <c r="J169" s="46" t="s">
        <v>10</v>
      </c>
      <c r="K169" s="46" t="s">
        <v>10</v>
      </c>
      <c r="L169" s="31" t="str">
        <f t="shared" si="21"/>
        <v>Espacialidade</v>
      </c>
      <c r="M169" s="31" t="str">
        <f>CONCATENATE("", D169)</f>
        <v>Analítica.Espacial</v>
      </c>
      <c r="N169" s="31" t="str">
        <f t="shared" si="24"/>
        <v>Analema Solar</v>
      </c>
      <c r="O169" s="31" t="str">
        <f t="shared" si="23"/>
        <v>Sol Superfície</v>
      </c>
      <c r="P169" s="32" t="s">
        <v>529</v>
      </c>
      <c r="Q169" s="32" t="str">
        <f t="shared" si="18"/>
        <v>Heliodom Superficie del sol.</v>
      </c>
      <c r="R169" s="58" t="s">
        <v>10</v>
      </c>
      <c r="S169" s="32" t="str">
        <f t="shared" si="22"/>
        <v>Espacialidade</v>
      </c>
      <c r="T169" s="32" t="str">
        <f>SUBSTITUTE(D169, ".", " ")</f>
        <v>Analítica Espacial</v>
      </c>
      <c r="U169" s="32" t="str">
        <f t="shared" si="22"/>
        <v>Analema Solar</v>
      </c>
      <c r="V169" s="32" t="s">
        <v>184</v>
      </c>
      <c r="W169" s="47" t="str">
        <f t="shared" si="17"/>
        <v>Key-AMB-169</v>
      </c>
      <c r="X169" s="50" t="s">
        <v>371</v>
      </c>
      <c r="Y169" s="32" t="s">
        <v>366</v>
      </c>
      <c r="Z169" s="58" t="s">
        <v>366</v>
      </c>
      <c r="AA169" s="32" t="str">
        <f t="shared" si="16"/>
        <v>Heliodom Surface of the sun.</v>
      </c>
    </row>
    <row r="170" spans="1:27" s="36" customFormat="1" ht="6.75" customHeight="1" x14ac:dyDescent="0.25">
      <c r="A170" s="51">
        <v>170</v>
      </c>
      <c r="B170" s="29" t="s">
        <v>675</v>
      </c>
      <c r="C170" s="29" t="s">
        <v>847</v>
      </c>
      <c r="D170" s="29" t="s">
        <v>523</v>
      </c>
      <c r="E170" s="29" t="s">
        <v>301</v>
      </c>
      <c r="F170" s="29" t="s">
        <v>297</v>
      </c>
      <c r="G170" s="46" t="s">
        <v>10</v>
      </c>
      <c r="H170" s="46" t="s">
        <v>10</v>
      </c>
      <c r="I170" s="46" t="s">
        <v>10</v>
      </c>
      <c r="J170" s="46" t="s">
        <v>10</v>
      </c>
      <c r="K170" s="46" t="s">
        <v>10</v>
      </c>
      <c r="L170" s="31" t="str">
        <f t="shared" si="21"/>
        <v>Espacialidade</v>
      </c>
      <c r="M170" s="31" t="str">
        <f t="shared" si="21"/>
        <v>Analítica.Espacial</v>
      </c>
      <c r="N170" s="31" t="str">
        <f t="shared" si="24"/>
        <v>Orientação Solar</v>
      </c>
      <c r="O170" s="31" t="str">
        <f t="shared" si="23"/>
        <v>Orientação Norte</v>
      </c>
      <c r="P170" s="32" t="s">
        <v>530</v>
      </c>
      <c r="Q170" s="32" t="str">
        <f t="shared" si="18"/>
        <v>Análisis de orientación del Envelope. Elementos orientados al norte, en relación con el Norte verdadero o solar.</v>
      </c>
      <c r="R170" s="58" t="s">
        <v>10</v>
      </c>
      <c r="S170" s="32" t="str">
        <f t="shared" si="22"/>
        <v>Espacialidade</v>
      </c>
      <c r="T170" s="32" t="str">
        <f t="shared" si="22"/>
        <v>Analítica Espacial</v>
      </c>
      <c r="U170" s="32" t="str">
        <f t="shared" si="22"/>
        <v>Orientação Solar</v>
      </c>
      <c r="V170" s="32" t="s">
        <v>184</v>
      </c>
      <c r="W170" s="47" t="str">
        <f t="shared" si="17"/>
        <v>Key-AMB-170</v>
      </c>
      <c r="X170" s="32" t="s">
        <v>382</v>
      </c>
      <c r="Y170" s="32" t="s">
        <v>383</v>
      </c>
      <c r="Z170" s="58" t="s">
        <v>366</v>
      </c>
      <c r="AA170" s="32" t="str">
        <f t="shared" si="16"/>
        <v>Orientation analysis of the Envelop. North-oriented elements, relative to True or Solar North.</v>
      </c>
    </row>
    <row r="171" spans="1:27" s="36" customFormat="1" ht="6.75" customHeight="1" x14ac:dyDescent="0.25">
      <c r="A171" s="51">
        <v>171</v>
      </c>
      <c r="B171" s="29" t="s">
        <v>675</v>
      </c>
      <c r="C171" s="29" t="s">
        <v>847</v>
      </c>
      <c r="D171" s="29" t="s">
        <v>523</v>
      </c>
      <c r="E171" s="29" t="s">
        <v>301</v>
      </c>
      <c r="F171" s="29" t="s">
        <v>298</v>
      </c>
      <c r="G171" s="46" t="s">
        <v>10</v>
      </c>
      <c r="H171" s="46" t="s">
        <v>10</v>
      </c>
      <c r="I171" s="46" t="s">
        <v>10</v>
      </c>
      <c r="J171" s="46" t="s">
        <v>10</v>
      </c>
      <c r="K171" s="46" t="s">
        <v>10</v>
      </c>
      <c r="L171" s="31" t="str">
        <f t="shared" si="21"/>
        <v>Espacialidade</v>
      </c>
      <c r="M171" s="31" t="str">
        <f t="shared" si="21"/>
        <v>Analítica.Espacial</v>
      </c>
      <c r="N171" s="31" t="str">
        <f t="shared" si="24"/>
        <v>Orientação Solar</v>
      </c>
      <c r="O171" s="31" t="str">
        <f t="shared" si="23"/>
        <v>Orientação Sul</v>
      </c>
      <c r="P171" s="32" t="s">
        <v>531</v>
      </c>
      <c r="Q171" s="32" t="str">
        <f t="shared" si="18"/>
        <v>Análisis de orientación del Envelope. Elementos orientados al sur, en relación con el norte verdadero o solar.</v>
      </c>
      <c r="R171" s="58" t="s">
        <v>10</v>
      </c>
      <c r="S171" s="32" t="str">
        <f t="shared" si="22"/>
        <v>Espacialidade</v>
      </c>
      <c r="T171" s="32" t="str">
        <f t="shared" si="22"/>
        <v>Analítica Espacial</v>
      </c>
      <c r="U171" s="32" t="str">
        <f t="shared" si="22"/>
        <v>Orientação Solar</v>
      </c>
      <c r="V171" s="32" t="s">
        <v>184</v>
      </c>
      <c r="W171" s="47" t="str">
        <f t="shared" si="17"/>
        <v>Key-AMB-171</v>
      </c>
      <c r="X171" s="32" t="s">
        <v>382</v>
      </c>
      <c r="Y171" s="32" t="s">
        <v>383</v>
      </c>
      <c r="Z171" s="58" t="s">
        <v>366</v>
      </c>
      <c r="AA171" s="32" t="str">
        <f t="shared" si="16"/>
        <v>Orientation analysis of the Envelop. South-facing elements, relative to True or Solar North.</v>
      </c>
    </row>
    <row r="172" spans="1:27" s="36" customFormat="1" ht="6.75" customHeight="1" x14ac:dyDescent="0.25">
      <c r="A172" s="51">
        <v>172</v>
      </c>
      <c r="B172" s="29" t="s">
        <v>675</v>
      </c>
      <c r="C172" s="29" t="s">
        <v>847</v>
      </c>
      <c r="D172" s="29" t="s">
        <v>523</v>
      </c>
      <c r="E172" s="29" t="s">
        <v>301</v>
      </c>
      <c r="F172" s="29" t="s">
        <v>299</v>
      </c>
      <c r="G172" s="46" t="s">
        <v>10</v>
      </c>
      <c r="H172" s="46" t="s">
        <v>10</v>
      </c>
      <c r="I172" s="46" t="s">
        <v>10</v>
      </c>
      <c r="J172" s="46" t="s">
        <v>10</v>
      </c>
      <c r="K172" s="46" t="s">
        <v>10</v>
      </c>
      <c r="L172" s="31" t="str">
        <f t="shared" si="21"/>
        <v>Espacialidade</v>
      </c>
      <c r="M172" s="31" t="str">
        <f t="shared" si="21"/>
        <v>Analítica.Espacial</v>
      </c>
      <c r="N172" s="31" t="str">
        <f>(SUBSTITUTE(SUBSTITUTE(CONCATENATE("",E172),"."," ")," De "," de "))</f>
        <v>Orientação Solar</v>
      </c>
      <c r="O172" s="31" t="str">
        <f>(SUBSTITUTE(SUBSTITUTE(CONCATENATE("",F172),"."," ")," De "," de "))</f>
        <v>Orientação Leste</v>
      </c>
      <c r="P172" s="32" t="s">
        <v>533</v>
      </c>
      <c r="Q172" s="32" t="str">
        <f t="shared" si="18"/>
        <v>Análisis de orientación del Envelope. Elementos orientados al este, en relación con el Norte Verdadero o el Solar.</v>
      </c>
      <c r="R172" s="58" t="s">
        <v>10</v>
      </c>
      <c r="S172" s="32" t="str">
        <f t="shared" si="22"/>
        <v>Espacialidade</v>
      </c>
      <c r="T172" s="32" t="str">
        <f t="shared" si="22"/>
        <v>Analítica Espacial</v>
      </c>
      <c r="U172" s="32" t="str">
        <f t="shared" si="22"/>
        <v>Orientação Solar</v>
      </c>
      <c r="V172" s="32" t="s">
        <v>184</v>
      </c>
      <c r="W172" s="47" t="str">
        <f t="shared" si="17"/>
        <v>Key-AMB-172</v>
      </c>
      <c r="X172" s="32" t="s">
        <v>382</v>
      </c>
      <c r="Y172" s="32" t="s">
        <v>383</v>
      </c>
      <c r="Z172" s="58" t="s">
        <v>366</v>
      </c>
      <c r="AA172" s="32" t="str">
        <f t="shared" si="16"/>
        <v>Orientation analysis of the Envelop. East-oriented elements, relative to True North or Solar.</v>
      </c>
    </row>
    <row r="173" spans="1:27" s="36" customFormat="1" ht="6.75" customHeight="1" x14ac:dyDescent="0.25">
      <c r="A173" s="51">
        <v>173</v>
      </c>
      <c r="B173" s="29" t="s">
        <v>675</v>
      </c>
      <c r="C173" s="29" t="s">
        <v>847</v>
      </c>
      <c r="D173" s="29" t="s">
        <v>523</v>
      </c>
      <c r="E173" s="29" t="s">
        <v>301</v>
      </c>
      <c r="F173" s="29" t="s">
        <v>300</v>
      </c>
      <c r="G173" s="46" t="s">
        <v>10</v>
      </c>
      <c r="H173" s="46" t="s">
        <v>10</v>
      </c>
      <c r="I173" s="46" t="s">
        <v>10</v>
      </c>
      <c r="J173" s="46" t="s">
        <v>10</v>
      </c>
      <c r="K173" s="46" t="s">
        <v>10</v>
      </c>
      <c r="L173" s="31" t="str">
        <f t="shared" si="21"/>
        <v>Espacialidade</v>
      </c>
      <c r="M173" s="31" t="str">
        <f t="shared" si="21"/>
        <v>Analítica.Espacial</v>
      </c>
      <c r="N173" s="31" t="str">
        <f t="shared" ref="N173:O185" si="25">(SUBSTITUTE(SUBSTITUTE(CONCATENATE("",E173),"."," ")," De "," de "))</f>
        <v>Orientação Solar</v>
      </c>
      <c r="O173" s="31" t="str">
        <f t="shared" si="25"/>
        <v>Orientação Oeste</v>
      </c>
      <c r="P173" s="32" t="s">
        <v>532</v>
      </c>
      <c r="Q173" s="32" t="str">
        <f t="shared" si="18"/>
        <v>Análisis de orientación del Envelope. Elementos orientados hacia el Oeste, en relación con el Norte Verdadero o el Solar.</v>
      </c>
      <c r="R173" s="58" t="s">
        <v>10</v>
      </c>
      <c r="S173" s="32" t="str">
        <f t="shared" si="22"/>
        <v>Espacialidade</v>
      </c>
      <c r="T173" s="32" t="str">
        <f t="shared" si="22"/>
        <v>Analítica Espacial</v>
      </c>
      <c r="U173" s="32" t="str">
        <f t="shared" si="22"/>
        <v>Orientação Solar</v>
      </c>
      <c r="V173" s="32" t="s">
        <v>184</v>
      </c>
      <c r="W173" s="47" t="str">
        <f t="shared" si="17"/>
        <v>Key-AMB-173</v>
      </c>
      <c r="X173" s="32" t="s">
        <v>382</v>
      </c>
      <c r="Y173" s="32" t="s">
        <v>383</v>
      </c>
      <c r="Z173" s="58" t="s">
        <v>366</v>
      </c>
      <c r="AA173" s="32" t="str">
        <f t="shared" si="16"/>
        <v>Orientation analysis of the Envelop. Elements oriented to the West, relative to True North or Solar.</v>
      </c>
    </row>
    <row r="174" spans="1:27" s="36" customFormat="1" ht="6.75" customHeight="1" x14ac:dyDescent="0.25">
      <c r="A174" s="51">
        <v>174</v>
      </c>
      <c r="B174" s="29" t="s">
        <v>675</v>
      </c>
      <c r="C174" s="29" t="s">
        <v>847</v>
      </c>
      <c r="D174" s="29" t="s">
        <v>523</v>
      </c>
      <c r="E174" s="29" t="s">
        <v>301</v>
      </c>
      <c r="F174" s="29" t="s">
        <v>302</v>
      </c>
      <c r="G174" s="46" t="s">
        <v>10</v>
      </c>
      <c r="H174" s="46" t="s">
        <v>10</v>
      </c>
      <c r="I174" s="46" t="s">
        <v>10</v>
      </c>
      <c r="J174" s="46" t="s">
        <v>10</v>
      </c>
      <c r="K174" s="46" t="s">
        <v>10</v>
      </c>
      <c r="L174" s="31" t="str">
        <f t="shared" si="21"/>
        <v>Espacialidade</v>
      </c>
      <c r="M174" s="31" t="str">
        <f t="shared" si="21"/>
        <v>Analítica.Espacial</v>
      </c>
      <c r="N174" s="31" t="str">
        <f t="shared" si="25"/>
        <v>Orientação Solar</v>
      </c>
      <c r="O174" s="31" t="str">
        <f t="shared" si="25"/>
        <v>Símbolo de Norte</v>
      </c>
      <c r="P174" s="32" t="s">
        <v>303</v>
      </c>
      <c r="Q174" s="32" t="str">
        <f t="shared" si="18"/>
        <v>Elemento de referencia simbólico de la posición del Norte Verdadero: marcador del Símbolo Norte.</v>
      </c>
      <c r="R174" s="58" t="s">
        <v>10</v>
      </c>
      <c r="S174" s="32" t="str">
        <f t="shared" si="22"/>
        <v>Espacialidade</v>
      </c>
      <c r="T174" s="32" t="str">
        <f t="shared" si="22"/>
        <v>Analítica Espacial</v>
      </c>
      <c r="U174" s="32" t="str">
        <f t="shared" si="22"/>
        <v>Orientação Solar</v>
      </c>
      <c r="V174" s="32" t="s">
        <v>184</v>
      </c>
      <c r="W174" s="47" t="str">
        <f t="shared" si="17"/>
        <v>Key-AMB-174</v>
      </c>
      <c r="X174" s="32" t="s">
        <v>382</v>
      </c>
      <c r="Y174" s="32" t="s">
        <v>383</v>
      </c>
      <c r="Z174" s="58" t="s">
        <v>366</v>
      </c>
      <c r="AA174" s="32" t="str">
        <f t="shared" si="16"/>
        <v>Symbolic reference element of the True North position: North Symbol marker.</v>
      </c>
    </row>
    <row r="175" spans="1:27" ht="6.75" customHeight="1" x14ac:dyDescent="0.25">
      <c r="A175" s="51">
        <v>175</v>
      </c>
      <c r="B175" s="29" t="s">
        <v>80</v>
      </c>
      <c r="C175" s="29" t="s">
        <v>681</v>
      </c>
      <c r="D175" s="29" t="s">
        <v>713</v>
      </c>
      <c r="E175" s="29" t="s">
        <v>694</v>
      </c>
      <c r="F175" s="30" t="s">
        <v>819</v>
      </c>
      <c r="G175" s="46" t="s">
        <v>10</v>
      </c>
      <c r="H175" s="48" t="s">
        <v>10</v>
      </c>
      <c r="I175" s="48" t="s">
        <v>10</v>
      </c>
      <c r="J175" s="46" t="s">
        <v>10</v>
      </c>
      <c r="K175" s="46" t="s">
        <v>10</v>
      </c>
      <c r="L175" s="31" t="str">
        <f t="shared" ref="L175:L176" si="26">CONCATENATE("", C175)</f>
        <v>De.Arquitetura</v>
      </c>
      <c r="M175" s="31" t="str">
        <f t="shared" ref="M175:M176" si="27">CONCATENATE("", D175)</f>
        <v>Layout</v>
      </c>
      <c r="N175" s="31" t="str">
        <f t="shared" ref="N175:N176" si="28">(SUBSTITUTE(SUBSTITUTE(CONCATENATE("",E175),"."," ")," De "," de "))</f>
        <v>Espaços Existentes</v>
      </c>
      <c r="O175" s="31" t="str">
        <f t="shared" ref="O175:O176" si="29">(SUBSTITUTE(SUBSTITUTE(CONCATENATE("",F175),"."," ")," De "," de "))</f>
        <v>Campus Existente</v>
      </c>
      <c r="P175" s="32" t="s">
        <v>686</v>
      </c>
      <c r="Q175" s="32" t="str">
        <f t="shared" ref="Q175:Q176" si="30">_xlfn.TRANSLATE(P175,"pt","es")</f>
        <v>Campus actual</v>
      </c>
      <c r="R175" s="58" t="s">
        <v>10</v>
      </c>
      <c r="S175" s="32" t="str">
        <f t="shared" si="22"/>
        <v>De Arquitetura</v>
      </c>
      <c r="T175" s="32" t="str">
        <f t="shared" si="22"/>
        <v>Layout</v>
      </c>
      <c r="U175" s="32" t="str">
        <f t="shared" si="22"/>
        <v>Espaços Existentes</v>
      </c>
      <c r="V175" s="32" t="s">
        <v>184</v>
      </c>
      <c r="W175" s="47" t="str">
        <f t="shared" ref="W175:W176" si="31">CONCATENATE("Key-AMB-",A175)</f>
        <v>Key-AMB-175</v>
      </c>
      <c r="X175" s="32" t="s">
        <v>366</v>
      </c>
      <c r="Y175" s="32" t="s">
        <v>366</v>
      </c>
      <c r="Z175" s="58" t="s">
        <v>366</v>
      </c>
      <c r="AA175" s="32" t="str">
        <f t="shared" si="16"/>
        <v>Existing campus</v>
      </c>
    </row>
    <row r="176" spans="1:27" s="36" customFormat="1" ht="6.75" customHeight="1" x14ac:dyDescent="0.25">
      <c r="A176" s="51">
        <v>176</v>
      </c>
      <c r="B176" s="29" t="s">
        <v>80</v>
      </c>
      <c r="C176" s="29" t="s">
        <v>681</v>
      </c>
      <c r="D176" s="29" t="s">
        <v>713</v>
      </c>
      <c r="E176" s="29" t="s">
        <v>694</v>
      </c>
      <c r="F176" s="30" t="s">
        <v>820</v>
      </c>
      <c r="G176" s="46" t="s">
        <v>10</v>
      </c>
      <c r="H176" s="48" t="s">
        <v>10</v>
      </c>
      <c r="I176" s="48" t="s">
        <v>10</v>
      </c>
      <c r="J176" s="46" t="s">
        <v>10</v>
      </c>
      <c r="K176" s="46" t="s">
        <v>10</v>
      </c>
      <c r="L176" s="31" t="str">
        <f t="shared" si="26"/>
        <v>De.Arquitetura</v>
      </c>
      <c r="M176" s="31" t="str">
        <f t="shared" si="27"/>
        <v>Layout</v>
      </c>
      <c r="N176" s="31" t="str">
        <f t="shared" si="28"/>
        <v>Espaços Existentes</v>
      </c>
      <c r="O176" s="31" t="str">
        <f t="shared" si="29"/>
        <v>Edifício Existente</v>
      </c>
      <c r="P176" s="32" t="s">
        <v>685</v>
      </c>
      <c r="Q176" s="32" t="str">
        <f t="shared" si="30"/>
        <v>Edificio existente</v>
      </c>
      <c r="R176" s="58" t="s">
        <v>10</v>
      </c>
      <c r="S176" s="32" t="str">
        <f t="shared" ref="S176" si="32">SUBSTITUTE(C176, ".", " ")</f>
        <v>De Arquitetura</v>
      </c>
      <c r="T176" s="32" t="str">
        <f t="shared" ref="T176" si="33">SUBSTITUTE(D176, ".", " ")</f>
        <v>Layout</v>
      </c>
      <c r="U176" s="32" t="str">
        <f t="shared" ref="U176" si="34">SUBSTITUTE(E176, ".", " ")</f>
        <v>Espaços Existentes</v>
      </c>
      <c r="V176" s="32" t="s">
        <v>184</v>
      </c>
      <c r="W176" s="47" t="str">
        <f t="shared" si="31"/>
        <v>Key-AMB-176</v>
      </c>
      <c r="X176" s="32" t="s">
        <v>366</v>
      </c>
      <c r="Y176" s="32" t="s">
        <v>366</v>
      </c>
      <c r="Z176" s="58" t="s">
        <v>366</v>
      </c>
      <c r="AA176" s="32" t="str">
        <f>_xlfn.TRANSLATE(P176,"pt","en")</f>
        <v>Existing building</v>
      </c>
    </row>
    <row r="177" spans="1:27" s="36" customFormat="1" ht="6.75" customHeight="1" x14ac:dyDescent="0.25">
      <c r="A177" s="51">
        <v>177</v>
      </c>
      <c r="B177" s="29" t="s">
        <v>80</v>
      </c>
      <c r="C177" s="29" t="s">
        <v>681</v>
      </c>
      <c r="D177" s="29" t="s">
        <v>713</v>
      </c>
      <c r="E177" s="29" t="s">
        <v>694</v>
      </c>
      <c r="F177" s="30" t="s">
        <v>821</v>
      </c>
      <c r="G177" s="46" t="s">
        <v>10</v>
      </c>
      <c r="H177" s="48" t="s">
        <v>10</v>
      </c>
      <c r="I177" s="48" t="s">
        <v>10</v>
      </c>
      <c r="J177" s="46" t="s">
        <v>10</v>
      </c>
      <c r="K177" s="46" t="s">
        <v>10</v>
      </c>
      <c r="L177" s="31" t="str">
        <f t="shared" si="21"/>
        <v>De.Arquitetura</v>
      </c>
      <c r="M177" s="31" t="str">
        <f t="shared" si="21"/>
        <v>Layout</v>
      </c>
      <c r="N177" s="31" t="str">
        <f t="shared" si="25"/>
        <v>Espaços Existentes</v>
      </c>
      <c r="O177" s="31" t="str">
        <f t="shared" si="25"/>
        <v>Bloco Existente</v>
      </c>
      <c r="P177" s="32" t="s">
        <v>705</v>
      </c>
      <c r="Q177" s="32" t="str">
        <f t="shared" si="18"/>
        <v>Bloque de construcción existente</v>
      </c>
      <c r="R177" s="58" t="s">
        <v>10</v>
      </c>
      <c r="S177" s="32" t="str">
        <f t="shared" si="22"/>
        <v>De Arquitetura</v>
      </c>
      <c r="T177" s="32" t="str">
        <f t="shared" si="22"/>
        <v>Layout</v>
      </c>
      <c r="U177" s="32" t="str">
        <f t="shared" si="22"/>
        <v>Espaços Existentes</v>
      </c>
      <c r="V177" s="32" t="s">
        <v>184</v>
      </c>
      <c r="W177" s="47" t="str">
        <f t="shared" si="17"/>
        <v>Key-AMB-177</v>
      </c>
      <c r="X177" s="32" t="s">
        <v>366</v>
      </c>
      <c r="Y177" s="32" t="s">
        <v>366</v>
      </c>
      <c r="Z177" s="58" t="s">
        <v>366</v>
      </c>
      <c r="AA177" s="32" t="str">
        <f>_xlfn.TRANSLATE(P177,"pt","en")</f>
        <v>Existing Building Block</v>
      </c>
    </row>
    <row r="178" spans="1:27" ht="6.75" customHeight="1" x14ac:dyDescent="0.25">
      <c r="A178" s="51">
        <v>178</v>
      </c>
      <c r="B178" s="29" t="s">
        <v>80</v>
      </c>
      <c r="C178" s="29" t="s">
        <v>681</v>
      </c>
      <c r="D178" s="29" t="s">
        <v>713</v>
      </c>
      <c r="E178" s="29" t="s">
        <v>694</v>
      </c>
      <c r="F178" s="33" t="s">
        <v>822</v>
      </c>
      <c r="G178" s="46" t="s">
        <v>10</v>
      </c>
      <c r="H178" s="48" t="s">
        <v>10</v>
      </c>
      <c r="I178" s="48" t="s">
        <v>10</v>
      </c>
      <c r="J178" s="46" t="s">
        <v>10</v>
      </c>
      <c r="K178" s="46" t="s">
        <v>10</v>
      </c>
      <c r="L178" s="31" t="str">
        <f t="shared" ref="L178" si="35">CONCATENATE("", C178)</f>
        <v>De.Arquitetura</v>
      </c>
      <c r="M178" s="31" t="str">
        <f t="shared" ref="M178" si="36">CONCATENATE("", D178)</f>
        <v>Layout</v>
      </c>
      <c r="N178" s="31" t="str">
        <f t="shared" ref="N178" si="37">(SUBSTITUTE(SUBSTITUTE(CONCATENATE("",E178),"."," ")," De "," de "))</f>
        <v>Espaços Existentes</v>
      </c>
      <c r="O178" s="31" t="str">
        <f t="shared" ref="O178" si="38">(SUBSTITUTE(SUBSTITUTE(CONCATENATE("",F178),"."," ")," De "," de "))</f>
        <v>Zona Existente</v>
      </c>
      <c r="P178" s="32" t="s">
        <v>687</v>
      </c>
      <c r="Q178" s="32" t="str">
        <f t="shared" ref="Q178" si="39">_xlfn.TRANSLATE(P178,"pt","es")</f>
        <v>Zonificación existente</v>
      </c>
      <c r="R178" s="58" t="s">
        <v>10</v>
      </c>
      <c r="S178" s="32" t="str">
        <f t="shared" ref="S178" si="40">SUBSTITUTE(C178, ".", " ")</f>
        <v>De Arquitetura</v>
      </c>
      <c r="T178" s="32" t="str">
        <f t="shared" ref="T178" si="41">SUBSTITUTE(D178, ".", " ")</f>
        <v>Layout</v>
      </c>
      <c r="U178" s="32" t="str">
        <f t="shared" ref="U178" si="42">SUBSTITUTE(E178, ".", " ")</f>
        <v>Espaços Existentes</v>
      </c>
      <c r="V178" s="32" t="s">
        <v>184</v>
      </c>
      <c r="W178" s="47" t="str">
        <f t="shared" si="17"/>
        <v>Key-AMB-178</v>
      </c>
      <c r="X178" s="32" t="s">
        <v>682</v>
      </c>
      <c r="Y178" s="43" t="s">
        <v>322</v>
      </c>
      <c r="Z178" s="58" t="s">
        <v>366</v>
      </c>
      <c r="AA178" s="32" t="str">
        <f t="shared" ref="AA178" si="43">_xlfn.TRANSLATE(P178,"pt","en")</f>
        <v>Existing zoning</v>
      </c>
    </row>
    <row r="179" spans="1:27" s="36" customFormat="1" ht="6.75" customHeight="1" x14ac:dyDescent="0.25">
      <c r="A179" s="51">
        <v>179</v>
      </c>
      <c r="B179" s="29" t="s">
        <v>80</v>
      </c>
      <c r="C179" s="29" t="s">
        <v>681</v>
      </c>
      <c r="D179" s="29" t="s">
        <v>713</v>
      </c>
      <c r="E179" s="29" t="s">
        <v>694</v>
      </c>
      <c r="F179" s="30" t="s">
        <v>823</v>
      </c>
      <c r="G179" s="46" t="s">
        <v>10</v>
      </c>
      <c r="H179" s="48" t="s">
        <v>10</v>
      </c>
      <c r="I179" s="48" t="s">
        <v>10</v>
      </c>
      <c r="J179" s="46" t="s">
        <v>10</v>
      </c>
      <c r="K179" s="46" t="s">
        <v>10</v>
      </c>
      <c r="L179" s="31" t="str">
        <f t="shared" ref="L179" si="44">CONCATENATE("", C179)</f>
        <v>De.Arquitetura</v>
      </c>
      <c r="M179" s="31" t="str">
        <f t="shared" ref="M179" si="45">CONCATENATE("", D179)</f>
        <v>Layout</v>
      </c>
      <c r="N179" s="31" t="str">
        <f t="shared" ref="N179" si="46">(SUBSTITUTE(SUBSTITUTE(CONCATENATE("",E179),"."," ")," De "," de "))</f>
        <v>Espaços Existentes</v>
      </c>
      <c r="O179" s="31" t="str">
        <f t="shared" ref="O179" si="47">(SUBSTITUTE(SUBSTITUTE(CONCATENATE("",F179),"."," ")," De "," de "))</f>
        <v>Andar Existente</v>
      </c>
      <c r="P179" s="32" t="s">
        <v>690</v>
      </c>
      <c r="Q179" s="32" t="str">
        <f t="shared" ref="Q179" si="48">_xlfn.TRANSLATE(P179,"pt","es")</f>
        <v>Planta del edificio existente</v>
      </c>
      <c r="R179" s="58" t="s">
        <v>10</v>
      </c>
      <c r="S179" s="32" t="str">
        <f t="shared" ref="S179" si="49">SUBSTITUTE(C179, ".", " ")</f>
        <v>De Arquitetura</v>
      </c>
      <c r="T179" s="32" t="str">
        <f t="shared" ref="T179" si="50">SUBSTITUTE(D179, ".", " ")</f>
        <v>Layout</v>
      </c>
      <c r="U179" s="32" t="str">
        <f t="shared" ref="U179" si="51">SUBSTITUTE(E179, ".", " ")</f>
        <v>Espaços Existentes</v>
      </c>
      <c r="V179" s="32" t="s">
        <v>184</v>
      </c>
      <c r="W179" s="47" t="str">
        <f t="shared" ref="W179" si="52">CONCATENATE("Key-AMB-",A179)</f>
        <v>Key-AMB-179</v>
      </c>
      <c r="X179" s="32" t="s">
        <v>335</v>
      </c>
      <c r="Y179" s="43" t="s">
        <v>310</v>
      </c>
      <c r="Z179" s="58" t="s">
        <v>363</v>
      </c>
      <c r="AA179" s="32" t="str">
        <f t="shared" ref="AA179" si="53">_xlfn.TRANSLATE(P179,"pt","en")</f>
        <v>Floor of existing building</v>
      </c>
    </row>
    <row r="180" spans="1:27" s="36" customFormat="1" ht="6.75" customHeight="1" x14ac:dyDescent="0.25">
      <c r="A180" s="51">
        <v>180</v>
      </c>
      <c r="B180" s="29" t="s">
        <v>80</v>
      </c>
      <c r="C180" s="29" t="s">
        <v>681</v>
      </c>
      <c r="D180" s="29" t="s">
        <v>713</v>
      </c>
      <c r="E180" s="29" t="s">
        <v>694</v>
      </c>
      <c r="F180" s="30" t="s">
        <v>824</v>
      </c>
      <c r="G180" s="46" t="s">
        <v>10</v>
      </c>
      <c r="H180" s="48" t="s">
        <v>10</v>
      </c>
      <c r="I180" s="48" t="s">
        <v>10</v>
      </c>
      <c r="J180" s="46" t="s">
        <v>10</v>
      </c>
      <c r="K180" s="46" t="s">
        <v>10</v>
      </c>
      <c r="L180" s="31" t="str">
        <f t="shared" si="21"/>
        <v>De.Arquitetura</v>
      </c>
      <c r="M180" s="31" t="str">
        <f t="shared" si="21"/>
        <v>Layout</v>
      </c>
      <c r="N180" s="31" t="str">
        <f t="shared" si="25"/>
        <v>Espaços Existentes</v>
      </c>
      <c r="O180" s="31" t="str">
        <f t="shared" si="25"/>
        <v>Compartimento Existente</v>
      </c>
      <c r="P180" s="32" t="s">
        <v>688</v>
      </c>
      <c r="Q180" s="32" t="str">
        <f t="shared" si="18"/>
        <v>Compartimento existente</v>
      </c>
      <c r="R180" s="58" t="s">
        <v>10</v>
      </c>
      <c r="S180" s="32" t="str">
        <f t="shared" ref="S180:U185" si="54">SUBSTITUTE(C180, ".", " ")</f>
        <v>De Arquitetura</v>
      </c>
      <c r="T180" s="32" t="str">
        <f t="shared" si="54"/>
        <v>Layout</v>
      </c>
      <c r="U180" s="32" t="str">
        <f t="shared" si="54"/>
        <v>Espaços Existentes</v>
      </c>
      <c r="V180" s="32" t="s">
        <v>184</v>
      </c>
      <c r="W180" s="47" t="str">
        <f t="shared" si="17"/>
        <v>Key-AMB-180</v>
      </c>
      <c r="X180" s="32" t="s">
        <v>339</v>
      </c>
      <c r="Y180" s="43" t="s">
        <v>322</v>
      </c>
      <c r="Z180" s="58" t="s">
        <v>512</v>
      </c>
      <c r="AA180" s="32" t="str">
        <f t="shared" ref="AA180:AA183" si="55">_xlfn.TRANSLATE(P180,"pt","en")</f>
        <v>Existing compartment</v>
      </c>
    </row>
    <row r="181" spans="1:27" ht="6.75" customHeight="1" x14ac:dyDescent="0.25">
      <c r="A181" s="51">
        <v>181</v>
      </c>
      <c r="B181" s="29" t="s">
        <v>80</v>
      </c>
      <c r="C181" s="29" t="s">
        <v>681</v>
      </c>
      <c r="D181" s="29" t="s">
        <v>713</v>
      </c>
      <c r="E181" s="29" t="s">
        <v>695</v>
      </c>
      <c r="F181" s="30" t="s">
        <v>825</v>
      </c>
      <c r="G181" s="46" t="s">
        <v>10</v>
      </c>
      <c r="H181" s="48" t="s">
        <v>10</v>
      </c>
      <c r="I181" s="48" t="s">
        <v>10</v>
      </c>
      <c r="J181" s="46" t="s">
        <v>10</v>
      </c>
      <c r="K181" s="46" t="s">
        <v>10</v>
      </c>
      <c r="L181" s="31" t="str">
        <f t="shared" si="21"/>
        <v>De.Arquitetura</v>
      </c>
      <c r="M181" s="31" t="str">
        <f t="shared" si="21"/>
        <v>Layout</v>
      </c>
      <c r="N181" s="31" t="str">
        <f t="shared" si="25"/>
        <v>Espaços Novos</v>
      </c>
      <c r="O181" s="31" t="str">
        <f t="shared" si="25"/>
        <v>Campus Novo</v>
      </c>
      <c r="P181" s="32" t="s">
        <v>691</v>
      </c>
      <c r="Q181" s="32" t="str">
        <f t="shared" si="18"/>
        <v>Nuevo campus</v>
      </c>
      <c r="R181" s="58" t="s">
        <v>10</v>
      </c>
      <c r="S181" s="32" t="str">
        <f t="shared" si="54"/>
        <v>De Arquitetura</v>
      </c>
      <c r="T181" s="32" t="str">
        <f t="shared" si="54"/>
        <v>Layout</v>
      </c>
      <c r="U181" s="32" t="str">
        <f t="shared" si="54"/>
        <v>Espaços Novos</v>
      </c>
      <c r="V181" s="32" t="s">
        <v>184</v>
      </c>
      <c r="W181" s="47" t="str">
        <f t="shared" si="17"/>
        <v>Key-AMB-181</v>
      </c>
      <c r="X181" s="32" t="s">
        <v>366</v>
      </c>
      <c r="Y181" s="32" t="s">
        <v>366</v>
      </c>
      <c r="Z181" s="58" t="s">
        <v>366</v>
      </c>
      <c r="AA181" s="32" t="str">
        <f t="shared" si="55"/>
        <v>New Campus</v>
      </c>
    </row>
    <row r="182" spans="1:27" ht="6.75" customHeight="1" x14ac:dyDescent="0.25">
      <c r="A182" s="51">
        <v>182</v>
      </c>
      <c r="B182" s="29" t="s">
        <v>80</v>
      </c>
      <c r="C182" s="29" t="s">
        <v>681</v>
      </c>
      <c r="D182" s="29" t="s">
        <v>713</v>
      </c>
      <c r="E182" s="29" t="s">
        <v>695</v>
      </c>
      <c r="F182" s="30" t="s">
        <v>830</v>
      </c>
      <c r="G182" s="46" t="s">
        <v>10</v>
      </c>
      <c r="H182" s="48" t="s">
        <v>10</v>
      </c>
      <c r="I182" s="48" t="s">
        <v>10</v>
      </c>
      <c r="J182" s="46" t="s">
        <v>10</v>
      </c>
      <c r="K182" s="46" t="s">
        <v>10</v>
      </c>
      <c r="L182" s="31" t="str">
        <f t="shared" ref="L182" si="56">CONCATENATE("", C182)</f>
        <v>De.Arquitetura</v>
      </c>
      <c r="M182" s="31" t="str">
        <f t="shared" ref="M182" si="57">CONCATENATE("", D182)</f>
        <v>Layout</v>
      </c>
      <c r="N182" s="31" t="str">
        <f t="shared" ref="N182" si="58">(SUBSTITUTE(SUBSTITUTE(CONCATENATE("",E182),"."," ")," De "," de "))</f>
        <v>Espaços Novos</v>
      </c>
      <c r="O182" s="31" t="str">
        <f t="shared" ref="O182" si="59">(SUBSTITUTE(SUBSTITUTE(CONCATENATE("",F182),"."," ")," De "," de "))</f>
        <v>Edifício Novo</v>
      </c>
      <c r="P182" s="32" t="s">
        <v>684</v>
      </c>
      <c r="Q182" s="32" t="str">
        <f t="shared" ref="Q182" si="60">_xlfn.TRANSLATE(P182,"pt","es")</f>
        <v>Nuevo edificio</v>
      </c>
      <c r="R182" s="58" t="s">
        <v>10</v>
      </c>
      <c r="S182" s="32" t="str">
        <f t="shared" ref="S182" si="61">SUBSTITUTE(C182, ".", " ")</f>
        <v>De Arquitetura</v>
      </c>
      <c r="T182" s="32" t="str">
        <f t="shared" ref="T182" si="62">SUBSTITUTE(D182, ".", " ")</f>
        <v>Layout</v>
      </c>
      <c r="U182" s="32" t="str">
        <f t="shared" ref="U182" si="63">SUBSTITUTE(E182, ".", " ")</f>
        <v>Espaços Novos</v>
      </c>
      <c r="V182" s="32" t="s">
        <v>184</v>
      </c>
      <c r="W182" s="47" t="str">
        <f t="shared" ref="W182" si="64">CONCATENATE("Key-AMB-",A182)</f>
        <v>Key-AMB-182</v>
      </c>
      <c r="X182" s="32" t="s">
        <v>366</v>
      </c>
      <c r="Y182" s="32" t="s">
        <v>366</v>
      </c>
      <c r="Z182" s="58" t="s">
        <v>366</v>
      </c>
      <c r="AA182" s="32" t="str">
        <f t="shared" ref="AA182" si="65">_xlfn.TRANSLATE(P182,"pt","en")</f>
        <v>New Building</v>
      </c>
    </row>
    <row r="183" spans="1:27" ht="6.75" customHeight="1" x14ac:dyDescent="0.25">
      <c r="A183" s="51">
        <v>183</v>
      </c>
      <c r="B183" s="29" t="s">
        <v>80</v>
      </c>
      <c r="C183" s="29" t="s">
        <v>681</v>
      </c>
      <c r="D183" s="29" t="s">
        <v>713</v>
      </c>
      <c r="E183" s="29" t="s">
        <v>695</v>
      </c>
      <c r="F183" s="30" t="s">
        <v>829</v>
      </c>
      <c r="G183" s="46" t="s">
        <v>10</v>
      </c>
      <c r="H183" s="48" t="s">
        <v>10</v>
      </c>
      <c r="I183" s="48" t="s">
        <v>10</v>
      </c>
      <c r="J183" s="46" t="s">
        <v>10</v>
      </c>
      <c r="K183" s="46" t="s">
        <v>10</v>
      </c>
      <c r="L183" s="31" t="str">
        <f t="shared" si="21"/>
        <v>De.Arquitetura</v>
      </c>
      <c r="M183" s="31" t="str">
        <f t="shared" si="21"/>
        <v>Layout</v>
      </c>
      <c r="N183" s="31" t="str">
        <f t="shared" si="25"/>
        <v>Espaços Novos</v>
      </c>
      <c r="O183" s="31" t="str">
        <f t="shared" si="25"/>
        <v>Bloco Novo</v>
      </c>
      <c r="P183" s="32" t="s">
        <v>704</v>
      </c>
      <c r="Q183" s="32" t="str">
        <f t="shared" si="18"/>
        <v>Nuevo bloque de construcción</v>
      </c>
      <c r="R183" s="58" t="s">
        <v>10</v>
      </c>
      <c r="S183" s="32" t="str">
        <f t="shared" si="54"/>
        <v>De Arquitetura</v>
      </c>
      <c r="T183" s="32" t="str">
        <f t="shared" si="54"/>
        <v>Layout</v>
      </c>
      <c r="U183" s="32" t="str">
        <f t="shared" si="54"/>
        <v>Espaços Novos</v>
      </c>
      <c r="V183" s="32" t="s">
        <v>184</v>
      </c>
      <c r="W183" s="47" t="str">
        <f t="shared" si="17"/>
        <v>Key-AMB-183</v>
      </c>
      <c r="X183" s="32" t="s">
        <v>366</v>
      </c>
      <c r="Y183" s="32" t="s">
        <v>366</v>
      </c>
      <c r="Z183" s="58" t="s">
        <v>366</v>
      </c>
      <c r="AA183" s="32" t="str">
        <f t="shared" si="55"/>
        <v>New Building Block</v>
      </c>
    </row>
    <row r="184" spans="1:27" customFormat="1" ht="6.75" customHeight="1" x14ac:dyDescent="0.25">
      <c r="A184" s="51">
        <v>184</v>
      </c>
      <c r="B184" s="29" t="s">
        <v>80</v>
      </c>
      <c r="C184" s="29" t="s">
        <v>681</v>
      </c>
      <c r="D184" s="29" t="s">
        <v>713</v>
      </c>
      <c r="E184" s="29" t="s">
        <v>695</v>
      </c>
      <c r="F184" s="33" t="s">
        <v>828</v>
      </c>
      <c r="G184" s="46" t="s">
        <v>10</v>
      </c>
      <c r="H184" s="48" t="s">
        <v>10</v>
      </c>
      <c r="I184" s="48" t="s">
        <v>10</v>
      </c>
      <c r="J184" s="46" t="s">
        <v>10</v>
      </c>
      <c r="K184" s="46" t="s">
        <v>10</v>
      </c>
      <c r="L184" s="31" t="str">
        <f t="shared" ref="L184:M186" si="66">CONCATENATE("", C184)</f>
        <v>De.Arquitetura</v>
      </c>
      <c r="M184" s="31" t="str">
        <f t="shared" si="66"/>
        <v>Layout</v>
      </c>
      <c r="N184" s="31" t="str">
        <f t="shared" si="25"/>
        <v>Espaços Novos</v>
      </c>
      <c r="O184" s="31" t="str">
        <f t="shared" si="25"/>
        <v>Zona Novo</v>
      </c>
      <c r="P184" s="32" t="s">
        <v>692</v>
      </c>
      <c r="Q184" s="32" t="str">
        <f t="shared" si="18"/>
        <v>Nueva zonificación</v>
      </c>
      <c r="R184" s="58" t="s">
        <v>10</v>
      </c>
      <c r="S184" s="58" t="str">
        <f t="shared" si="54"/>
        <v>De Arquitetura</v>
      </c>
      <c r="T184" s="58" t="str">
        <f t="shared" si="54"/>
        <v>Layout</v>
      </c>
      <c r="U184" s="58" t="str">
        <f t="shared" si="54"/>
        <v>Espaços Novos</v>
      </c>
      <c r="V184" s="32" t="s">
        <v>184</v>
      </c>
      <c r="W184" s="47" t="str">
        <f t="shared" si="17"/>
        <v>Key-AMB-184</v>
      </c>
      <c r="X184" s="32" t="s">
        <v>682</v>
      </c>
      <c r="Y184" s="43" t="s">
        <v>322</v>
      </c>
      <c r="Z184" s="58" t="s">
        <v>366</v>
      </c>
      <c r="AA184" s="32" t="str">
        <f>_xlfn.TRANSLATE(P184,"pt","en")</f>
        <v>New Zoning</v>
      </c>
    </row>
    <row r="185" spans="1:27" s="36" customFormat="1" ht="6.75" customHeight="1" x14ac:dyDescent="0.25">
      <c r="A185" s="51">
        <v>185</v>
      </c>
      <c r="B185" s="29" t="s">
        <v>80</v>
      </c>
      <c r="C185" s="29" t="s">
        <v>681</v>
      </c>
      <c r="D185" s="29" t="s">
        <v>713</v>
      </c>
      <c r="E185" s="29" t="s">
        <v>695</v>
      </c>
      <c r="F185" s="30" t="s">
        <v>827</v>
      </c>
      <c r="G185" s="46" t="s">
        <v>10</v>
      </c>
      <c r="H185" s="48" t="s">
        <v>10</v>
      </c>
      <c r="I185" s="48" t="s">
        <v>10</v>
      </c>
      <c r="J185" s="46" t="s">
        <v>10</v>
      </c>
      <c r="K185" s="46" t="s">
        <v>10</v>
      </c>
      <c r="L185" s="31" t="str">
        <f t="shared" si="66"/>
        <v>De.Arquitetura</v>
      </c>
      <c r="M185" s="31" t="str">
        <f t="shared" si="66"/>
        <v>Layout</v>
      </c>
      <c r="N185" s="31" t="str">
        <f t="shared" ref="N185:O186" si="67">(SUBSTITUTE(SUBSTITUTE(CONCATENATE("",E185),"."," ")," De "," de "))</f>
        <v>Espaços Novos</v>
      </c>
      <c r="O185" s="31" t="str">
        <f t="shared" si="25"/>
        <v>Andar Novo</v>
      </c>
      <c r="P185" s="32" t="s">
        <v>693</v>
      </c>
      <c r="Q185" s="32" t="str">
        <f t="shared" si="18"/>
        <v>Nueva planta del edificio</v>
      </c>
      <c r="R185" s="58" t="s">
        <v>10</v>
      </c>
      <c r="S185" s="32" t="str">
        <f t="shared" si="54"/>
        <v>De Arquitetura</v>
      </c>
      <c r="T185" s="32" t="str">
        <f t="shared" si="54"/>
        <v>Layout</v>
      </c>
      <c r="U185" s="32" t="str">
        <f t="shared" si="54"/>
        <v>Espaços Novos</v>
      </c>
      <c r="V185" s="32" t="s">
        <v>184</v>
      </c>
      <c r="W185" s="47" t="str">
        <f t="shared" si="17"/>
        <v>Key-AMB-185</v>
      </c>
      <c r="X185" s="32" t="s">
        <v>335</v>
      </c>
      <c r="Y185" s="43" t="s">
        <v>310</v>
      </c>
      <c r="Z185" s="58" t="s">
        <v>363</v>
      </c>
      <c r="AA185" s="32" t="str">
        <f t="shared" ref="AA185" si="68">_xlfn.TRANSLATE(P185,"pt","en")</f>
        <v>New floor of the building</v>
      </c>
    </row>
    <row r="186" spans="1:27" customFormat="1" ht="6.75" customHeight="1" x14ac:dyDescent="0.25">
      <c r="A186" s="51">
        <v>186</v>
      </c>
      <c r="B186" s="29" t="s">
        <v>80</v>
      </c>
      <c r="C186" s="29" t="s">
        <v>681</v>
      </c>
      <c r="D186" s="29" t="s">
        <v>713</v>
      </c>
      <c r="E186" s="29" t="s">
        <v>695</v>
      </c>
      <c r="F186" s="30" t="s">
        <v>826</v>
      </c>
      <c r="G186" s="46" t="s">
        <v>10</v>
      </c>
      <c r="H186" s="48" t="s">
        <v>10</v>
      </c>
      <c r="I186" s="48" t="s">
        <v>10</v>
      </c>
      <c r="J186" s="46" t="s">
        <v>10</v>
      </c>
      <c r="K186" s="46" t="s">
        <v>10</v>
      </c>
      <c r="L186" s="31" t="str">
        <f t="shared" si="66"/>
        <v>De.Arquitetura</v>
      </c>
      <c r="M186" s="31" t="str">
        <f t="shared" si="66"/>
        <v>Layout</v>
      </c>
      <c r="N186" s="31" t="str">
        <f t="shared" si="67"/>
        <v>Espaços Novos</v>
      </c>
      <c r="O186" s="31" t="str">
        <f t="shared" si="67"/>
        <v>Compartimento Novo</v>
      </c>
      <c r="P186" s="32" t="s">
        <v>689</v>
      </c>
      <c r="Q186" s="32" t="str">
        <f t="shared" si="18"/>
        <v>Nuevo compartimento</v>
      </c>
      <c r="R186" s="58" t="s">
        <v>10</v>
      </c>
      <c r="S186" s="58" t="str">
        <f t="shared" ref="S186:U186" si="69">SUBSTITUTE(C186, ".", " ")</f>
        <v>De Arquitetura</v>
      </c>
      <c r="T186" s="58" t="str">
        <f t="shared" si="69"/>
        <v>Layout</v>
      </c>
      <c r="U186" s="58" t="str">
        <f t="shared" si="69"/>
        <v>Espaços Novos</v>
      </c>
      <c r="V186" s="32" t="s">
        <v>184</v>
      </c>
      <c r="W186" s="47" t="str">
        <f t="shared" si="17"/>
        <v>Key-AMB-186</v>
      </c>
      <c r="X186" s="32" t="s">
        <v>339</v>
      </c>
      <c r="Y186" s="43" t="s">
        <v>322</v>
      </c>
      <c r="Z186" s="58" t="s">
        <v>512</v>
      </c>
      <c r="AA186" s="32" t="str">
        <f t="shared" ref="AA186" si="70">_xlfn.TRANSLATE(P186,"pt","en")</f>
        <v>New Compartment</v>
      </c>
    </row>
    <row r="187" spans="1:27" customFormat="1" ht="6.75" customHeight="1" x14ac:dyDescent="0.25">
      <c r="A187" s="51">
        <v>187</v>
      </c>
      <c r="B187" s="29" t="s">
        <v>80</v>
      </c>
      <c r="C187" s="29" t="s">
        <v>681</v>
      </c>
      <c r="D187" s="29" t="s">
        <v>713</v>
      </c>
      <c r="E187" s="29" t="s">
        <v>714</v>
      </c>
      <c r="F187" s="30" t="s">
        <v>833</v>
      </c>
      <c r="G187" s="46" t="s">
        <v>10</v>
      </c>
      <c r="H187" s="48" t="s">
        <v>10</v>
      </c>
      <c r="I187" s="48" t="s">
        <v>10</v>
      </c>
      <c r="J187" s="46" t="s">
        <v>10</v>
      </c>
      <c r="K187" s="46" t="s">
        <v>10</v>
      </c>
      <c r="L187" s="31" t="str">
        <f t="shared" ref="L187" si="71">CONCATENATE("", C187)</f>
        <v>De.Arquitetura</v>
      </c>
      <c r="M187" s="31" t="str">
        <f t="shared" ref="M187" si="72">CONCATENATE("", D187)</f>
        <v>Layout</v>
      </c>
      <c r="N187" s="31" t="str">
        <f t="shared" ref="N187" si="73">(SUBSTITUTE(SUBSTITUTE(CONCATENATE("",E187),"."," ")," De "," de "))</f>
        <v>Mobiliários</v>
      </c>
      <c r="O187" s="31" t="str">
        <f t="shared" ref="O187" si="74">(SUBSTITUTE(SUBSTITUTE(CONCATENATE("",F187),"."," ")," De "," de "))</f>
        <v>Móvel Inventariado</v>
      </c>
      <c r="P187" s="32" t="s">
        <v>836</v>
      </c>
      <c r="Q187" s="32" t="str">
        <f t="shared" ref="Q187" si="75">_xlfn.TRANSLATE(P187,"pt","es")</f>
        <v>Mobiliario Inventariado</v>
      </c>
      <c r="R187" s="58" t="s">
        <v>10</v>
      </c>
      <c r="S187" s="58" t="str">
        <f t="shared" ref="S187" si="76">SUBSTITUTE(C187, ".", " ")</f>
        <v>De Arquitetura</v>
      </c>
      <c r="T187" s="58" t="str">
        <f t="shared" ref="T187" si="77">SUBSTITUTE(D187, ".", " ")</f>
        <v>Layout</v>
      </c>
      <c r="U187" s="58" t="str">
        <f t="shared" ref="U187" si="78">SUBSTITUTE(E187, ".", " ")</f>
        <v>Mobiliários</v>
      </c>
      <c r="V187" s="32" t="s">
        <v>184</v>
      </c>
      <c r="W187" s="47" t="str">
        <f t="shared" ref="W187" si="79">CONCATENATE("Key-AMB-",A187)</f>
        <v>Key-AMB-187</v>
      </c>
      <c r="X187" s="32" t="s">
        <v>339</v>
      </c>
      <c r="Y187" s="43" t="s">
        <v>322</v>
      </c>
      <c r="Z187" s="58" t="s">
        <v>512</v>
      </c>
      <c r="AA187" s="32" t="str">
        <f t="shared" ref="AA187" si="80">_xlfn.TRANSLATE(P187,"pt","en")</f>
        <v>Inventoried Furniture</v>
      </c>
    </row>
    <row r="188" spans="1:27" customFormat="1" ht="6.75" customHeight="1" x14ac:dyDescent="0.25">
      <c r="A188" s="51">
        <v>188</v>
      </c>
      <c r="B188" s="29" t="s">
        <v>80</v>
      </c>
      <c r="C188" s="29" t="s">
        <v>681</v>
      </c>
      <c r="D188" s="29" t="s">
        <v>713</v>
      </c>
      <c r="E188" s="29" t="s">
        <v>714</v>
      </c>
      <c r="F188" s="30" t="s">
        <v>831</v>
      </c>
      <c r="G188" s="46" t="s">
        <v>10</v>
      </c>
      <c r="H188" s="48" t="s">
        <v>10</v>
      </c>
      <c r="I188" s="48" t="s">
        <v>10</v>
      </c>
      <c r="J188" s="46" t="s">
        <v>10</v>
      </c>
      <c r="K188" s="46" t="s">
        <v>10</v>
      </c>
      <c r="L188" s="31" t="str">
        <f t="shared" ref="L188:L189" si="81">CONCATENATE("", C188)</f>
        <v>De.Arquitetura</v>
      </c>
      <c r="M188" s="31" t="str">
        <f t="shared" ref="M188:M189" si="82">CONCATENATE("", D188)</f>
        <v>Layout</v>
      </c>
      <c r="N188" s="31" t="str">
        <f t="shared" ref="N188:N189" si="83">(SUBSTITUTE(SUBSTITUTE(CONCATENATE("",E188),"."," ")," De "," de "))</f>
        <v>Mobiliários</v>
      </c>
      <c r="O188" s="31" t="str">
        <f t="shared" ref="O188:O189" si="84">(SUBSTITUTE(SUBSTITUTE(CONCATENATE("",F188),"."," ")," De "," de "))</f>
        <v>Móvel Novo</v>
      </c>
      <c r="P188" s="32" t="s">
        <v>837</v>
      </c>
      <c r="Q188" s="32" t="str">
        <f t="shared" ref="Q188:Q189" si="85">_xlfn.TRANSLATE(P188,"pt","es")</f>
        <v>Muebles nuevos</v>
      </c>
      <c r="R188" s="58" t="s">
        <v>10</v>
      </c>
      <c r="S188" s="58" t="str">
        <f t="shared" ref="S188:S189" si="86">SUBSTITUTE(C188, ".", " ")</f>
        <v>De Arquitetura</v>
      </c>
      <c r="T188" s="58" t="str">
        <f t="shared" ref="T188:T189" si="87">SUBSTITUTE(D188, ".", " ")</f>
        <v>Layout</v>
      </c>
      <c r="U188" s="58" t="str">
        <f t="shared" ref="U188:U189" si="88">SUBSTITUTE(E188, ".", " ")</f>
        <v>Mobiliários</v>
      </c>
      <c r="V188" s="32" t="s">
        <v>184</v>
      </c>
      <c r="W188" s="47" t="str">
        <f t="shared" ref="W188:W189" si="89">CONCATENATE("Key-AMB-",A188)</f>
        <v>Key-AMB-188</v>
      </c>
      <c r="X188" s="32" t="s">
        <v>339</v>
      </c>
      <c r="Y188" s="43" t="s">
        <v>322</v>
      </c>
      <c r="Z188" s="58" t="s">
        <v>512</v>
      </c>
      <c r="AA188" s="32" t="str">
        <f t="shared" ref="AA188:AA189" si="90">_xlfn.TRANSLATE(P188,"pt","en")</f>
        <v>New Furniture</v>
      </c>
    </row>
    <row r="189" spans="1:27" customFormat="1" ht="6.75" customHeight="1" x14ac:dyDescent="0.25">
      <c r="A189" s="51">
        <v>189</v>
      </c>
      <c r="B189" s="29" t="s">
        <v>80</v>
      </c>
      <c r="C189" s="29" t="s">
        <v>681</v>
      </c>
      <c r="D189" s="29" t="s">
        <v>713</v>
      </c>
      <c r="E189" s="29" t="s">
        <v>715</v>
      </c>
      <c r="F189" s="30" t="s">
        <v>834</v>
      </c>
      <c r="G189" s="46" t="s">
        <v>10</v>
      </c>
      <c r="H189" s="48" t="s">
        <v>10</v>
      </c>
      <c r="I189" s="48" t="s">
        <v>10</v>
      </c>
      <c r="J189" s="46" t="s">
        <v>10</v>
      </c>
      <c r="K189" s="46" t="s">
        <v>10</v>
      </c>
      <c r="L189" s="31" t="str">
        <f t="shared" si="81"/>
        <v>De.Arquitetura</v>
      </c>
      <c r="M189" s="31" t="str">
        <f t="shared" si="82"/>
        <v>Layout</v>
      </c>
      <c r="N189" s="31" t="str">
        <f t="shared" si="83"/>
        <v>Equipamentos</v>
      </c>
      <c r="O189" s="31" t="str">
        <f t="shared" si="84"/>
        <v>Equipamento Inventariado</v>
      </c>
      <c r="P189" s="32" t="s">
        <v>838</v>
      </c>
      <c r="Q189" s="32" t="str">
        <f t="shared" si="85"/>
        <v>Equipos inventariados</v>
      </c>
      <c r="R189" s="58" t="s">
        <v>10</v>
      </c>
      <c r="S189" s="58" t="str">
        <f t="shared" si="86"/>
        <v>De Arquitetura</v>
      </c>
      <c r="T189" s="58" t="str">
        <f t="shared" si="87"/>
        <v>Layout</v>
      </c>
      <c r="U189" s="58" t="str">
        <f t="shared" si="88"/>
        <v>Equipamentos</v>
      </c>
      <c r="V189" s="32" t="s">
        <v>184</v>
      </c>
      <c r="W189" s="47" t="str">
        <f t="shared" si="89"/>
        <v>Key-AMB-189</v>
      </c>
      <c r="X189" s="32" t="s">
        <v>339</v>
      </c>
      <c r="Y189" s="43" t="s">
        <v>322</v>
      </c>
      <c r="Z189" s="58" t="s">
        <v>512</v>
      </c>
      <c r="AA189" s="32" t="str">
        <f t="shared" si="90"/>
        <v>Inventoried Equipment</v>
      </c>
    </row>
    <row r="190" spans="1:27" customFormat="1" ht="6.75" customHeight="1" x14ac:dyDescent="0.25">
      <c r="A190" s="51">
        <v>190</v>
      </c>
      <c r="B190" s="29" t="s">
        <v>80</v>
      </c>
      <c r="C190" s="29" t="s">
        <v>681</v>
      </c>
      <c r="D190" s="29" t="s">
        <v>713</v>
      </c>
      <c r="E190" s="29" t="s">
        <v>715</v>
      </c>
      <c r="F190" s="30" t="s">
        <v>832</v>
      </c>
      <c r="G190" s="46" t="s">
        <v>10</v>
      </c>
      <c r="H190" s="48" t="s">
        <v>10</v>
      </c>
      <c r="I190" s="48" t="s">
        <v>10</v>
      </c>
      <c r="J190" s="46" t="s">
        <v>10</v>
      </c>
      <c r="K190" s="46" t="s">
        <v>10</v>
      </c>
      <c r="L190" s="31" t="str">
        <f t="shared" ref="L190" si="91">CONCATENATE("", C190)</f>
        <v>De.Arquitetura</v>
      </c>
      <c r="M190" s="31" t="str">
        <f t="shared" ref="M190" si="92">CONCATENATE("", D190)</f>
        <v>Layout</v>
      </c>
      <c r="N190" s="31" t="str">
        <f t="shared" ref="N190" si="93">(SUBSTITUTE(SUBSTITUTE(CONCATENATE("",E190),"."," ")," De "," de "))</f>
        <v>Equipamentos</v>
      </c>
      <c r="O190" s="31" t="str">
        <f t="shared" ref="O190" si="94">(SUBSTITUTE(SUBSTITUTE(CONCATENATE("",F190),"."," ")," De "," de "))</f>
        <v>Equipamento Novo</v>
      </c>
      <c r="P190" s="32" t="s">
        <v>839</v>
      </c>
      <c r="Q190" s="32" t="str">
        <f t="shared" ref="Q190" si="95">_xlfn.TRANSLATE(P190,"pt","es")</f>
        <v>Nuevo equipamiento</v>
      </c>
      <c r="R190" s="58" t="s">
        <v>10</v>
      </c>
      <c r="S190" s="58" t="str">
        <f t="shared" ref="S190" si="96">SUBSTITUTE(C190, ".", " ")</f>
        <v>De Arquitetura</v>
      </c>
      <c r="T190" s="58" t="str">
        <f t="shared" ref="T190" si="97">SUBSTITUTE(D190, ".", " ")</f>
        <v>Layout</v>
      </c>
      <c r="U190" s="58" t="str">
        <f t="shared" ref="U190" si="98">SUBSTITUTE(E190, ".", " ")</f>
        <v>Equipamentos</v>
      </c>
      <c r="V190" s="32" t="s">
        <v>184</v>
      </c>
      <c r="W190" s="47" t="str">
        <f t="shared" ref="W190" si="99">CONCATENATE("Key-AMB-",A190)</f>
        <v>Key-AMB-190</v>
      </c>
      <c r="X190" s="32" t="s">
        <v>339</v>
      </c>
      <c r="Y190" s="43" t="s">
        <v>322</v>
      </c>
      <c r="Z190" s="58" t="s">
        <v>512</v>
      </c>
      <c r="AA190" s="32" t="str">
        <f t="shared" ref="AA190" si="100">_xlfn.TRANSLATE(P190,"pt","en")</f>
        <v>New Equipment</v>
      </c>
    </row>
  </sheetData>
  <phoneticPr fontId="1" type="noConversion"/>
  <conditionalFormatting sqref="B187:D190 B177:C186 D175:D186">
    <cfRule type="cellIs" dxfId="86" priority="3" operator="equal">
      <formula>"null"</formula>
    </cfRule>
  </conditionalFormatting>
  <conditionalFormatting sqref="B176:C176 E176:F176">
    <cfRule type="cellIs" dxfId="85" priority="13" operator="equal">
      <formula>"null"</formula>
    </cfRule>
  </conditionalFormatting>
  <conditionalFormatting sqref="E19:F25 D26:F53 E54:F122 D139:F162 Z7:Z25 AB19:XFD31 L19:P122 X40:XFD111 AA112:XFD122 K162:P162">
    <cfRule type="cellIs" dxfId="84" priority="97" operator="equal">
      <formula>"null"</formula>
    </cfRule>
  </conditionalFormatting>
  <conditionalFormatting sqref="E170:F174 X26:Y39 AA32:XFD39 D54:D138 X112:Z138 AA123:AA138 L163:O169 L170:P174">
    <cfRule type="cellIs" dxfId="83" priority="76" operator="equal">
      <formula>"null"</formula>
    </cfRule>
  </conditionalFormatting>
  <conditionalFormatting sqref="E177:F177">
    <cfRule type="cellIs" dxfId="82" priority="49" operator="equal">
      <formula>"null"</formula>
    </cfRule>
  </conditionalFormatting>
  <conditionalFormatting sqref="F1 F7:F175 F181 F187:F1048576">
    <cfRule type="duplicateValues" dxfId="81" priority="61"/>
  </conditionalFormatting>
  <conditionalFormatting sqref="F3:F6">
    <cfRule type="duplicateValues" dxfId="80" priority="53"/>
    <cfRule type="duplicateValues" dxfId="79" priority="56"/>
    <cfRule type="duplicateValues" dxfId="78" priority="54"/>
    <cfRule type="duplicateValues" dxfId="77" priority="55"/>
  </conditionalFormatting>
  <conditionalFormatting sqref="F7:F18">
    <cfRule type="duplicateValues" dxfId="76" priority="93"/>
    <cfRule type="duplicateValues" dxfId="75" priority="94"/>
    <cfRule type="duplicateValues" dxfId="74" priority="96"/>
    <cfRule type="duplicateValues" dxfId="73" priority="92"/>
    <cfRule type="duplicateValues" dxfId="72" priority="95"/>
  </conditionalFormatting>
  <conditionalFormatting sqref="F19:F122 F139:F162">
    <cfRule type="duplicateValues" dxfId="71" priority="108"/>
  </conditionalFormatting>
  <conditionalFormatting sqref="F19:F122">
    <cfRule type="duplicateValues" dxfId="70" priority="104"/>
    <cfRule type="duplicateValues" dxfId="69" priority="103"/>
    <cfRule type="duplicateValues" dxfId="68" priority="106"/>
    <cfRule type="duplicateValues" dxfId="67" priority="105"/>
  </conditionalFormatting>
  <conditionalFormatting sqref="F123:F138">
    <cfRule type="duplicateValues" dxfId="66" priority="102"/>
    <cfRule type="duplicateValues" dxfId="65" priority="101"/>
    <cfRule type="duplicateValues" dxfId="64" priority="100"/>
    <cfRule type="duplicateValues" dxfId="63" priority="99"/>
    <cfRule type="duplicateValues" dxfId="62" priority="98"/>
  </conditionalFormatting>
  <conditionalFormatting sqref="F139:F162 F7:F122">
    <cfRule type="duplicateValues" dxfId="61" priority="107"/>
  </conditionalFormatting>
  <conditionalFormatting sqref="F163:F169">
    <cfRule type="duplicateValues" dxfId="60" priority="89"/>
    <cfRule type="duplicateValues" dxfId="59" priority="85"/>
    <cfRule type="duplicateValues" dxfId="58" priority="88"/>
    <cfRule type="duplicateValues" dxfId="57" priority="87"/>
    <cfRule type="duplicateValues" dxfId="56" priority="86"/>
    <cfRule type="duplicateValues" dxfId="55" priority="91"/>
    <cfRule type="containsText" dxfId="54" priority="90" operator="containsText" text="null">
      <formula>NOT(ISERROR(SEARCH("null",F163)))</formula>
    </cfRule>
  </conditionalFormatting>
  <conditionalFormatting sqref="F170:F174">
    <cfRule type="duplicateValues" dxfId="53" priority="63"/>
    <cfRule type="duplicateValues" dxfId="52" priority="64"/>
    <cfRule type="duplicateValues" dxfId="51" priority="65"/>
    <cfRule type="duplicateValues" dxfId="50" priority="66"/>
    <cfRule type="duplicateValues" dxfId="49" priority="68"/>
    <cfRule type="duplicateValues" dxfId="48" priority="67"/>
  </conditionalFormatting>
  <conditionalFormatting sqref="F178">
    <cfRule type="duplicateValues" dxfId="47" priority="25"/>
  </conditionalFormatting>
  <conditionalFormatting sqref="F179:F180 F176:F177">
    <cfRule type="duplicateValues" dxfId="46" priority="139"/>
    <cfRule type="duplicateValues" dxfId="45" priority="140"/>
    <cfRule type="duplicateValues" dxfId="44" priority="141"/>
  </conditionalFormatting>
  <conditionalFormatting sqref="F182:F183 F185:F186">
    <cfRule type="duplicateValues" dxfId="43" priority="21"/>
    <cfRule type="duplicateValues" dxfId="42" priority="19"/>
    <cfRule type="duplicateValues" dxfId="41" priority="20"/>
  </conditionalFormatting>
  <conditionalFormatting sqref="F182:F183">
    <cfRule type="cellIs" dxfId="40" priority="18" operator="equal">
      <formula>"null"</formula>
    </cfRule>
  </conditionalFormatting>
  <conditionalFormatting sqref="F184">
    <cfRule type="duplicateValues" dxfId="39" priority="17"/>
  </conditionalFormatting>
  <conditionalFormatting sqref="F185:F186 A2:B2 B3:B174 A3:A190 AA170:XFD174 B175:C175 L175:Q190 S175:V190 AA176:XFD177 E178 E179:F180 AA179:XFD180 AA181:AA183 E181:E190 E175">
    <cfRule type="cellIs" dxfId="38" priority="58" operator="equal">
      <formula>"null"</formula>
    </cfRule>
  </conditionalFormatting>
  <conditionalFormatting sqref="L139:P161">
    <cfRule type="cellIs" dxfId="37" priority="59" operator="equal">
      <formula>"null"</formula>
    </cfRule>
  </conditionalFormatting>
  <conditionalFormatting sqref="P18">
    <cfRule type="cellIs" dxfId="36" priority="75" operator="equal">
      <formula>"null"</formula>
    </cfRule>
  </conditionalFormatting>
  <conditionalFormatting sqref="P133:P138">
    <cfRule type="duplicateValues" dxfId="35" priority="71"/>
    <cfRule type="duplicateValues" dxfId="34" priority="70"/>
    <cfRule type="duplicateValues" dxfId="33" priority="69"/>
    <cfRule type="duplicateValues" dxfId="32" priority="73"/>
    <cfRule type="duplicateValues" dxfId="31" priority="72"/>
  </conditionalFormatting>
  <conditionalFormatting sqref="X163:X169">
    <cfRule type="duplicateValues" dxfId="30" priority="81"/>
    <cfRule type="duplicateValues" dxfId="29" priority="82"/>
    <cfRule type="containsText" dxfId="28" priority="83" operator="containsText" text="null">
      <formula>NOT(ISERROR(SEARCH("null",X163)))</formula>
    </cfRule>
    <cfRule type="duplicateValues" dxfId="27" priority="84"/>
    <cfRule type="duplicateValues" dxfId="26" priority="78"/>
    <cfRule type="duplicateValues" dxfId="25" priority="79"/>
    <cfRule type="duplicateValues" dxfId="24" priority="80"/>
  </conditionalFormatting>
  <conditionalFormatting sqref="X170:Y174">
    <cfRule type="cellIs" dxfId="23" priority="62" operator="equal">
      <formula>"null"</formula>
    </cfRule>
  </conditionalFormatting>
  <conditionalFormatting sqref="X178:Y178">
    <cfRule type="cellIs" dxfId="22" priority="23" operator="equal">
      <formula>"null"</formula>
    </cfRule>
  </conditionalFormatting>
  <conditionalFormatting sqref="X184:Y184">
    <cfRule type="cellIs" dxfId="21" priority="16" operator="equal">
      <formula>"null"</formula>
    </cfRule>
  </conditionalFormatting>
  <conditionalFormatting sqref="X180:Z180">
    <cfRule type="cellIs" dxfId="20" priority="35" operator="equal">
      <formula>"null"</formula>
    </cfRule>
  </conditionalFormatting>
  <conditionalFormatting sqref="X186:Z190">
    <cfRule type="cellIs" dxfId="19" priority="2" operator="equal">
      <formula>"null"</formula>
    </cfRule>
  </conditionalFormatting>
  <conditionalFormatting sqref="X139:XFD162">
    <cfRule type="cellIs" dxfId="18" priority="60" operator="equal">
      <formula>"null"</formula>
    </cfRule>
  </conditionalFormatting>
  <conditionalFormatting sqref="Y18">
    <cfRule type="cellIs" dxfId="17" priority="74" operator="equal">
      <formula>"null"</formula>
    </cfRule>
  </conditionalFormatting>
  <conditionalFormatting sqref="Z179">
    <cfRule type="cellIs" dxfId="16" priority="14" operator="equal">
      <formula>"null"</formula>
    </cfRule>
  </conditionalFormatting>
  <conditionalFormatting sqref="Z185">
    <cfRule type="cellIs" dxfId="15" priority="15" operator="equal">
      <formula>"null"</formula>
    </cfRule>
  </conditionalFormatting>
  <conditionalFormatting sqref="Z163:AA169">
    <cfRule type="cellIs" dxfId="14" priority="77" operator="equal">
      <formula>"null"</formula>
    </cfRule>
  </conditionalFormatting>
  <conditionalFormatting sqref="AA1:AA31">
    <cfRule type="cellIs" dxfId="13" priority="57" operator="equal">
      <formula>"null"</formula>
    </cfRule>
  </conditionalFormatting>
  <conditionalFormatting sqref="AA175">
    <cfRule type="cellIs" dxfId="12" priority="28" operator="equal">
      <formula>"null"</formula>
    </cfRule>
  </conditionalFormatting>
  <conditionalFormatting sqref="AA178">
    <cfRule type="cellIs" dxfId="11" priority="24" operator="equal">
      <formula>"null"</formula>
    </cfRule>
  </conditionalFormatting>
  <conditionalFormatting sqref="AA184:XFD190">
    <cfRule type="cellIs" dxfId="10" priority="1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S11" sqref="S11"/>
    </sheetView>
  </sheetViews>
  <sheetFormatPr defaultColWidth="11.140625" defaultRowHeight="8.25" x14ac:dyDescent="0.15"/>
  <cols>
    <col min="1" max="1" width="2.5703125" style="10" bestFit="1" customWidth="1"/>
    <col min="2" max="10" width="6" style="11" bestFit="1" customWidth="1"/>
    <col min="11" max="21" width="6" style="9" bestFit="1" customWidth="1"/>
    <col min="22" max="16384" width="11.140625" style="9"/>
  </cols>
  <sheetData>
    <row r="1" spans="1:21" s="4" customFormat="1" ht="16.5" x14ac:dyDescent="0.15">
      <c r="A1" s="2" t="s">
        <v>12</v>
      </c>
      <c r="B1" s="3" t="s">
        <v>13</v>
      </c>
      <c r="C1" s="3" t="s">
        <v>14</v>
      </c>
      <c r="D1" s="3" t="s">
        <v>15</v>
      </c>
      <c r="E1" s="3" t="s">
        <v>16</v>
      </c>
      <c r="F1" s="3" t="s">
        <v>17</v>
      </c>
      <c r="G1" s="3" t="s">
        <v>18</v>
      </c>
      <c r="H1" s="3" t="s">
        <v>19</v>
      </c>
      <c r="I1" s="3" t="s">
        <v>20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5" t="s">
        <v>32</v>
      </c>
    </row>
    <row r="2" spans="1:21" s="4" customFormat="1" ht="10.5" customHeight="1" x14ac:dyDescent="0.15">
      <c r="A2" s="6">
        <v>2</v>
      </c>
      <c r="B2" s="7" t="s">
        <v>10</v>
      </c>
      <c r="C2" s="7" t="s">
        <v>10</v>
      </c>
      <c r="D2" s="7" t="s">
        <v>10</v>
      </c>
      <c r="E2" s="7" t="s">
        <v>10</v>
      </c>
      <c r="F2" s="7" t="s">
        <v>10</v>
      </c>
      <c r="G2" s="7" t="s">
        <v>10</v>
      </c>
      <c r="H2" s="7" t="s">
        <v>10</v>
      </c>
      <c r="I2" s="7" t="s">
        <v>10</v>
      </c>
      <c r="J2" s="7" t="s">
        <v>10</v>
      </c>
      <c r="K2" s="7" t="s">
        <v>10</v>
      </c>
      <c r="L2" s="7" t="s">
        <v>10</v>
      </c>
      <c r="M2" s="7" t="s">
        <v>10</v>
      </c>
      <c r="N2" s="7" t="s">
        <v>10</v>
      </c>
      <c r="O2" s="7" t="s">
        <v>10</v>
      </c>
      <c r="P2" s="7" t="s">
        <v>10</v>
      </c>
      <c r="Q2" s="7" t="s">
        <v>10</v>
      </c>
      <c r="R2" s="7" t="s">
        <v>10</v>
      </c>
      <c r="S2" s="7" t="s">
        <v>10</v>
      </c>
      <c r="T2" s="7" t="s">
        <v>10</v>
      </c>
      <c r="U2" s="7" t="s">
        <v>10</v>
      </c>
    </row>
    <row r="3" spans="1:21" ht="10.5" customHeight="1" x14ac:dyDescent="0.15">
      <c r="A3" s="6">
        <v>3</v>
      </c>
      <c r="B3" s="7" t="s">
        <v>10</v>
      </c>
      <c r="C3" s="7" t="s">
        <v>10</v>
      </c>
      <c r="D3" s="7" t="s">
        <v>10</v>
      </c>
      <c r="E3" s="7" t="s">
        <v>10</v>
      </c>
      <c r="F3" s="7" t="s">
        <v>10</v>
      </c>
      <c r="G3" s="7" t="s">
        <v>10</v>
      </c>
      <c r="H3" s="7" t="s">
        <v>10</v>
      </c>
      <c r="I3" s="7" t="s">
        <v>10</v>
      </c>
      <c r="J3" s="7" t="s">
        <v>10</v>
      </c>
      <c r="K3" s="7" t="s">
        <v>10</v>
      </c>
      <c r="L3" s="7" t="s">
        <v>10</v>
      </c>
      <c r="M3" s="7" t="s">
        <v>10</v>
      </c>
      <c r="N3" s="7" t="s">
        <v>10</v>
      </c>
      <c r="O3" s="7" t="s">
        <v>10</v>
      </c>
      <c r="P3" s="7" t="s">
        <v>10</v>
      </c>
      <c r="Q3" s="7" t="s">
        <v>10</v>
      </c>
      <c r="R3" s="7" t="s">
        <v>10</v>
      </c>
      <c r="S3" s="7" t="s">
        <v>10</v>
      </c>
      <c r="T3" s="7" t="s">
        <v>10</v>
      </c>
      <c r="U3" s="8" t="s">
        <v>10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99E44-CC41-4C47-93B0-FF411236635D}">
  <sheetPr codeName="Planilha4"/>
  <dimension ref="A1:E4"/>
  <sheetViews>
    <sheetView zoomScale="250" zoomScaleNormal="250" workbookViewId="0">
      <pane ySplit="1" topLeftCell="A2" activePane="bottomLeft" state="frozen"/>
      <selection pane="bottomLeft" activeCell="D6" sqref="D6"/>
    </sheetView>
  </sheetViews>
  <sheetFormatPr defaultRowHeight="8.4499999999999993" customHeight="1" x14ac:dyDescent="0.25"/>
  <cols>
    <col min="1" max="1" width="2.7109375" bestFit="1" customWidth="1"/>
    <col min="2" max="2" width="8.140625" customWidth="1"/>
    <col min="3" max="3" width="10.7109375" customWidth="1"/>
    <col min="4" max="4" width="8.28515625" customWidth="1"/>
    <col min="5" max="5" width="9.85546875" customWidth="1"/>
  </cols>
  <sheetData>
    <row r="1" spans="1:5" ht="18" customHeight="1" x14ac:dyDescent="0.25">
      <c r="A1" s="12">
        <v>1</v>
      </c>
      <c r="B1" s="13" t="s">
        <v>74</v>
      </c>
      <c r="C1" s="13" t="s">
        <v>79</v>
      </c>
      <c r="D1" s="13" t="s">
        <v>79</v>
      </c>
      <c r="E1" s="13" t="s">
        <v>79</v>
      </c>
    </row>
    <row r="2" spans="1:5" ht="8.4499999999999993" customHeight="1" x14ac:dyDescent="0.25">
      <c r="A2" s="24">
        <v>2</v>
      </c>
      <c r="B2" s="1" t="s">
        <v>10</v>
      </c>
      <c r="C2" s="1" t="s">
        <v>10</v>
      </c>
      <c r="D2" s="1" t="s">
        <v>10</v>
      </c>
      <c r="E2" s="1" t="s">
        <v>10</v>
      </c>
    </row>
    <row r="3" spans="1:5" ht="8.4499999999999993" customHeight="1" x14ac:dyDescent="0.25">
      <c r="A3" s="24">
        <v>3</v>
      </c>
      <c r="B3" s="1" t="s">
        <v>10</v>
      </c>
      <c r="C3" s="1" t="s">
        <v>10</v>
      </c>
      <c r="D3" s="1" t="s">
        <v>10</v>
      </c>
      <c r="E3" s="1" t="s">
        <v>10</v>
      </c>
    </row>
    <row r="4" spans="1:5" ht="8.4499999999999993" customHeight="1" x14ac:dyDescent="0.25">
      <c r="A4" s="24">
        <v>4</v>
      </c>
      <c r="B4" s="1" t="s">
        <v>10</v>
      </c>
      <c r="C4" s="1" t="s">
        <v>10</v>
      </c>
      <c r="D4" s="1" t="s">
        <v>10</v>
      </c>
      <c r="E4" s="1" t="s">
        <v>10</v>
      </c>
    </row>
  </sheetData>
  <conditionalFormatting sqref="A1">
    <cfRule type="cellIs" dxfId="9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4F343-F8A9-4565-8E75-460BD2B52D7E}">
  <sheetPr codeName="Planilha5"/>
  <dimension ref="A1:BE64"/>
  <sheetViews>
    <sheetView topLeftCell="AY1" zoomScale="220" zoomScaleNormal="220" workbookViewId="0">
      <pane ySplit="1" topLeftCell="A52" activePane="bottomLeft" state="frozen"/>
      <selection pane="bottomLeft" activeCell="AY62" sqref="A62:XFD64"/>
    </sheetView>
  </sheetViews>
  <sheetFormatPr defaultColWidth="9.28515625" defaultRowHeight="7.35" customHeight="1" x14ac:dyDescent="0.25"/>
  <cols>
    <col min="1" max="1" width="3" style="57" customWidth="1"/>
    <col min="2" max="2" width="13.42578125" style="38" customWidth="1"/>
    <col min="3" max="3" width="16.42578125" style="36" customWidth="1"/>
    <col min="4" max="4" width="6.85546875" style="36" customWidth="1"/>
    <col min="5" max="5" width="8.42578125" style="36" customWidth="1"/>
    <col min="6" max="6" width="5.5703125" style="36" customWidth="1"/>
    <col min="7" max="7" width="7.28515625" style="36" customWidth="1"/>
    <col min="8" max="8" width="5.5703125" style="36" customWidth="1"/>
    <col min="9" max="9" width="4.85546875" style="36" customWidth="1"/>
    <col min="10" max="10" width="5.7109375" style="36" customWidth="1"/>
    <col min="11" max="11" width="5.140625" style="36" customWidth="1"/>
    <col min="12" max="12" width="5.5703125" style="36" customWidth="1"/>
    <col min="13" max="13" width="5.28515625" style="36" customWidth="1"/>
    <col min="14" max="14" width="5.42578125" style="36" customWidth="1"/>
    <col min="15" max="15" width="4" style="36" customWidth="1"/>
    <col min="16" max="16" width="5.28515625" style="36" customWidth="1"/>
    <col min="17" max="17" width="4.140625" style="36" customWidth="1"/>
    <col min="18" max="18" width="5.28515625" style="36" customWidth="1"/>
    <col min="19" max="19" width="4.28515625" style="36" customWidth="1"/>
    <col min="20" max="20" width="12" style="36" customWidth="1"/>
    <col min="21" max="21" width="7.28515625" style="36" customWidth="1"/>
    <col min="22" max="22" width="12.42578125" style="36" customWidth="1"/>
    <col min="23" max="23" width="5.140625" style="36" customWidth="1"/>
    <col min="24" max="24" width="11.85546875" style="36" customWidth="1"/>
    <col min="25" max="25" width="5.140625" style="36" customWidth="1"/>
    <col min="26" max="26" width="12.140625" style="36" customWidth="1"/>
    <col min="27" max="27" width="5.140625" style="36" customWidth="1"/>
    <col min="28" max="28" width="4.28515625" style="36" bestFit="1" customWidth="1"/>
    <col min="29" max="29" width="33.85546875" style="36" customWidth="1"/>
    <col min="30" max="30" width="3.85546875" style="36" customWidth="1"/>
    <col min="31" max="31" width="5.140625" style="36" bestFit="1" customWidth="1"/>
    <col min="32" max="32" width="9.5703125" style="36" bestFit="1" customWidth="1"/>
    <col min="33" max="33" width="4.140625" style="36" customWidth="1"/>
    <col min="34" max="34" width="4.28515625" style="36" customWidth="1"/>
    <col min="35" max="35" width="5.140625" style="36" customWidth="1"/>
    <col min="36" max="36" width="8.7109375" style="36" customWidth="1"/>
    <col min="37" max="37" width="10.5703125" style="36" customWidth="1"/>
    <col min="38" max="38" width="9.7109375" style="36" customWidth="1"/>
    <col min="39" max="39" width="8" style="36" bestFit="1" customWidth="1"/>
    <col min="40" max="40" width="8.5703125" style="36" customWidth="1"/>
    <col min="41" max="41" width="16.85546875" style="36" customWidth="1"/>
    <col min="42" max="42" width="4.5703125" style="36" customWidth="1"/>
    <col min="43" max="43" width="53.140625" style="36" customWidth="1"/>
    <col min="44" max="44" width="9.140625" style="36" bestFit="1" customWidth="1"/>
    <col min="45" max="45" width="16.42578125" style="36" bestFit="1" customWidth="1"/>
    <col min="46" max="46" width="3.140625" style="36" customWidth="1"/>
    <col min="47" max="47" width="32.85546875" style="36" bestFit="1" customWidth="1"/>
    <col min="48" max="48" width="6.140625" style="36" bestFit="1" customWidth="1"/>
    <col min="49" max="49" width="10.42578125" style="36" bestFit="1" customWidth="1"/>
    <col min="50" max="50" width="8.42578125" style="36" bestFit="1" customWidth="1"/>
    <col min="51" max="51" width="24.28515625" style="36" customWidth="1"/>
    <col min="52" max="52" width="5.7109375" style="36" bestFit="1" customWidth="1"/>
    <col min="53" max="53" width="27.5703125" style="36" customWidth="1"/>
    <col min="54" max="54" width="5.7109375" style="36" bestFit="1" customWidth="1"/>
    <col min="55" max="55" width="13.42578125" style="36" bestFit="1" customWidth="1"/>
    <col min="56" max="56" width="7.28515625" style="36" bestFit="1" customWidth="1"/>
    <col min="57" max="57" width="13.42578125" style="36" customWidth="1"/>
    <col min="58" max="16384" width="9.28515625" style="36"/>
  </cols>
  <sheetData>
    <row r="1" spans="1:57" ht="20.65" customHeight="1" x14ac:dyDescent="0.25">
      <c r="A1" s="55" t="s">
        <v>11</v>
      </c>
      <c r="B1" s="21" t="s">
        <v>815</v>
      </c>
      <c r="C1" s="21" t="s">
        <v>74</v>
      </c>
      <c r="D1" s="21" t="s">
        <v>75</v>
      </c>
      <c r="E1" s="21" t="s">
        <v>78</v>
      </c>
      <c r="F1" s="21" t="s">
        <v>75</v>
      </c>
      <c r="G1" s="21" t="s">
        <v>78</v>
      </c>
      <c r="H1" s="21" t="s">
        <v>75</v>
      </c>
      <c r="I1" s="21" t="s">
        <v>78</v>
      </c>
      <c r="J1" s="21" t="s">
        <v>75</v>
      </c>
      <c r="K1" s="21" t="s">
        <v>78</v>
      </c>
      <c r="L1" s="21" t="s">
        <v>75</v>
      </c>
      <c r="M1" s="21" t="s">
        <v>78</v>
      </c>
      <c r="N1" s="21" t="s">
        <v>75</v>
      </c>
      <c r="O1" s="21" t="s">
        <v>78</v>
      </c>
      <c r="P1" s="21" t="s">
        <v>75</v>
      </c>
      <c r="Q1" s="21" t="s">
        <v>78</v>
      </c>
      <c r="R1" s="21" t="s">
        <v>75</v>
      </c>
      <c r="S1" s="21" t="s">
        <v>78</v>
      </c>
      <c r="T1" s="21" t="s">
        <v>75</v>
      </c>
      <c r="U1" s="21" t="s">
        <v>78</v>
      </c>
      <c r="V1" s="21" t="s">
        <v>75</v>
      </c>
      <c r="W1" s="21" t="s">
        <v>78</v>
      </c>
      <c r="X1" s="21" t="s">
        <v>75</v>
      </c>
      <c r="Y1" s="21" t="s">
        <v>78</v>
      </c>
      <c r="Z1" s="21" t="s">
        <v>75</v>
      </c>
      <c r="AA1" s="21" t="s">
        <v>78</v>
      </c>
      <c r="AB1" s="23" t="s">
        <v>75</v>
      </c>
      <c r="AC1" s="21" t="s">
        <v>78</v>
      </c>
      <c r="AD1" s="21" t="s">
        <v>75</v>
      </c>
      <c r="AE1" s="21" t="s">
        <v>78</v>
      </c>
      <c r="AF1" s="21" t="s">
        <v>75</v>
      </c>
      <c r="AG1" s="21" t="s">
        <v>78</v>
      </c>
      <c r="AH1" s="21" t="s">
        <v>75</v>
      </c>
      <c r="AI1" s="21" t="s">
        <v>78</v>
      </c>
      <c r="AJ1" s="21" t="s">
        <v>75</v>
      </c>
      <c r="AK1" s="21" t="s">
        <v>78</v>
      </c>
      <c r="AL1" s="21" t="s">
        <v>75</v>
      </c>
      <c r="AM1" s="21" t="s">
        <v>78</v>
      </c>
      <c r="AN1" s="21" t="s">
        <v>75</v>
      </c>
      <c r="AO1" s="21" t="s">
        <v>78</v>
      </c>
      <c r="AP1" s="21" t="s">
        <v>75</v>
      </c>
      <c r="AQ1" s="21" t="s">
        <v>78</v>
      </c>
      <c r="AR1" s="21" t="s">
        <v>75</v>
      </c>
      <c r="AS1" s="21" t="s">
        <v>78</v>
      </c>
      <c r="AT1" s="21" t="s">
        <v>75</v>
      </c>
      <c r="AU1" s="21" t="s">
        <v>78</v>
      </c>
      <c r="AV1" s="21" t="s">
        <v>75</v>
      </c>
      <c r="AW1" s="21" t="s">
        <v>78</v>
      </c>
      <c r="AX1" s="21" t="s">
        <v>75</v>
      </c>
      <c r="AY1" s="21" t="s">
        <v>78</v>
      </c>
      <c r="AZ1" s="21" t="s">
        <v>75</v>
      </c>
      <c r="BA1" s="21" t="s">
        <v>78</v>
      </c>
      <c r="BB1" s="21" t="s">
        <v>75</v>
      </c>
      <c r="BC1" s="21" t="s">
        <v>78</v>
      </c>
      <c r="BD1" s="21" t="s">
        <v>75</v>
      </c>
      <c r="BE1" s="21" t="s">
        <v>78</v>
      </c>
    </row>
    <row r="2" spans="1:57" ht="7.35" customHeight="1" x14ac:dyDescent="0.25">
      <c r="A2" s="56">
        <v>2</v>
      </c>
      <c r="B2" s="37" t="s">
        <v>703</v>
      </c>
      <c r="C2" s="33" t="s">
        <v>295</v>
      </c>
      <c r="D2" s="34" t="s">
        <v>10</v>
      </c>
      <c r="E2" s="35" t="s">
        <v>10</v>
      </c>
      <c r="F2" s="34" t="s">
        <v>10</v>
      </c>
      <c r="G2" s="35" t="s">
        <v>10</v>
      </c>
      <c r="H2" s="34" t="s">
        <v>10</v>
      </c>
      <c r="I2" s="35" t="s">
        <v>10</v>
      </c>
      <c r="J2" s="34" t="s">
        <v>10</v>
      </c>
      <c r="K2" s="35" t="s">
        <v>10</v>
      </c>
      <c r="L2" s="34" t="s">
        <v>10</v>
      </c>
      <c r="M2" s="35" t="s">
        <v>10</v>
      </c>
      <c r="N2" s="34" t="s">
        <v>10</v>
      </c>
      <c r="O2" s="35" t="s">
        <v>10</v>
      </c>
      <c r="P2" s="34" t="s">
        <v>10</v>
      </c>
      <c r="Q2" s="35" t="s">
        <v>10</v>
      </c>
      <c r="R2" s="34" t="s">
        <v>10</v>
      </c>
      <c r="S2" s="35" t="s">
        <v>10</v>
      </c>
      <c r="T2" s="34" t="s">
        <v>10</v>
      </c>
      <c r="U2" s="35" t="s">
        <v>10</v>
      </c>
      <c r="V2" s="34" t="s">
        <v>10</v>
      </c>
      <c r="W2" s="35" t="s">
        <v>10</v>
      </c>
      <c r="X2" s="34" t="s">
        <v>10</v>
      </c>
      <c r="Y2" s="35" t="s">
        <v>10</v>
      </c>
      <c r="Z2" s="34" t="s">
        <v>10</v>
      </c>
      <c r="AA2" s="35" t="s">
        <v>10</v>
      </c>
      <c r="AB2" s="27" t="s">
        <v>77</v>
      </c>
      <c r="AC2" s="22" t="s">
        <v>709</v>
      </c>
      <c r="AD2" s="27" t="s">
        <v>93</v>
      </c>
      <c r="AE2" s="22" t="s">
        <v>94</v>
      </c>
      <c r="AF2" s="27" t="s">
        <v>10</v>
      </c>
      <c r="AG2" s="22" t="s">
        <v>10</v>
      </c>
      <c r="AH2" s="27" t="s">
        <v>84</v>
      </c>
      <c r="AI2" s="22" t="s">
        <v>95</v>
      </c>
      <c r="AJ2" s="27" t="s">
        <v>10</v>
      </c>
      <c r="AK2" s="22" t="s">
        <v>10</v>
      </c>
      <c r="AL2" s="27" t="s">
        <v>10</v>
      </c>
      <c r="AM2" s="22" t="s">
        <v>10</v>
      </c>
      <c r="AN2" s="27" t="s">
        <v>10</v>
      </c>
      <c r="AO2" s="22" t="s">
        <v>10</v>
      </c>
      <c r="AP2" s="27" t="s">
        <v>76</v>
      </c>
      <c r="AQ2" s="22" t="s">
        <v>709</v>
      </c>
      <c r="AR2" s="27" t="s">
        <v>673</v>
      </c>
      <c r="AS2" s="22" t="s">
        <v>774</v>
      </c>
      <c r="AT2" s="27" t="s">
        <v>666</v>
      </c>
      <c r="AU2" s="22" t="s">
        <v>773</v>
      </c>
      <c r="AV2" s="27" t="s">
        <v>10</v>
      </c>
      <c r="AW2" s="22" t="s">
        <v>10</v>
      </c>
      <c r="AX2" s="27" t="s">
        <v>10</v>
      </c>
      <c r="AY2" s="22" t="s">
        <v>10</v>
      </c>
      <c r="AZ2" s="27" t="s">
        <v>10</v>
      </c>
      <c r="BA2" s="22" t="s">
        <v>10</v>
      </c>
      <c r="BB2" s="27" t="s">
        <v>10</v>
      </c>
      <c r="BC2" s="22" t="s">
        <v>10</v>
      </c>
      <c r="BD2" s="27" t="s">
        <v>10</v>
      </c>
      <c r="BE2" s="22" t="s">
        <v>10</v>
      </c>
    </row>
    <row r="3" spans="1:57" ht="7.35" customHeight="1" x14ac:dyDescent="0.25">
      <c r="A3" s="56">
        <v>3</v>
      </c>
      <c r="B3" s="37" t="s">
        <v>696</v>
      </c>
      <c r="C3" s="33" t="s">
        <v>295</v>
      </c>
      <c r="D3" s="34" t="s">
        <v>10</v>
      </c>
      <c r="E3" s="35" t="s">
        <v>10</v>
      </c>
      <c r="F3" s="34" t="s">
        <v>81</v>
      </c>
      <c r="G3" s="35" t="s">
        <v>703</v>
      </c>
      <c r="H3" s="34" t="s">
        <v>10</v>
      </c>
      <c r="I3" s="35" t="s">
        <v>10</v>
      </c>
      <c r="J3" s="34" t="s">
        <v>10</v>
      </c>
      <c r="K3" s="35" t="s">
        <v>10</v>
      </c>
      <c r="L3" s="34" t="s">
        <v>10</v>
      </c>
      <c r="M3" s="35" t="s">
        <v>10</v>
      </c>
      <c r="N3" s="34" t="s">
        <v>10</v>
      </c>
      <c r="O3" s="35" t="s">
        <v>10</v>
      </c>
      <c r="P3" s="34" t="s">
        <v>10</v>
      </c>
      <c r="Q3" s="35" t="s">
        <v>10</v>
      </c>
      <c r="R3" s="34" t="s">
        <v>10</v>
      </c>
      <c r="S3" s="35" t="s">
        <v>10</v>
      </c>
      <c r="T3" s="34" t="s">
        <v>10</v>
      </c>
      <c r="U3" s="35" t="s">
        <v>10</v>
      </c>
      <c r="V3" s="34" t="s">
        <v>10</v>
      </c>
      <c r="W3" s="35" t="s">
        <v>10</v>
      </c>
      <c r="X3" s="34" t="s">
        <v>10</v>
      </c>
      <c r="Y3" s="35" t="s">
        <v>10</v>
      </c>
      <c r="Z3" s="34" t="s">
        <v>10</v>
      </c>
      <c r="AA3" s="35" t="s">
        <v>10</v>
      </c>
      <c r="AB3" s="27" t="s">
        <v>77</v>
      </c>
      <c r="AC3" s="22" t="s">
        <v>708</v>
      </c>
      <c r="AD3" s="27" t="s">
        <v>93</v>
      </c>
      <c r="AE3" s="22" t="s">
        <v>94</v>
      </c>
      <c r="AF3" s="27" t="s">
        <v>10</v>
      </c>
      <c r="AG3" s="22" t="s">
        <v>10</v>
      </c>
      <c r="AH3" s="27" t="s">
        <v>10</v>
      </c>
      <c r="AI3" s="22" t="s">
        <v>10</v>
      </c>
      <c r="AJ3" s="27" t="s">
        <v>10</v>
      </c>
      <c r="AK3" s="22" t="s">
        <v>10</v>
      </c>
      <c r="AL3" s="27" t="s">
        <v>10</v>
      </c>
      <c r="AM3" s="22" t="s">
        <v>10</v>
      </c>
      <c r="AN3" s="27" t="s">
        <v>10</v>
      </c>
      <c r="AO3" s="22" t="s">
        <v>10</v>
      </c>
      <c r="AP3" s="27" t="s">
        <v>76</v>
      </c>
      <c r="AQ3" s="22" t="s">
        <v>708</v>
      </c>
      <c r="AR3" s="27" t="s">
        <v>673</v>
      </c>
      <c r="AS3" s="22" t="s">
        <v>774</v>
      </c>
      <c r="AT3" s="27" t="s">
        <v>666</v>
      </c>
      <c r="AU3" s="22" t="s">
        <v>773</v>
      </c>
      <c r="AV3" s="27" t="s">
        <v>10</v>
      </c>
      <c r="AW3" s="22" t="s">
        <v>10</v>
      </c>
      <c r="AX3" s="27" t="s">
        <v>10</v>
      </c>
      <c r="AY3" s="22" t="s">
        <v>10</v>
      </c>
      <c r="AZ3" s="27" t="s">
        <v>10</v>
      </c>
      <c r="BA3" s="22" t="s">
        <v>10</v>
      </c>
      <c r="BB3" s="27" t="s">
        <v>10</v>
      </c>
      <c r="BC3" s="22" t="s">
        <v>10</v>
      </c>
      <c r="BD3" s="27" t="s">
        <v>10</v>
      </c>
      <c r="BE3" s="22" t="s">
        <v>10</v>
      </c>
    </row>
    <row r="4" spans="1:57" ht="7.35" customHeight="1" x14ac:dyDescent="0.25">
      <c r="A4" s="56">
        <v>4</v>
      </c>
      <c r="B4" s="37" t="s">
        <v>697</v>
      </c>
      <c r="C4" s="33" t="s">
        <v>295</v>
      </c>
      <c r="D4" s="34" t="s">
        <v>10</v>
      </c>
      <c r="E4" s="35" t="s">
        <v>10</v>
      </c>
      <c r="F4" s="34" t="s">
        <v>81</v>
      </c>
      <c r="G4" s="35" t="s">
        <v>696</v>
      </c>
      <c r="H4" s="34" t="s">
        <v>10</v>
      </c>
      <c r="I4" s="35" t="s">
        <v>10</v>
      </c>
      <c r="J4" s="34" t="s">
        <v>10</v>
      </c>
      <c r="K4" s="35" t="s">
        <v>10</v>
      </c>
      <c r="L4" s="34" t="s">
        <v>10</v>
      </c>
      <c r="M4" s="35" t="s">
        <v>10</v>
      </c>
      <c r="N4" s="34" t="s">
        <v>10</v>
      </c>
      <c r="O4" s="35" t="s">
        <v>10</v>
      </c>
      <c r="P4" s="34" t="s">
        <v>10</v>
      </c>
      <c r="Q4" s="35" t="s">
        <v>10</v>
      </c>
      <c r="R4" s="34" t="s">
        <v>10</v>
      </c>
      <c r="S4" s="35" t="s">
        <v>10</v>
      </c>
      <c r="T4" s="34" t="s">
        <v>10</v>
      </c>
      <c r="U4" s="35" t="s">
        <v>10</v>
      </c>
      <c r="V4" s="34" t="s">
        <v>10</v>
      </c>
      <c r="W4" s="35" t="s">
        <v>10</v>
      </c>
      <c r="X4" s="34" t="s">
        <v>10</v>
      </c>
      <c r="Y4" s="35" t="s">
        <v>10</v>
      </c>
      <c r="Z4" s="34" t="s">
        <v>10</v>
      </c>
      <c r="AA4" s="35" t="s">
        <v>10</v>
      </c>
      <c r="AB4" s="27" t="s">
        <v>77</v>
      </c>
      <c r="AC4" s="22" t="s">
        <v>707</v>
      </c>
      <c r="AD4" s="27" t="s">
        <v>93</v>
      </c>
      <c r="AE4" s="22" t="s">
        <v>94</v>
      </c>
      <c r="AF4" s="27" t="s">
        <v>10</v>
      </c>
      <c r="AG4" s="22" t="s">
        <v>10</v>
      </c>
      <c r="AH4" s="27" t="s">
        <v>10</v>
      </c>
      <c r="AI4" s="22" t="s">
        <v>10</v>
      </c>
      <c r="AJ4" s="27" t="s">
        <v>10</v>
      </c>
      <c r="AK4" s="22" t="s">
        <v>10</v>
      </c>
      <c r="AL4" s="27" t="s">
        <v>10</v>
      </c>
      <c r="AM4" s="22" t="s">
        <v>10</v>
      </c>
      <c r="AN4" s="27" t="s">
        <v>10</v>
      </c>
      <c r="AO4" s="22" t="s">
        <v>10</v>
      </c>
      <c r="AP4" s="27" t="s">
        <v>76</v>
      </c>
      <c r="AQ4" s="22" t="s">
        <v>707</v>
      </c>
      <c r="AR4" s="27" t="s">
        <v>673</v>
      </c>
      <c r="AS4" s="22" t="s">
        <v>774</v>
      </c>
      <c r="AT4" s="27" t="s">
        <v>666</v>
      </c>
      <c r="AU4" s="22" t="s">
        <v>773</v>
      </c>
      <c r="AV4" s="27" t="s">
        <v>10</v>
      </c>
      <c r="AW4" s="22" t="s">
        <v>10</v>
      </c>
      <c r="AX4" s="27" t="s">
        <v>277</v>
      </c>
      <c r="AY4" s="22" t="s">
        <v>710</v>
      </c>
      <c r="AZ4" s="27" t="s">
        <v>443</v>
      </c>
      <c r="BA4" s="22" t="s">
        <v>711</v>
      </c>
      <c r="BB4" s="27" t="s">
        <v>278</v>
      </c>
      <c r="BC4" s="22" t="s">
        <v>670</v>
      </c>
      <c r="BD4" s="27" t="s">
        <v>683</v>
      </c>
      <c r="BE4" s="22" t="s">
        <v>842</v>
      </c>
    </row>
    <row r="5" spans="1:57" ht="7.35" customHeight="1" x14ac:dyDescent="0.25">
      <c r="A5" s="56">
        <v>5</v>
      </c>
      <c r="B5" s="37" t="s">
        <v>698</v>
      </c>
      <c r="C5" s="33" t="s">
        <v>295</v>
      </c>
      <c r="D5" s="34" t="s">
        <v>10</v>
      </c>
      <c r="E5" s="35" t="s">
        <v>10</v>
      </c>
      <c r="F5" s="34" t="s">
        <v>81</v>
      </c>
      <c r="G5" s="35" t="s">
        <v>696</v>
      </c>
      <c r="H5" s="34" t="s">
        <v>10</v>
      </c>
      <c r="I5" s="35" t="s">
        <v>10</v>
      </c>
      <c r="J5" s="34" t="s">
        <v>10</v>
      </c>
      <c r="K5" s="35" t="s">
        <v>10</v>
      </c>
      <c r="L5" s="34" t="s">
        <v>10</v>
      </c>
      <c r="M5" s="35" t="s">
        <v>10</v>
      </c>
      <c r="N5" s="34" t="s">
        <v>10</v>
      </c>
      <c r="O5" s="35" t="s">
        <v>10</v>
      </c>
      <c r="P5" s="34" t="s">
        <v>10</v>
      </c>
      <c r="Q5" s="35" t="s">
        <v>10</v>
      </c>
      <c r="R5" s="34" t="s">
        <v>10</v>
      </c>
      <c r="S5" s="35" t="s">
        <v>10</v>
      </c>
      <c r="T5" s="34" t="s">
        <v>10</v>
      </c>
      <c r="U5" s="35" t="s">
        <v>10</v>
      </c>
      <c r="V5" s="34" t="s">
        <v>10</v>
      </c>
      <c r="W5" s="35" t="s">
        <v>10</v>
      </c>
      <c r="X5" s="34" t="s">
        <v>10</v>
      </c>
      <c r="Y5" s="35" t="s">
        <v>10</v>
      </c>
      <c r="Z5" s="34" t="s">
        <v>10</v>
      </c>
      <c r="AA5" s="35" t="s">
        <v>10</v>
      </c>
      <c r="AB5" s="27" t="s">
        <v>77</v>
      </c>
      <c r="AC5" s="22" t="s">
        <v>706</v>
      </c>
      <c r="AD5" s="27" t="s">
        <v>93</v>
      </c>
      <c r="AE5" s="22" t="s">
        <v>94</v>
      </c>
      <c r="AF5" s="27" t="s">
        <v>10</v>
      </c>
      <c r="AG5" s="22" t="s">
        <v>10</v>
      </c>
      <c r="AH5" s="27" t="s">
        <v>10</v>
      </c>
      <c r="AI5" s="22" t="s">
        <v>10</v>
      </c>
      <c r="AJ5" s="27" t="s">
        <v>10</v>
      </c>
      <c r="AK5" s="22" t="s">
        <v>10</v>
      </c>
      <c r="AL5" s="27" t="s">
        <v>10</v>
      </c>
      <c r="AM5" s="22" t="s">
        <v>10</v>
      </c>
      <c r="AN5" s="27" t="s">
        <v>10</v>
      </c>
      <c r="AO5" s="22" t="s">
        <v>10</v>
      </c>
      <c r="AP5" s="27" t="s">
        <v>76</v>
      </c>
      <c r="AQ5" s="22" t="s">
        <v>706</v>
      </c>
      <c r="AR5" s="27" t="s">
        <v>673</v>
      </c>
      <c r="AS5" s="22" t="s">
        <v>774</v>
      </c>
      <c r="AT5" s="27" t="s">
        <v>666</v>
      </c>
      <c r="AU5" s="22" t="s">
        <v>773</v>
      </c>
      <c r="AV5" s="27" t="s">
        <v>10</v>
      </c>
      <c r="AW5" s="22" t="s">
        <v>10</v>
      </c>
      <c r="AX5" s="27" t="s">
        <v>277</v>
      </c>
      <c r="AY5" s="22" t="s">
        <v>668</v>
      </c>
      <c r="AZ5" s="27" t="s">
        <v>443</v>
      </c>
      <c r="BA5" s="22" t="s">
        <v>402</v>
      </c>
      <c r="BB5" s="27" t="s">
        <v>278</v>
      </c>
      <c r="BC5" s="22" t="s">
        <v>669</v>
      </c>
      <c r="BD5" s="27" t="s">
        <v>683</v>
      </c>
      <c r="BE5" s="22" t="s">
        <v>842</v>
      </c>
    </row>
    <row r="6" spans="1:57" ht="7.35" customHeight="1" x14ac:dyDescent="0.25">
      <c r="A6" s="56">
        <v>6</v>
      </c>
      <c r="B6" s="37" t="s">
        <v>816</v>
      </c>
      <c r="C6" s="33" t="s">
        <v>429</v>
      </c>
      <c r="D6" s="34" t="s">
        <v>10</v>
      </c>
      <c r="E6" s="35" t="s">
        <v>10</v>
      </c>
      <c r="F6" s="34" t="s">
        <v>10</v>
      </c>
      <c r="G6" s="35" t="s">
        <v>10</v>
      </c>
      <c r="H6" s="34" t="s">
        <v>10</v>
      </c>
      <c r="I6" s="35" t="s">
        <v>10</v>
      </c>
      <c r="J6" s="34" t="s">
        <v>10</v>
      </c>
      <c r="K6" s="35" t="s">
        <v>10</v>
      </c>
      <c r="L6" s="34" t="s">
        <v>10</v>
      </c>
      <c r="M6" s="35" t="s">
        <v>10</v>
      </c>
      <c r="N6" s="34" t="s">
        <v>10</v>
      </c>
      <c r="O6" s="35" t="s">
        <v>10</v>
      </c>
      <c r="P6" s="34" t="s">
        <v>10</v>
      </c>
      <c r="Q6" s="35" t="s">
        <v>10</v>
      </c>
      <c r="R6" s="34" t="s">
        <v>10</v>
      </c>
      <c r="S6" s="35" t="s">
        <v>10</v>
      </c>
      <c r="T6" s="34" t="s">
        <v>10</v>
      </c>
      <c r="U6" s="35" t="s">
        <v>10</v>
      </c>
      <c r="V6" s="34" t="s">
        <v>10</v>
      </c>
      <c r="W6" s="35" t="s">
        <v>10</v>
      </c>
      <c r="X6" s="34" t="s">
        <v>10</v>
      </c>
      <c r="Y6" s="35" t="s">
        <v>10</v>
      </c>
      <c r="Z6" s="34" t="s">
        <v>10</v>
      </c>
      <c r="AA6" s="35" t="s">
        <v>10</v>
      </c>
      <c r="AB6" s="27" t="s">
        <v>10</v>
      </c>
      <c r="AC6" s="22" t="s">
        <v>10</v>
      </c>
      <c r="AD6" s="27" t="s">
        <v>10</v>
      </c>
      <c r="AE6" s="22" t="s">
        <v>10</v>
      </c>
      <c r="AF6" s="27" t="s">
        <v>10</v>
      </c>
      <c r="AG6" s="22" t="s">
        <v>10</v>
      </c>
      <c r="AH6" s="27" t="s">
        <v>10</v>
      </c>
      <c r="AI6" s="22" t="s">
        <v>10</v>
      </c>
      <c r="AJ6" s="27" t="s">
        <v>10</v>
      </c>
      <c r="AK6" s="22" t="s">
        <v>10</v>
      </c>
      <c r="AL6" s="27" t="s">
        <v>10</v>
      </c>
      <c r="AM6" s="22" t="s">
        <v>10</v>
      </c>
      <c r="AN6" s="27" t="s">
        <v>10</v>
      </c>
      <c r="AO6" s="22" t="s">
        <v>10</v>
      </c>
      <c r="AP6" s="27" t="s">
        <v>76</v>
      </c>
      <c r="AQ6" s="22" t="s">
        <v>798</v>
      </c>
      <c r="AR6" s="27" t="s">
        <v>10</v>
      </c>
      <c r="AS6" s="22" t="s">
        <v>10</v>
      </c>
      <c r="AT6" s="27" t="s">
        <v>10</v>
      </c>
      <c r="AU6" s="22" t="s">
        <v>10</v>
      </c>
      <c r="AV6" s="27" t="s">
        <v>10</v>
      </c>
      <c r="AW6" s="22" t="s">
        <v>10</v>
      </c>
      <c r="AX6" s="27" t="s">
        <v>10</v>
      </c>
      <c r="AY6" s="22" t="s">
        <v>10</v>
      </c>
      <c r="AZ6" s="27" t="s">
        <v>10</v>
      </c>
      <c r="BA6" s="22" t="s">
        <v>10</v>
      </c>
      <c r="BB6" s="27" t="s">
        <v>10</v>
      </c>
      <c r="BC6" s="22" t="s">
        <v>10</v>
      </c>
      <c r="BD6" s="27" t="s">
        <v>10</v>
      </c>
      <c r="BE6" s="22" t="s">
        <v>10</v>
      </c>
    </row>
    <row r="7" spans="1:57" ht="7.35" customHeight="1" x14ac:dyDescent="0.25">
      <c r="A7" s="56">
        <v>7</v>
      </c>
      <c r="B7" s="37" t="s">
        <v>729</v>
      </c>
      <c r="C7" s="33" t="s">
        <v>629</v>
      </c>
      <c r="D7" s="34" t="s">
        <v>10</v>
      </c>
      <c r="E7" s="35" t="s">
        <v>10</v>
      </c>
      <c r="F7" s="34" t="s">
        <v>10</v>
      </c>
      <c r="G7" s="35" t="s">
        <v>10</v>
      </c>
      <c r="H7" s="34" t="s">
        <v>10</v>
      </c>
      <c r="I7" s="35" t="s">
        <v>10</v>
      </c>
      <c r="J7" s="34" t="s">
        <v>10</v>
      </c>
      <c r="K7" s="35" t="s">
        <v>10</v>
      </c>
      <c r="L7" s="34" t="s">
        <v>10</v>
      </c>
      <c r="M7" s="35" t="s">
        <v>10</v>
      </c>
      <c r="N7" s="34" t="s">
        <v>10</v>
      </c>
      <c r="O7" s="35" t="s">
        <v>10</v>
      </c>
      <c r="P7" s="34" t="s">
        <v>10</v>
      </c>
      <c r="Q7" s="35" t="s">
        <v>10</v>
      </c>
      <c r="R7" s="34" t="s">
        <v>10</v>
      </c>
      <c r="S7" s="35" t="s">
        <v>10</v>
      </c>
      <c r="T7" s="34" t="s">
        <v>10</v>
      </c>
      <c r="U7" s="35" t="s">
        <v>10</v>
      </c>
      <c r="V7" s="34" t="s">
        <v>10</v>
      </c>
      <c r="W7" s="35" t="s">
        <v>10</v>
      </c>
      <c r="X7" s="34" t="s">
        <v>10</v>
      </c>
      <c r="Y7" s="35" t="s">
        <v>10</v>
      </c>
      <c r="Z7" s="34" t="s">
        <v>10</v>
      </c>
      <c r="AA7" s="35" t="s">
        <v>10</v>
      </c>
      <c r="AB7" s="27" t="s">
        <v>10</v>
      </c>
      <c r="AC7" s="22" t="s">
        <v>10</v>
      </c>
      <c r="AD7" s="27" t="s">
        <v>10</v>
      </c>
      <c r="AE7" s="22" t="s">
        <v>10</v>
      </c>
      <c r="AF7" s="27" t="s">
        <v>10</v>
      </c>
      <c r="AG7" s="22" t="s">
        <v>10</v>
      </c>
      <c r="AH7" s="27" t="s">
        <v>10</v>
      </c>
      <c r="AI7" s="22" t="s">
        <v>10</v>
      </c>
      <c r="AJ7" s="27" t="s">
        <v>10</v>
      </c>
      <c r="AK7" s="22" t="s">
        <v>10</v>
      </c>
      <c r="AL7" s="27" t="s">
        <v>10</v>
      </c>
      <c r="AM7" s="22" t="s">
        <v>10</v>
      </c>
      <c r="AN7" s="27" t="s">
        <v>10</v>
      </c>
      <c r="AO7" s="22" t="s">
        <v>10</v>
      </c>
      <c r="AP7" s="27" t="s">
        <v>76</v>
      </c>
      <c r="AQ7" s="22" t="s">
        <v>799</v>
      </c>
      <c r="AR7" s="27" t="s">
        <v>10</v>
      </c>
      <c r="AS7" s="22" t="s">
        <v>10</v>
      </c>
      <c r="AT7" s="27" t="s">
        <v>10</v>
      </c>
      <c r="AU7" s="22" t="s">
        <v>10</v>
      </c>
      <c r="AV7" s="27" t="s">
        <v>10</v>
      </c>
      <c r="AW7" s="22" t="s">
        <v>10</v>
      </c>
      <c r="AX7" s="27" t="s">
        <v>10</v>
      </c>
      <c r="AY7" s="22" t="s">
        <v>10</v>
      </c>
      <c r="AZ7" s="27" t="s">
        <v>10</v>
      </c>
      <c r="BA7" s="22" t="s">
        <v>10</v>
      </c>
      <c r="BB7" s="27" t="s">
        <v>10</v>
      </c>
      <c r="BC7" s="22" t="s">
        <v>10</v>
      </c>
      <c r="BD7" s="27" t="s">
        <v>10</v>
      </c>
      <c r="BE7" s="22" t="s">
        <v>10</v>
      </c>
    </row>
    <row r="8" spans="1:57" ht="7.35" customHeight="1" x14ac:dyDescent="0.25">
      <c r="A8" s="56">
        <v>8</v>
      </c>
      <c r="B8" s="37" t="s">
        <v>730</v>
      </c>
      <c r="C8" s="33" t="s">
        <v>633</v>
      </c>
      <c r="D8" s="34" t="s">
        <v>10</v>
      </c>
      <c r="E8" s="35" t="s">
        <v>10</v>
      </c>
      <c r="F8" s="34" t="s">
        <v>10</v>
      </c>
      <c r="G8" s="35" t="s">
        <v>10</v>
      </c>
      <c r="H8" s="34" t="s">
        <v>10</v>
      </c>
      <c r="I8" s="35" t="s">
        <v>10</v>
      </c>
      <c r="J8" s="34" t="s">
        <v>10</v>
      </c>
      <c r="K8" s="35" t="s">
        <v>10</v>
      </c>
      <c r="L8" s="34" t="s">
        <v>10</v>
      </c>
      <c r="M8" s="35" t="s">
        <v>10</v>
      </c>
      <c r="N8" s="34" t="s">
        <v>10</v>
      </c>
      <c r="O8" s="35" t="s">
        <v>10</v>
      </c>
      <c r="P8" s="34" t="s">
        <v>10</v>
      </c>
      <c r="Q8" s="35" t="s">
        <v>10</v>
      </c>
      <c r="R8" s="34" t="s">
        <v>10</v>
      </c>
      <c r="S8" s="35" t="s">
        <v>10</v>
      </c>
      <c r="T8" s="34" t="s">
        <v>10</v>
      </c>
      <c r="U8" s="35" t="s">
        <v>10</v>
      </c>
      <c r="V8" s="34" t="s">
        <v>10</v>
      </c>
      <c r="W8" s="35" t="s">
        <v>10</v>
      </c>
      <c r="X8" s="34" t="s">
        <v>10</v>
      </c>
      <c r="Y8" s="35" t="s">
        <v>10</v>
      </c>
      <c r="Z8" s="34" t="s">
        <v>10</v>
      </c>
      <c r="AA8" s="35" t="s">
        <v>10</v>
      </c>
      <c r="AB8" s="27" t="s">
        <v>10</v>
      </c>
      <c r="AC8" s="22" t="s">
        <v>10</v>
      </c>
      <c r="AD8" s="27" t="s">
        <v>10</v>
      </c>
      <c r="AE8" s="22" t="s">
        <v>10</v>
      </c>
      <c r="AF8" s="27" t="s">
        <v>10</v>
      </c>
      <c r="AG8" s="22" t="s">
        <v>10</v>
      </c>
      <c r="AH8" s="27" t="s">
        <v>10</v>
      </c>
      <c r="AI8" s="22" t="s">
        <v>10</v>
      </c>
      <c r="AJ8" s="27" t="s">
        <v>10</v>
      </c>
      <c r="AK8" s="22" t="s">
        <v>10</v>
      </c>
      <c r="AL8" s="27" t="s">
        <v>10</v>
      </c>
      <c r="AM8" s="22" t="s">
        <v>10</v>
      </c>
      <c r="AN8" s="27" t="s">
        <v>10</v>
      </c>
      <c r="AO8" s="22" t="s">
        <v>10</v>
      </c>
      <c r="AP8" s="27" t="s">
        <v>76</v>
      </c>
      <c r="AQ8" s="22" t="s">
        <v>800</v>
      </c>
      <c r="AR8" s="27" t="s">
        <v>10</v>
      </c>
      <c r="AS8" s="22" t="s">
        <v>10</v>
      </c>
      <c r="AT8" s="27" t="s">
        <v>10</v>
      </c>
      <c r="AU8" s="22" t="s">
        <v>10</v>
      </c>
      <c r="AV8" s="27" t="s">
        <v>10</v>
      </c>
      <c r="AW8" s="22" t="s">
        <v>10</v>
      </c>
      <c r="AX8" s="27" t="s">
        <v>10</v>
      </c>
      <c r="AY8" s="22" t="s">
        <v>10</v>
      </c>
      <c r="AZ8" s="27" t="s">
        <v>10</v>
      </c>
      <c r="BA8" s="22" t="s">
        <v>10</v>
      </c>
      <c r="BB8" s="27" t="s">
        <v>10</v>
      </c>
      <c r="BC8" s="22" t="s">
        <v>10</v>
      </c>
      <c r="BD8" s="27" t="s">
        <v>10</v>
      </c>
      <c r="BE8" s="22" t="s">
        <v>10</v>
      </c>
    </row>
    <row r="9" spans="1:57" ht="7.35" customHeight="1" x14ac:dyDescent="0.25">
      <c r="A9" s="56">
        <v>9</v>
      </c>
      <c r="B9" s="37" t="s">
        <v>776</v>
      </c>
      <c r="C9" s="30" t="s">
        <v>308</v>
      </c>
      <c r="D9" s="34" t="s">
        <v>10</v>
      </c>
      <c r="E9" s="35" t="s">
        <v>10</v>
      </c>
      <c r="F9" s="34" t="s">
        <v>10</v>
      </c>
      <c r="G9" s="35" t="s">
        <v>10</v>
      </c>
      <c r="H9" s="34" t="s">
        <v>10</v>
      </c>
      <c r="I9" s="35" t="s">
        <v>10</v>
      </c>
      <c r="J9" s="34" t="s">
        <v>10</v>
      </c>
      <c r="K9" s="35" t="s">
        <v>10</v>
      </c>
      <c r="L9" s="34" t="s">
        <v>10</v>
      </c>
      <c r="M9" s="35" t="s">
        <v>10</v>
      </c>
      <c r="N9" s="34" t="s">
        <v>10</v>
      </c>
      <c r="O9" s="35" t="s">
        <v>10</v>
      </c>
      <c r="P9" s="34" t="s">
        <v>10</v>
      </c>
      <c r="Q9" s="35" t="s">
        <v>10</v>
      </c>
      <c r="R9" s="34" t="s">
        <v>10</v>
      </c>
      <c r="S9" s="35" t="s">
        <v>10</v>
      </c>
      <c r="T9" s="34" t="s">
        <v>10</v>
      </c>
      <c r="U9" s="35" t="s">
        <v>10</v>
      </c>
      <c r="V9" s="34" t="s">
        <v>10</v>
      </c>
      <c r="W9" s="35" t="s">
        <v>10</v>
      </c>
      <c r="X9" s="34" t="s">
        <v>10</v>
      </c>
      <c r="Y9" s="35" t="s">
        <v>10</v>
      </c>
      <c r="Z9" s="34" t="s">
        <v>10</v>
      </c>
      <c r="AA9" s="35" t="s">
        <v>10</v>
      </c>
      <c r="AB9" s="27" t="s">
        <v>10</v>
      </c>
      <c r="AC9" s="22" t="s">
        <v>10</v>
      </c>
      <c r="AD9" s="27" t="s">
        <v>10</v>
      </c>
      <c r="AE9" s="22" t="s">
        <v>10</v>
      </c>
      <c r="AF9" s="27" t="s">
        <v>10</v>
      </c>
      <c r="AG9" s="22" t="s">
        <v>10</v>
      </c>
      <c r="AH9" s="27" t="s">
        <v>10</v>
      </c>
      <c r="AI9" s="22" t="s">
        <v>10</v>
      </c>
      <c r="AJ9" s="27" t="s">
        <v>10</v>
      </c>
      <c r="AK9" s="22" t="s">
        <v>10</v>
      </c>
      <c r="AL9" s="27" t="s">
        <v>10</v>
      </c>
      <c r="AM9" s="22" t="s">
        <v>10</v>
      </c>
      <c r="AN9" s="27" t="s">
        <v>10</v>
      </c>
      <c r="AO9" s="22" t="s">
        <v>10</v>
      </c>
      <c r="AP9" s="27" t="s">
        <v>76</v>
      </c>
      <c r="AQ9" s="22" t="s">
        <v>801</v>
      </c>
      <c r="AR9" s="27" t="s">
        <v>10</v>
      </c>
      <c r="AS9" s="22" t="s">
        <v>10</v>
      </c>
      <c r="AT9" s="27" t="s">
        <v>10</v>
      </c>
      <c r="AU9" s="22" t="s">
        <v>10</v>
      </c>
      <c r="AV9" s="27" t="s">
        <v>10</v>
      </c>
      <c r="AW9" s="22" t="s">
        <v>10</v>
      </c>
      <c r="AX9" s="27" t="s">
        <v>10</v>
      </c>
      <c r="AY9" s="22" t="s">
        <v>10</v>
      </c>
      <c r="AZ9" s="27" t="s">
        <v>10</v>
      </c>
      <c r="BA9" s="22" t="s">
        <v>10</v>
      </c>
      <c r="BB9" s="27" t="s">
        <v>10</v>
      </c>
      <c r="BC9" s="22" t="s">
        <v>10</v>
      </c>
      <c r="BD9" s="27" t="s">
        <v>10</v>
      </c>
      <c r="BE9" s="22" t="s">
        <v>10</v>
      </c>
    </row>
    <row r="10" spans="1:57" ht="7.35" customHeight="1" x14ac:dyDescent="0.25">
      <c r="A10" s="56">
        <v>10</v>
      </c>
      <c r="B10" s="37" t="s">
        <v>777</v>
      </c>
      <c r="C10" s="30" t="s">
        <v>307</v>
      </c>
      <c r="D10" s="34" t="s">
        <v>10</v>
      </c>
      <c r="E10" s="35" t="s">
        <v>10</v>
      </c>
      <c r="F10" s="34" t="s">
        <v>10</v>
      </c>
      <c r="G10" s="35" t="s">
        <v>10</v>
      </c>
      <c r="H10" s="34" t="s">
        <v>10</v>
      </c>
      <c r="I10" s="35" t="s">
        <v>10</v>
      </c>
      <c r="J10" s="34" t="s">
        <v>10</v>
      </c>
      <c r="K10" s="35" t="s">
        <v>10</v>
      </c>
      <c r="L10" s="34" t="s">
        <v>10</v>
      </c>
      <c r="M10" s="35" t="s">
        <v>10</v>
      </c>
      <c r="N10" s="34" t="s">
        <v>10</v>
      </c>
      <c r="O10" s="35" t="s">
        <v>10</v>
      </c>
      <c r="P10" s="34" t="s">
        <v>10</v>
      </c>
      <c r="Q10" s="35" t="s">
        <v>10</v>
      </c>
      <c r="R10" s="34" t="s">
        <v>10</v>
      </c>
      <c r="S10" s="35" t="s">
        <v>10</v>
      </c>
      <c r="T10" s="34" t="s">
        <v>10</v>
      </c>
      <c r="U10" s="35" t="s">
        <v>10</v>
      </c>
      <c r="V10" s="34" t="s">
        <v>10</v>
      </c>
      <c r="W10" s="35" t="s">
        <v>10</v>
      </c>
      <c r="X10" s="34" t="s">
        <v>10</v>
      </c>
      <c r="Y10" s="35" t="s">
        <v>10</v>
      </c>
      <c r="Z10" s="34" t="s">
        <v>10</v>
      </c>
      <c r="AA10" s="35" t="s">
        <v>10</v>
      </c>
      <c r="AB10" s="27" t="s">
        <v>10</v>
      </c>
      <c r="AC10" s="22" t="s">
        <v>10</v>
      </c>
      <c r="AD10" s="27" t="s">
        <v>10</v>
      </c>
      <c r="AE10" s="22" t="s">
        <v>10</v>
      </c>
      <c r="AF10" s="27" t="s">
        <v>10</v>
      </c>
      <c r="AG10" s="22" t="s">
        <v>10</v>
      </c>
      <c r="AH10" s="27" t="s">
        <v>10</v>
      </c>
      <c r="AI10" s="22" t="s">
        <v>10</v>
      </c>
      <c r="AJ10" s="27" t="s">
        <v>10</v>
      </c>
      <c r="AK10" s="22" t="s">
        <v>10</v>
      </c>
      <c r="AL10" s="27" t="s">
        <v>10</v>
      </c>
      <c r="AM10" s="22" t="s">
        <v>10</v>
      </c>
      <c r="AN10" s="27" t="s">
        <v>10</v>
      </c>
      <c r="AO10" s="22" t="s">
        <v>10</v>
      </c>
      <c r="AP10" s="27" t="s">
        <v>76</v>
      </c>
      <c r="AQ10" s="22" t="s">
        <v>802</v>
      </c>
      <c r="AR10" s="27" t="s">
        <v>10</v>
      </c>
      <c r="AS10" s="22" t="s">
        <v>10</v>
      </c>
      <c r="AT10" s="27" t="s">
        <v>10</v>
      </c>
      <c r="AU10" s="22" t="s">
        <v>10</v>
      </c>
      <c r="AV10" s="27" t="s">
        <v>10</v>
      </c>
      <c r="AW10" s="22" t="s">
        <v>10</v>
      </c>
      <c r="AX10" s="27" t="s">
        <v>10</v>
      </c>
      <c r="AY10" s="22" t="s">
        <v>10</v>
      </c>
      <c r="AZ10" s="27" t="s">
        <v>10</v>
      </c>
      <c r="BA10" s="22" t="s">
        <v>10</v>
      </c>
      <c r="BB10" s="27" t="s">
        <v>10</v>
      </c>
      <c r="BC10" s="22" t="s">
        <v>10</v>
      </c>
      <c r="BD10" s="27" t="s">
        <v>10</v>
      </c>
      <c r="BE10" s="22" t="s">
        <v>10</v>
      </c>
    </row>
    <row r="11" spans="1:57" ht="7.5" customHeight="1" x14ac:dyDescent="0.25">
      <c r="A11" s="56">
        <v>11</v>
      </c>
      <c r="B11" s="37" t="s">
        <v>781</v>
      </c>
      <c r="C11" s="29" t="s">
        <v>659</v>
      </c>
      <c r="D11" s="34" t="s">
        <v>10</v>
      </c>
      <c r="E11" s="35" t="s">
        <v>10</v>
      </c>
      <c r="F11" s="34" t="s">
        <v>10</v>
      </c>
      <c r="G11" s="35" t="s">
        <v>10</v>
      </c>
      <c r="H11" s="34" t="s">
        <v>10</v>
      </c>
      <c r="I11" s="35" t="s">
        <v>10</v>
      </c>
      <c r="J11" s="34" t="s">
        <v>10</v>
      </c>
      <c r="K11" s="35" t="s">
        <v>10</v>
      </c>
      <c r="L11" s="34" t="s">
        <v>10</v>
      </c>
      <c r="M11" s="35" t="s">
        <v>10</v>
      </c>
      <c r="N11" s="34" t="s">
        <v>10</v>
      </c>
      <c r="O11" s="35" t="s">
        <v>10</v>
      </c>
      <c r="P11" s="34" t="s">
        <v>10</v>
      </c>
      <c r="Q11" s="35" t="s">
        <v>10</v>
      </c>
      <c r="R11" s="34" t="s">
        <v>10</v>
      </c>
      <c r="S11" s="35" t="s">
        <v>10</v>
      </c>
      <c r="T11" s="34" t="s">
        <v>10</v>
      </c>
      <c r="U11" s="35" t="s">
        <v>10</v>
      </c>
      <c r="V11" s="34" t="s">
        <v>10</v>
      </c>
      <c r="W11" s="35" t="s">
        <v>10</v>
      </c>
      <c r="X11" s="34" t="s">
        <v>10</v>
      </c>
      <c r="Y11" s="35" t="s">
        <v>10</v>
      </c>
      <c r="Z11" s="34" t="s">
        <v>10</v>
      </c>
      <c r="AA11" s="35" t="s">
        <v>10</v>
      </c>
      <c r="AB11" s="27" t="s">
        <v>786</v>
      </c>
      <c r="AC11" s="22" t="s">
        <v>787</v>
      </c>
      <c r="AD11" s="27" t="s">
        <v>10</v>
      </c>
      <c r="AE11" s="22" t="s">
        <v>10</v>
      </c>
      <c r="AF11" s="27" t="s">
        <v>788</v>
      </c>
      <c r="AG11" s="22" t="s">
        <v>789</v>
      </c>
      <c r="AH11" s="27" t="s">
        <v>10</v>
      </c>
      <c r="AI11" s="22" t="s">
        <v>10</v>
      </c>
      <c r="AJ11" s="27" t="s">
        <v>10</v>
      </c>
      <c r="AK11" s="22" t="s">
        <v>10</v>
      </c>
      <c r="AL11" s="27" t="s">
        <v>10</v>
      </c>
      <c r="AM11" s="22" t="s">
        <v>10</v>
      </c>
      <c r="AN11" s="27" t="s">
        <v>10</v>
      </c>
      <c r="AO11" s="22" t="s">
        <v>10</v>
      </c>
      <c r="AP11" s="27" t="s">
        <v>76</v>
      </c>
      <c r="AQ11" s="22" t="s">
        <v>808</v>
      </c>
      <c r="AR11" s="27" t="s">
        <v>10</v>
      </c>
      <c r="AS11" s="22" t="s">
        <v>10</v>
      </c>
      <c r="AT11" s="27" t="s">
        <v>10</v>
      </c>
      <c r="AU11" s="22" t="s">
        <v>10</v>
      </c>
      <c r="AV11" s="27" t="s">
        <v>10</v>
      </c>
      <c r="AW11" s="22" t="s">
        <v>10</v>
      </c>
      <c r="AX11" s="27" t="s">
        <v>277</v>
      </c>
      <c r="AY11" s="22" t="s">
        <v>792</v>
      </c>
      <c r="AZ11" s="27" t="s">
        <v>443</v>
      </c>
      <c r="BA11" s="22" t="s">
        <v>784</v>
      </c>
      <c r="BB11" s="27" t="s">
        <v>278</v>
      </c>
      <c r="BC11" s="22" t="s">
        <v>793</v>
      </c>
      <c r="BD11" s="27" t="s">
        <v>683</v>
      </c>
      <c r="BE11" s="22" t="s">
        <v>846</v>
      </c>
    </row>
    <row r="12" spans="1:57" ht="7.5" customHeight="1" x14ac:dyDescent="0.25">
      <c r="A12" s="56">
        <v>12</v>
      </c>
      <c r="B12" s="37" t="s">
        <v>782</v>
      </c>
      <c r="C12" s="29" t="s">
        <v>659</v>
      </c>
      <c r="D12" s="34" t="s">
        <v>10</v>
      </c>
      <c r="E12" s="35" t="s">
        <v>10</v>
      </c>
      <c r="F12" s="34" t="s">
        <v>10</v>
      </c>
      <c r="G12" s="35" t="s">
        <v>10</v>
      </c>
      <c r="H12" s="34" t="s">
        <v>10</v>
      </c>
      <c r="I12" s="35" t="s">
        <v>10</v>
      </c>
      <c r="J12" s="34" t="s">
        <v>10</v>
      </c>
      <c r="K12" s="35" t="s">
        <v>10</v>
      </c>
      <c r="L12" s="34" t="s">
        <v>10</v>
      </c>
      <c r="M12" s="35" t="s">
        <v>10</v>
      </c>
      <c r="N12" s="34" t="s">
        <v>10</v>
      </c>
      <c r="O12" s="35" t="s">
        <v>10</v>
      </c>
      <c r="P12" s="34" t="s">
        <v>10</v>
      </c>
      <c r="Q12" s="35" t="s">
        <v>10</v>
      </c>
      <c r="R12" s="34" t="s">
        <v>10</v>
      </c>
      <c r="S12" s="35" t="s">
        <v>10</v>
      </c>
      <c r="T12" s="34" t="s">
        <v>10</v>
      </c>
      <c r="U12" s="35" t="s">
        <v>10</v>
      </c>
      <c r="V12" s="34" t="s">
        <v>10</v>
      </c>
      <c r="W12" s="35" t="s">
        <v>10</v>
      </c>
      <c r="X12" s="34" t="s">
        <v>10</v>
      </c>
      <c r="Y12" s="35" t="s">
        <v>10</v>
      </c>
      <c r="Z12" s="34" t="s">
        <v>10</v>
      </c>
      <c r="AA12" s="35" t="s">
        <v>10</v>
      </c>
      <c r="AB12" s="27" t="s">
        <v>786</v>
      </c>
      <c r="AC12" s="22" t="s">
        <v>787</v>
      </c>
      <c r="AD12" s="27" t="s">
        <v>10</v>
      </c>
      <c r="AE12" s="22" t="s">
        <v>10</v>
      </c>
      <c r="AF12" s="27" t="s">
        <v>788</v>
      </c>
      <c r="AG12" s="22" t="s">
        <v>790</v>
      </c>
      <c r="AH12" s="27" t="s">
        <v>10</v>
      </c>
      <c r="AI12" s="22" t="s">
        <v>10</v>
      </c>
      <c r="AJ12" s="27" t="s">
        <v>10</v>
      </c>
      <c r="AK12" s="22" t="s">
        <v>10</v>
      </c>
      <c r="AL12" s="27" t="s">
        <v>10</v>
      </c>
      <c r="AM12" s="22" t="s">
        <v>10</v>
      </c>
      <c r="AN12" s="27" t="s">
        <v>10</v>
      </c>
      <c r="AO12" s="22" t="s">
        <v>10</v>
      </c>
      <c r="AP12" s="27" t="s">
        <v>76</v>
      </c>
      <c r="AQ12" s="22" t="s">
        <v>807</v>
      </c>
      <c r="AR12" s="27" t="s">
        <v>10</v>
      </c>
      <c r="AS12" s="22" t="s">
        <v>10</v>
      </c>
      <c r="AT12" s="27" t="s">
        <v>10</v>
      </c>
      <c r="AU12" s="22" t="s">
        <v>10</v>
      </c>
      <c r="AV12" s="27" t="s">
        <v>10</v>
      </c>
      <c r="AW12" s="22" t="s">
        <v>10</v>
      </c>
      <c r="AX12" s="27" t="s">
        <v>277</v>
      </c>
      <c r="AY12" s="22" t="s">
        <v>792</v>
      </c>
      <c r="AZ12" s="27" t="s">
        <v>443</v>
      </c>
      <c r="BA12" s="22" t="s">
        <v>784</v>
      </c>
      <c r="BB12" s="27" t="s">
        <v>278</v>
      </c>
      <c r="BC12" s="22" t="s">
        <v>793</v>
      </c>
      <c r="BD12" s="27" t="s">
        <v>683</v>
      </c>
      <c r="BE12" s="22" t="s">
        <v>846</v>
      </c>
    </row>
    <row r="13" spans="1:57" ht="7.5" customHeight="1" x14ac:dyDescent="0.25">
      <c r="A13" s="56">
        <v>13</v>
      </c>
      <c r="B13" s="37" t="s">
        <v>783</v>
      </c>
      <c r="C13" s="29" t="s">
        <v>659</v>
      </c>
      <c r="D13" s="34" t="s">
        <v>10</v>
      </c>
      <c r="E13" s="35" t="s">
        <v>10</v>
      </c>
      <c r="F13" s="34" t="s">
        <v>10</v>
      </c>
      <c r="G13" s="35" t="s">
        <v>10</v>
      </c>
      <c r="H13" s="34" t="s">
        <v>10</v>
      </c>
      <c r="I13" s="35" t="s">
        <v>10</v>
      </c>
      <c r="J13" s="34" t="s">
        <v>10</v>
      </c>
      <c r="K13" s="35" t="s">
        <v>10</v>
      </c>
      <c r="L13" s="34" t="s">
        <v>10</v>
      </c>
      <c r="M13" s="35" t="s">
        <v>10</v>
      </c>
      <c r="N13" s="34" t="s">
        <v>10</v>
      </c>
      <c r="O13" s="35" t="s">
        <v>10</v>
      </c>
      <c r="P13" s="34" t="s">
        <v>10</v>
      </c>
      <c r="Q13" s="35" t="s">
        <v>10</v>
      </c>
      <c r="R13" s="34" t="s">
        <v>10</v>
      </c>
      <c r="S13" s="35" t="s">
        <v>10</v>
      </c>
      <c r="T13" s="34" t="s">
        <v>10</v>
      </c>
      <c r="U13" s="35" t="s">
        <v>10</v>
      </c>
      <c r="V13" s="34" t="s">
        <v>10</v>
      </c>
      <c r="W13" s="35" t="s">
        <v>10</v>
      </c>
      <c r="X13" s="34" t="s">
        <v>10</v>
      </c>
      <c r="Y13" s="35" t="s">
        <v>10</v>
      </c>
      <c r="Z13" s="34" t="s">
        <v>10</v>
      </c>
      <c r="AA13" s="35" t="s">
        <v>10</v>
      </c>
      <c r="AB13" s="27" t="s">
        <v>786</v>
      </c>
      <c r="AC13" s="22" t="s">
        <v>787</v>
      </c>
      <c r="AD13" s="27" t="s">
        <v>10</v>
      </c>
      <c r="AE13" s="22" t="s">
        <v>10</v>
      </c>
      <c r="AF13" s="27" t="s">
        <v>788</v>
      </c>
      <c r="AG13" s="22" t="s">
        <v>791</v>
      </c>
      <c r="AH13" s="27" t="s">
        <v>10</v>
      </c>
      <c r="AI13" s="22" t="s">
        <v>10</v>
      </c>
      <c r="AJ13" s="27" t="s">
        <v>10</v>
      </c>
      <c r="AK13" s="22" t="s">
        <v>10</v>
      </c>
      <c r="AL13" s="27" t="s">
        <v>10</v>
      </c>
      <c r="AM13" s="22" t="s">
        <v>10</v>
      </c>
      <c r="AN13" s="27" t="s">
        <v>10</v>
      </c>
      <c r="AO13" s="22" t="s">
        <v>10</v>
      </c>
      <c r="AP13" s="27" t="s">
        <v>76</v>
      </c>
      <c r="AQ13" s="22" t="s">
        <v>809</v>
      </c>
      <c r="AR13" s="27" t="s">
        <v>10</v>
      </c>
      <c r="AS13" s="22" t="s">
        <v>10</v>
      </c>
      <c r="AT13" s="27" t="s">
        <v>10</v>
      </c>
      <c r="AU13" s="22" t="s">
        <v>10</v>
      </c>
      <c r="AV13" s="27" t="s">
        <v>10</v>
      </c>
      <c r="AW13" s="22" t="s">
        <v>10</v>
      </c>
      <c r="AX13" s="27" t="s">
        <v>277</v>
      </c>
      <c r="AY13" s="22" t="s">
        <v>792</v>
      </c>
      <c r="AZ13" s="27" t="s">
        <v>443</v>
      </c>
      <c r="BA13" s="22" t="s">
        <v>784</v>
      </c>
      <c r="BB13" s="27" t="s">
        <v>278</v>
      </c>
      <c r="BC13" s="22" t="s">
        <v>793</v>
      </c>
      <c r="BD13" s="27" t="s">
        <v>683</v>
      </c>
      <c r="BE13" s="22" t="s">
        <v>846</v>
      </c>
    </row>
    <row r="14" spans="1:57" ht="7.5" customHeight="1" x14ac:dyDescent="0.25">
      <c r="A14" s="56">
        <v>13</v>
      </c>
      <c r="B14" s="37" t="s">
        <v>805</v>
      </c>
      <c r="C14" s="29" t="s">
        <v>659</v>
      </c>
      <c r="D14" s="34" t="s">
        <v>10</v>
      </c>
      <c r="E14" s="35" t="s">
        <v>10</v>
      </c>
      <c r="F14" s="34" t="s">
        <v>10</v>
      </c>
      <c r="G14" s="35" t="s">
        <v>10</v>
      </c>
      <c r="H14" s="34" t="s">
        <v>10</v>
      </c>
      <c r="I14" s="35" t="s">
        <v>10</v>
      </c>
      <c r="J14" s="34" t="s">
        <v>10</v>
      </c>
      <c r="K14" s="35" t="s">
        <v>10</v>
      </c>
      <c r="L14" s="34" t="s">
        <v>10</v>
      </c>
      <c r="M14" s="35" t="s">
        <v>10</v>
      </c>
      <c r="N14" s="34" t="s">
        <v>10</v>
      </c>
      <c r="O14" s="35" t="s">
        <v>10</v>
      </c>
      <c r="P14" s="34" t="s">
        <v>10</v>
      </c>
      <c r="Q14" s="35" t="s">
        <v>10</v>
      </c>
      <c r="R14" s="34" t="s">
        <v>10</v>
      </c>
      <c r="S14" s="35" t="s">
        <v>10</v>
      </c>
      <c r="T14" s="34" t="s">
        <v>10</v>
      </c>
      <c r="U14" s="35" t="s">
        <v>10</v>
      </c>
      <c r="V14" s="34" t="s">
        <v>10</v>
      </c>
      <c r="W14" s="35" t="s">
        <v>10</v>
      </c>
      <c r="X14" s="34" t="s">
        <v>10</v>
      </c>
      <c r="Y14" s="35" t="s">
        <v>10</v>
      </c>
      <c r="Z14" s="34" t="s">
        <v>10</v>
      </c>
      <c r="AA14" s="35" t="s">
        <v>10</v>
      </c>
      <c r="AB14" s="27" t="s">
        <v>786</v>
      </c>
      <c r="AC14" s="22" t="s">
        <v>787</v>
      </c>
      <c r="AD14" s="27" t="s">
        <v>10</v>
      </c>
      <c r="AE14" s="22" t="s">
        <v>10</v>
      </c>
      <c r="AF14" s="27" t="s">
        <v>788</v>
      </c>
      <c r="AG14" s="22" t="s">
        <v>806</v>
      </c>
      <c r="AH14" s="27" t="s">
        <v>10</v>
      </c>
      <c r="AI14" s="22" t="s">
        <v>10</v>
      </c>
      <c r="AJ14" s="27" t="s">
        <v>10</v>
      </c>
      <c r="AK14" s="22" t="s">
        <v>10</v>
      </c>
      <c r="AL14" s="27" t="s">
        <v>10</v>
      </c>
      <c r="AM14" s="22" t="s">
        <v>10</v>
      </c>
      <c r="AN14" s="27" t="s">
        <v>10</v>
      </c>
      <c r="AO14" s="22" t="s">
        <v>10</v>
      </c>
      <c r="AP14" s="27" t="s">
        <v>76</v>
      </c>
      <c r="AQ14" s="22" t="s">
        <v>810</v>
      </c>
      <c r="AR14" s="27" t="s">
        <v>10</v>
      </c>
      <c r="AS14" s="22" t="s">
        <v>10</v>
      </c>
      <c r="AT14" s="27" t="s">
        <v>10</v>
      </c>
      <c r="AU14" s="22" t="s">
        <v>10</v>
      </c>
      <c r="AV14" s="27" t="s">
        <v>10</v>
      </c>
      <c r="AW14" s="22" t="s">
        <v>10</v>
      </c>
      <c r="AX14" s="27" t="s">
        <v>277</v>
      </c>
      <c r="AY14" s="22" t="s">
        <v>792</v>
      </c>
      <c r="AZ14" s="27" t="s">
        <v>443</v>
      </c>
      <c r="BA14" s="22" t="s">
        <v>784</v>
      </c>
      <c r="BB14" s="27" t="s">
        <v>278</v>
      </c>
      <c r="BC14" s="22" t="s">
        <v>793</v>
      </c>
      <c r="BD14" s="27" t="s">
        <v>683</v>
      </c>
      <c r="BE14" s="22" t="s">
        <v>846</v>
      </c>
    </row>
    <row r="15" spans="1:57" ht="7.35" customHeight="1" x14ac:dyDescent="0.25">
      <c r="A15" s="56">
        <v>14</v>
      </c>
      <c r="B15" s="37" t="s">
        <v>840</v>
      </c>
      <c r="C15" s="29" t="s">
        <v>659</v>
      </c>
      <c r="D15" s="34" t="s">
        <v>10</v>
      </c>
      <c r="E15" s="35" t="s">
        <v>10</v>
      </c>
      <c r="F15" s="34" t="s">
        <v>10</v>
      </c>
      <c r="G15" s="35" t="s">
        <v>10</v>
      </c>
      <c r="H15" s="34" t="s">
        <v>10</v>
      </c>
      <c r="I15" s="35" t="s">
        <v>10</v>
      </c>
      <c r="J15" s="34" t="s">
        <v>10</v>
      </c>
      <c r="K15" s="35" t="s">
        <v>10</v>
      </c>
      <c r="L15" s="34" t="s">
        <v>10</v>
      </c>
      <c r="M15" s="35" t="s">
        <v>10</v>
      </c>
      <c r="N15" s="34" t="s">
        <v>10</v>
      </c>
      <c r="O15" s="35" t="s">
        <v>10</v>
      </c>
      <c r="P15" s="34" t="s">
        <v>10</v>
      </c>
      <c r="Q15" s="35" t="s">
        <v>10</v>
      </c>
      <c r="R15" s="34" t="s">
        <v>10</v>
      </c>
      <c r="S15" s="35" t="s">
        <v>10</v>
      </c>
      <c r="T15" s="34" t="s">
        <v>785</v>
      </c>
      <c r="U15" s="35" t="s">
        <v>781</v>
      </c>
      <c r="V15" s="34" t="s">
        <v>785</v>
      </c>
      <c r="W15" s="35" t="s">
        <v>782</v>
      </c>
      <c r="X15" s="34" t="s">
        <v>785</v>
      </c>
      <c r="Y15" s="35" t="s">
        <v>783</v>
      </c>
      <c r="Z15" s="34" t="s">
        <v>10</v>
      </c>
      <c r="AA15" s="35" t="s">
        <v>10</v>
      </c>
      <c r="AB15" s="27" t="s">
        <v>77</v>
      </c>
      <c r="AC15" s="22" t="s">
        <v>813</v>
      </c>
      <c r="AD15" s="27" t="s">
        <v>10</v>
      </c>
      <c r="AE15" s="22" t="s">
        <v>10</v>
      </c>
      <c r="AF15" s="27" t="s">
        <v>10</v>
      </c>
      <c r="AG15" s="22" t="s">
        <v>10</v>
      </c>
      <c r="AH15" s="27" t="s">
        <v>10</v>
      </c>
      <c r="AI15" s="22" t="s">
        <v>10</v>
      </c>
      <c r="AJ15" s="27" t="s">
        <v>10</v>
      </c>
      <c r="AK15" s="22" t="s">
        <v>10</v>
      </c>
      <c r="AL15" s="27" t="s">
        <v>10</v>
      </c>
      <c r="AM15" s="22" t="s">
        <v>10</v>
      </c>
      <c r="AN15" s="27" t="s">
        <v>10</v>
      </c>
      <c r="AO15" s="22" t="s">
        <v>10</v>
      </c>
      <c r="AP15" s="27" t="s">
        <v>76</v>
      </c>
      <c r="AQ15" s="22" t="s">
        <v>811</v>
      </c>
      <c r="AR15" s="27" t="s">
        <v>10</v>
      </c>
      <c r="AS15" s="22" t="s">
        <v>10</v>
      </c>
      <c r="AT15" s="27" t="s">
        <v>10</v>
      </c>
      <c r="AU15" s="22" t="s">
        <v>10</v>
      </c>
      <c r="AV15" s="27" t="s">
        <v>10</v>
      </c>
      <c r="AW15" s="22" t="s">
        <v>10</v>
      </c>
      <c r="AX15" s="27" t="s">
        <v>10</v>
      </c>
      <c r="AY15" s="22" t="s">
        <v>10</v>
      </c>
      <c r="AZ15" s="27" t="s">
        <v>10</v>
      </c>
      <c r="BA15" s="22" t="s">
        <v>10</v>
      </c>
      <c r="BB15" s="27" t="s">
        <v>10</v>
      </c>
      <c r="BC15" s="22" t="s">
        <v>10</v>
      </c>
      <c r="BD15" s="27" t="s">
        <v>10</v>
      </c>
      <c r="BE15" s="22" t="s">
        <v>846</v>
      </c>
    </row>
    <row r="16" spans="1:57" ht="7.35" customHeight="1" x14ac:dyDescent="0.25">
      <c r="A16" s="56">
        <v>15</v>
      </c>
      <c r="B16" s="37" t="s">
        <v>841</v>
      </c>
      <c r="C16" s="29" t="s">
        <v>659</v>
      </c>
      <c r="D16" s="34" t="s">
        <v>10</v>
      </c>
      <c r="E16" s="35" t="s">
        <v>10</v>
      </c>
      <c r="F16" s="34" t="s">
        <v>10</v>
      </c>
      <c r="G16" s="35" t="s">
        <v>10</v>
      </c>
      <c r="H16" s="34" t="s">
        <v>10</v>
      </c>
      <c r="I16" s="35" t="s">
        <v>10</v>
      </c>
      <c r="J16" s="34" t="s">
        <v>10</v>
      </c>
      <c r="K16" s="35" t="s">
        <v>10</v>
      </c>
      <c r="L16" s="34" t="s">
        <v>10</v>
      </c>
      <c r="M16" s="35" t="s">
        <v>10</v>
      </c>
      <c r="N16" s="34" t="s">
        <v>10</v>
      </c>
      <c r="O16" s="35" t="s">
        <v>10</v>
      </c>
      <c r="P16" s="34" t="s">
        <v>10</v>
      </c>
      <c r="Q16" s="35" t="s">
        <v>10</v>
      </c>
      <c r="R16" s="34" t="s">
        <v>10</v>
      </c>
      <c r="S16" s="35" t="s">
        <v>10</v>
      </c>
      <c r="T16" s="34" t="s">
        <v>785</v>
      </c>
      <c r="U16" s="35" t="s">
        <v>781</v>
      </c>
      <c r="V16" s="34" t="s">
        <v>785</v>
      </c>
      <c r="W16" s="35" t="s">
        <v>782</v>
      </c>
      <c r="X16" s="34" t="s">
        <v>785</v>
      </c>
      <c r="Y16" s="35" t="s">
        <v>783</v>
      </c>
      <c r="Z16" s="34" t="s">
        <v>785</v>
      </c>
      <c r="AA16" s="35" t="s">
        <v>805</v>
      </c>
      <c r="AB16" s="27" t="s">
        <v>77</v>
      </c>
      <c r="AC16" s="22" t="s">
        <v>814</v>
      </c>
      <c r="AD16" s="27" t="s">
        <v>10</v>
      </c>
      <c r="AE16" s="22" t="s">
        <v>10</v>
      </c>
      <c r="AF16" s="27" t="s">
        <v>10</v>
      </c>
      <c r="AG16" s="22" t="s">
        <v>10</v>
      </c>
      <c r="AH16" s="27" t="s">
        <v>10</v>
      </c>
      <c r="AI16" s="22" t="s">
        <v>10</v>
      </c>
      <c r="AJ16" s="27" t="s">
        <v>10</v>
      </c>
      <c r="AK16" s="22" t="s">
        <v>10</v>
      </c>
      <c r="AL16" s="27" t="s">
        <v>10</v>
      </c>
      <c r="AM16" s="22" t="s">
        <v>10</v>
      </c>
      <c r="AN16" s="27" t="s">
        <v>10</v>
      </c>
      <c r="AO16" s="22" t="s">
        <v>10</v>
      </c>
      <c r="AP16" s="27" t="s">
        <v>76</v>
      </c>
      <c r="AQ16" s="22" t="s">
        <v>812</v>
      </c>
      <c r="AR16" s="27" t="s">
        <v>10</v>
      </c>
      <c r="AS16" s="22" t="s">
        <v>10</v>
      </c>
      <c r="AT16" s="27" t="s">
        <v>10</v>
      </c>
      <c r="AU16" s="22" t="s">
        <v>10</v>
      </c>
      <c r="AV16" s="27" t="s">
        <v>10</v>
      </c>
      <c r="AW16" s="22" t="s">
        <v>10</v>
      </c>
      <c r="AX16" s="27" t="s">
        <v>10</v>
      </c>
      <c r="AY16" s="22" t="s">
        <v>10</v>
      </c>
      <c r="AZ16" s="27" t="s">
        <v>10</v>
      </c>
      <c r="BA16" s="22" t="s">
        <v>10</v>
      </c>
      <c r="BB16" s="27" t="s">
        <v>10</v>
      </c>
      <c r="BC16" s="22" t="s">
        <v>10</v>
      </c>
      <c r="BD16" s="27" t="s">
        <v>10</v>
      </c>
      <c r="BE16" s="22" t="s">
        <v>846</v>
      </c>
    </row>
    <row r="17" spans="1:57" ht="7.35" customHeight="1" x14ac:dyDescent="0.25">
      <c r="A17" s="56">
        <v>16</v>
      </c>
      <c r="B17" s="37" t="s">
        <v>699</v>
      </c>
      <c r="C17" s="29" t="s">
        <v>823</v>
      </c>
      <c r="D17" s="34" t="s">
        <v>10</v>
      </c>
      <c r="E17" s="35" t="s">
        <v>10</v>
      </c>
      <c r="F17" s="34" t="s">
        <v>81</v>
      </c>
      <c r="G17" s="35" t="s">
        <v>696</v>
      </c>
      <c r="H17" s="34" t="s">
        <v>10</v>
      </c>
      <c r="I17" s="35" t="s">
        <v>10</v>
      </c>
      <c r="J17" s="34" t="s">
        <v>10</v>
      </c>
      <c r="K17" s="35" t="s">
        <v>10</v>
      </c>
      <c r="L17" s="34" t="s">
        <v>10</v>
      </c>
      <c r="M17" s="35" t="s">
        <v>10</v>
      </c>
      <c r="N17" s="34" t="s">
        <v>10</v>
      </c>
      <c r="O17" s="35" t="s">
        <v>10</v>
      </c>
      <c r="P17" s="34" t="s">
        <v>10</v>
      </c>
      <c r="Q17" s="35" t="s">
        <v>10</v>
      </c>
      <c r="R17" s="34" t="s">
        <v>10</v>
      </c>
      <c r="S17" s="35" t="s">
        <v>10</v>
      </c>
      <c r="T17" s="34" t="s">
        <v>10</v>
      </c>
      <c r="U17" s="35" t="s">
        <v>10</v>
      </c>
      <c r="V17" s="34" t="s">
        <v>10</v>
      </c>
      <c r="W17" s="35" t="s">
        <v>10</v>
      </c>
      <c r="X17" s="34" t="s">
        <v>10</v>
      </c>
      <c r="Y17" s="35" t="s">
        <v>10</v>
      </c>
      <c r="Z17" s="34" t="s">
        <v>10</v>
      </c>
      <c r="AA17" s="35" t="s">
        <v>10</v>
      </c>
      <c r="AB17" s="27" t="s">
        <v>77</v>
      </c>
      <c r="AC17" s="22" t="s">
        <v>398</v>
      </c>
      <c r="AD17" s="27" t="s">
        <v>93</v>
      </c>
      <c r="AE17" s="22" t="s">
        <v>94</v>
      </c>
      <c r="AF17" s="27" t="s">
        <v>10</v>
      </c>
      <c r="AG17" s="22" t="s">
        <v>10</v>
      </c>
      <c r="AH17" s="27" t="s">
        <v>10</v>
      </c>
      <c r="AI17" s="22" t="s">
        <v>10</v>
      </c>
      <c r="AJ17" s="27" t="s">
        <v>10</v>
      </c>
      <c r="AK17" s="22" t="s">
        <v>10</v>
      </c>
      <c r="AL17" s="27" t="s">
        <v>10</v>
      </c>
      <c r="AM17" s="22" t="s">
        <v>10</v>
      </c>
      <c r="AN17" s="27" t="s">
        <v>10</v>
      </c>
      <c r="AO17" s="22" t="s">
        <v>10</v>
      </c>
      <c r="AP17" s="27" t="s">
        <v>76</v>
      </c>
      <c r="AQ17" s="22" t="s">
        <v>766</v>
      </c>
      <c r="AR17" s="27" t="s">
        <v>673</v>
      </c>
      <c r="AS17" s="22" t="s">
        <v>774</v>
      </c>
      <c r="AT17" s="27" t="s">
        <v>666</v>
      </c>
      <c r="AU17" s="22" t="s">
        <v>773</v>
      </c>
      <c r="AV17" s="27" t="s">
        <v>10</v>
      </c>
      <c r="AW17" s="22" t="s">
        <v>10</v>
      </c>
      <c r="AX17" s="27" t="s">
        <v>277</v>
      </c>
      <c r="AY17" s="22" t="s">
        <v>668</v>
      </c>
      <c r="AZ17" s="27" t="s">
        <v>443</v>
      </c>
      <c r="BA17" s="22" t="s">
        <v>402</v>
      </c>
      <c r="BB17" s="27" t="s">
        <v>278</v>
      </c>
      <c r="BC17" s="22" t="s">
        <v>669</v>
      </c>
      <c r="BD17" s="27" t="s">
        <v>683</v>
      </c>
      <c r="BE17" s="22" t="s">
        <v>842</v>
      </c>
    </row>
    <row r="18" spans="1:57" ht="7.35" customHeight="1" x14ac:dyDescent="0.25">
      <c r="A18" s="56">
        <v>17</v>
      </c>
      <c r="B18" s="37" t="s">
        <v>700</v>
      </c>
      <c r="C18" s="29" t="s">
        <v>823</v>
      </c>
      <c r="D18" s="34" t="s">
        <v>10</v>
      </c>
      <c r="E18" s="35" t="s">
        <v>10</v>
      </c>
      <c r="F18" s="34" t="s">
        <v>81</v>
      </c>
      <c r="G18" s="35" t="s">
        <v>696</v>
      </c>
      <c r="H18" s="34" t="s">
        <v>10</v>
      </c>
      <c r="I18" s="35" t="s">
        <v>10</v>
      </c>
      <c r="J18" s="34" t="s">
        <v>10</v>
      </c>
      <c r="K18" s="35" t="s">
        <v>10</v>
      </c>
      <c r="L18" s="34" t="s">
        <v>10</v>
      </c>
      <c r="M18" s="35" t="s">
        <v>10</v>
      </c>
      <c r="N18" s="34" t="s">
        <v>10</v>
      </c>
      <c r="O18" s="35" t="s">
        <v>10</v>
      </c>
      <c r="P18" s="34" t="s">
        <v>10</v>
      </c>
      <c r="Q18" s="35" t="s">
        <v>10</v>
      </c>
      <c r="R18" s="34" t="s">
        <v>10</v>
      </c>
      <c r="S18" s="35" t="s">
        <v>10</v>
      </c>
      <c r="T18" s="34" t="s">
        <v>10</v>
      </c>
      <c r="U18" s="35" t="s">
        <v>10</v>
      </c>
      <c r="V18" s="34" t="s">
        <v>10</v>
      </c>
      <c r="W18" s="35" t="s">
        <v>10</v>
      </c>
      <c r="X18" s="34" t="s">
        <v>10</v>
      </c>
      <c r="Y18" s="35" t="s">
        <v>10</v>
      </c>
      <c r="Z18" s="34" t="s">
        <v>10</v>
      </c>
      <c r="AA18" s="35" t="s">
        <v>10</v>
      </c>
      <c r="AB18" s="27" t="s">
        <v>77</v>
      </c>
      <c r="AC18" s="22" t="s">
        <v>399</v>
      </c>
      <c r="AD18" s="27" t="s">
        <v>93</v>
      </c>
      <c r="AE18" s="22" t="s">
        <v>94</v>
      </c>
      <c r="AF18" s="27" t="s">
        <v>10</v>
      </c>
      <c r="AG18" s="22" t="s">
        <v>10</v>
      </c>
      <c r="AH18" s="27" t="s">
        <v>10</v>
      </c>
      <c r="AI18" s="22" t="s">
        <v>10</v>
      </c>
      <c r="AJ18" s="27" t="s">
        <v>10</v>
      </c>
      <c r="AK18" s="22" t="s">
        <v>10</v>
      </c>
      <c r="AL18" s="27" t="s">
        <v>10</v>
      </c>
      <c r="AM18" s="22" t="s">
        <v>10</v>
      </c>
      <c r="AN18" s="27" t="s">
        <v>10</v>
      </c>
      <c r="AO18" s="22" t="s">
        <v>10</v>
      </c>
      <c r="AP18" s="27" t="s">
        <v>76</v>
      </c>
      <c r="AQ18" s="22" t="s">
        <v>767</v>
      </c>
      <c r="AR18" s="27" t="s">
        <v>673</v>
      </c>
      <c r="AS18" s="22" t="s">
        <v>774</v>
      </c>
      <c r="AT18" s="27" t="s">
        <v>666</v>
      </c>
      <c r="AU18" s="22" t="s">
        <v>773</v>
      </c>
      <c r="AV18" s="27" t="s">
        <v>10</v>
      </c>
      <c r="AW18" s="22" t="s">
        <v>10</v>
      </c>
      <c r="AX18" s="27" t="s">
        <v>277</v>
      </c>
      <c r="AY18" s="22" t="s">
        <v>668</v>
      </c>
      <c r="AZ18" s="27" t="s">
        <v>443</v>
      </c>
      <c r="BA18" s="22" t="s">
        <v>402</v>
      </c>
      <c r="BB18" s="27" t="s">
        <v>278</v>
      </c>
      <c r="BC18" s="22" t="s">
        <v>669</v>
      </c>
      <c r="BD18" s="27" t="s">
        <v>683</v>
      </c>
      <c r="BE18" s="22" t="s">
        <v>842</v>
      </c>
    </row>
    <row r="19" spans="1:57" ht="7.35" customHeight="1" x14ac:dyDescent="0.25">
      <c r="A19" s="56">
        <v>18</v>
      </c>
      <c r="B19" s="37" t="s">
        <v>701</v>
      </c>
      <c r="C19" s="29" t="s">
        <v>823</v>
      </c>
      <c r="D19" s="34" t="s">
        <v>10</v>
      </c>
      <c r="E19" s="35" t="s">
        <v>10</v>
      </c>
      <c r="F19" s="34" t="s">
        <v>81</v>
      </c>
      <c r="G19" s="35" t="s">
        <v>696</v>
      </c>
      <c r="H19" s="34" t="s">
        <v>10</v>
      </c>
      <c r="I19" s="35" t="s">
        <v>10</v>
      </c>
      <c r="J19" s="34" t="s">
        <v>10</v>
      </c>
      <c r="K19" s="35" t="s">
        <v>10</v>
      </c>
      <c r="L19" s="34" t="s">
        <v>10</v>
      </c>
      <c r="M19" s="35" t="s">
        <v>10</v>
      </c>
      <c r="N19" s="34" t="s">
        <v>10</v>
      </c>
      <c r="O19" s="35" t="s">
        <v>10</v>
      </c>
      <c r="P19" s="34" t="s">
        <v>10</v>
      </c>
      <c r="Q19" s="35" t="s">
        <v>10</v>
      </c>
      <c r="R19" s="34" t="s">
        <v>10</v>
      </c>
      <c r="S19" s="35" t="s">
        <v>10</v>
      </c>
      <c r="T19" s="34" t="s">
        <v>10</v>
      </c>
      <c r="U19" s="35" t="s">
        <v>10</v>
      </c>
      <c r="V19" s="34" t="s">
        <v>10</v>
      </c>
      <c r="W19" s="35" t="s">
        <v>10</v>
      </c>
      <c r="X19" s="34" t="s">
        <v>10</v>
      </c>
      <c r="Y19" s="35" t="s">
        <v>10</v>
      </c>
      <c r="Z19" s="34" t="s">
        <v>10</v>
      </c>
      <c r="AA19" s="35" t="s">
        <v>10</v>
      </c>
      <c r="AB19" s="27" t="s">
        <v>77</v>
      </c>
      <c r="AC19" s="22" t="s">
        <v>400</v>
      </c>
      <c r="AD19" s="27" t="s">
        <v>93</v>
      </c>
      <c r="AE19" s="22" t="s">
        <v>94</v>
      </c>
      <c r="AF19" s="27" t="s">
        <v>10</v>
      </c>
      <c r="AG19" s="22" t="s">
        <v>10</v>
      </c>
      <c r="AH19" s="27" t="s">
        <v>10</v>
      </c>
      <c r="AI19" s="22" t="s">
        <v>10</v>
      </c>
      <c r="AJ19" s="27" t="s">
        <v>10</v>
      </c>
      <c r="AK19" s="22" t="s">
        <v>10</v>
      </c>
      <c r="AL19" s="27" t="s">
        <v>10</v>
      </c>
      <c r="AM19" s="22" t="s">
        <v>10</v>
      </c>
      <c r="AN19" s="27" t="s">
        <v>10</v>
      </c>
      <c r="AO19" s="22" t="s">
        <v>10</v>
      </c>
      <c r="AP19" s="27" t="s">
        <v>76</v>
      </c>
      <c r="AQ19" s="22" t="s">
        <v>768</v>
      </c>
      <c r="AR19" s="27" t="s">
        <v>673</v>
      </c>
      <c r="AS19" s="22" t="s">
        <v>774</v>
      </c>
      <c r="AT19" s="27" t="s">
        <v>666</v>
      </c>
      <c r="AU19" s="22" t="s">
        <v>773</v>
      </c>
      <c r="AV19" s="27" t="s">
        <v>10</v>
      </c>
      <c r="AW19" s="22" t="s">
        <v>10</v>
      </c>
      <c r="AX19" s="27" t="s">
        <v>277</v>
      </c>
      <c r="AY19" s="22" t="s">
        <v>668</v>
      </c>
      <c r="AZ19" s="27" t="s">
        <v>443</v>
      </c>
      <c r="BA19" s="22" t="s">
        <v>402</v>
      </c>
      <c r="BB19" s="27" t="s">
        <v>278</v>
      </c>
      <c r="BC19" s="22" t="s">
        <v>669</v>
      </c>
      <c r="BD19" s="27" t="s">
        <v>683</v>
      </c>
      <c r="BE19" s="22" t="s">
        <v>842</v>
      </c>
    </row>
    <row r="20" spans="1:57" ht="7.35" customHeight="1" x14ac:dyDescent="0.25">
      <c r="A20" s="56">
        <v>19</v>
      </c>
      <c r="B20" s="37" t="s">
        <v>702</v>
      </c>
      <c r="C20" s="29" t="s">
        <v>823</v>
      </c>
      <c r="D20" s="34" t="s">
        <v>10</v>
      </c>
      <c r="E20" s="35" t="s">
        <v>10</v>
      </c>
      <c r="F20" s="34" t="s">
        <v>81</v>
      </c>
      <c r="G20" s="35" t="s">
        <v>696</v>
      </c>
      <c r="H20" s="34" t="s">
        <v>10</v>
      </c>
      <c r="I20" s="35" t="s">
        <v>10</v>
      </c>
      <c r="J20" s="34" t="s">
        <v>10</v>
      </c>
      <c r="K20" s="35" t="s">
        <v>10</v>
      </c>
      <c r="L20" s="34" t="s">
        <v>10</v>
      </c>
      <c r="M20" s="35" t="s">
        <v>10</v>
      </c>
      <c r="N20" s="34" t="s">
        <v>10</v>
      </c>
      <c r="O20" s="35" t="s">
        <v>10</v>
      </c>
      <c r="P20" s="34" t="s">
        <v>10</v>
      </c>
      <c r="Q20" s="35" t="s">
        <v>10</v>
      </c>
      <c r="R20" s="34" t="s">
        <v>10</v>
      </c>
      <c r="S20" s="35" t="s">
        <v>10</v>
      </c>
      <c r="T20" s="34" t="s">
        <v>10</v>
      </c>
      <c r="U20" s="35" t="s">
        <v>10</v>
      </c>
      <c r="V20" s="34" t="s">
        <v>10</v>
      </c>
      <c r="W20" s="35" t="s">
        <v>10</v>
      </c>
      <c r="X20" s="34" t="s">
        <v>10</v>
      </c>
      <c r="Y20" s="35" t="s">
        <v>10</v>
      </c>
      <c r="Z20" s="34" t="s">
        <v>10</v>
      </c>
      <c r="AA20" s="35" t="s">
        <v>10</v>
      </c>
      <c r="AB20" s="27" t="s">
        <v>77</v>
      </c>
      <c r="AC20" s="22" t="s">
        <v>401</v>
      </c>
      <c r="AD20" s="27" t="s">
        <v>93</v>
      </c>
      <c r="AE20" s="22" t="s">
        <v>94</v>
      </c>
      <c r="AF20" s="27" t="s">
        <v>10</v>
      </c>
      <c r="AG20" s="22" t="s">
        <v>10</v>
      </c>
      <c r="AH20" s="27" t="s">
        <v>10</v>
      </c>
      <c r="AI20" s="22" t="s">
        <v>10</v>
      </c>
      <c r="AJ20" s="27" t="s">
        <v>10</v>
      </c>
      <c r="AK20" s="22" t="s">
        <v>10</v>
      </c>
      <c r="AL20" s="27" t="s">
        <v>10</v>
      </c>
      <c r="AM20" s="22" t="s">
        <v>10</v>
      </c>
      <c r="AN20" s="27" t="s">
        <v>10</v>
      </c>
      <c r="AO20" s="22" t="s">
        <v>10</v>
      </c>
      <c r="AP20" s="27" t="s">
        <v>76</v>
      </c>
      <c r="AQ20" s="22" t="s">
        <v>769</v>
      </c>
      <c r="AR20" s="27" t="s">
        <v>673</v>
      </c>
      <c r="AS20" s="22" t="s">
        <v>774</v>
      </c>
      <c r="AT20" s="27" t="s">
        <v>666</v>
      </c>
      <c r="AU20" s="22" t="s">
        <v>773</v>
      </c>
      <c r="AV20" s="27" t="s">
        <v>10</v>
      </c>
      <c r="AW20" s="22" t="s">
        <v>10</v>
      </c>
      <c r="AX20" s="27" t="s">
        <v>277</v>
      </c>
      <c r="AY20" s="22" t="s">
        <v>668</v>
      </c>
      <c r="AZ20" s="27" t="s">
        <v>443</v>
      </c>
      <c r="BA20" s="22" t="s">
        <v>402</v>
      </c>
      <c r="BB20" s="27" t="s">
        <v>278</v>
      </c>
      <c r="BC20" s="22" t="s">
        <v>669</v>
      </c>
      <c r="BD20" s="27" t="s">
        <v>683</v>
      </c>
      <c r="BE20" s="22" t="s">
        <v>842</v>
      </c>
    </row>
    <row r="21" spans="1:57" ht="7.35" customHeight="1" x14ac:dyDescent="0.25">
      <c r="A21" s="56">
        <v>20</v>
      </c>
      <c r="B21" s="37" t="s">
        <v>112</v>
      </c>
      <c r="C21" s="30" t="s">
        <v>820</v>
      </c>
      <c r="D21" s="34" t="s">
        <v>10</v>
      </c>
      <c r="E21" s="35" t="s">
        <v>10</v>
      </c>
      <c r="F21" s="34" t="s">
        <v>81</v>
      </c>
      <c r="G21" s="35" t="s">
        <v>703</v>
      </c>
      <c r="H21" s="34" t="s">
        <v>10</v>
      </c>
      <c r="I21" s="35" t="s">
        <v>10</v>
      </c>
      <c r="J21" s="34" t="s">
        <v>10</v>
      </c>
      <c r="K21" s="35" t="s">
        <v>10</v>
      </c>
      <c r="L21" s="34" t="s">
        <v>10</v>
      </c>
      <c r="M21" s="35" t="s">
        <v>10</v>
      </c>
      <c r="N21" s="34" t="s">
        <v>10</v>
      </c>
      <c r="O21" s="35" t="s">
        <v>10</v>
      </c>
      <c r="P21" s="34" t="s">
        <v>10</v>
      </c>
      <c r="Q21" s="35" t="s">
        <v>10</v>
      </c>
      <c r="R21" s="34" t="s">
        <v>10</v>
      </c>
      <c r="S21" s="35" t="s">
        <v>10</v>
      </c>
      <c r="T21" s="34" t="s">
        <v>10</v>
      </c>
      <c r="U21" s="35" t="s">
        <v>10</v>
      </c>
      <c r="V21" s="34" t="s">
        <v>10</v>
      </c>
      <c r="W21" s="35" t="s">
        <v>10</v>
      </c>
      <c r="X21" s="34" t="s">
        <v>10</v>
      </c>
      <c r="Y21" s="35" t="s">
        <v>10</v>
      </c>
      <c r="Z21" s="34" t="s">
        <v>10</v>
      </c>
      <c r="AA21" s="35" t="s">
        <v>10</v>
      </c>
      <c r="AB21" s="27" t="s">
        <v>77</v>
      </c>
      <c r="AC21" s="22" t="s">
        <v>102</v>
      </c>
      <c r="AD21" s="27" t="s">
        <v>93</v>
      </c>
      <c r="AE21" s="22" t="s">
        <v>94</v>
      </c>
      <c r="AF21" s="27" t="s">
        <v>10</v>
      </c>
      <c r="AG21" s="22" t="s">
        <v>10</v>
      </c>
      <c r="AH21" s="27" t="s">
        <v>84</v>
      </c>
      <c r="AI21" s="22" t="s">
        <v>86</v>
      </c>
      <c r="AJ21" s="27" t="s">
        <v>103</v>
      </c>
      <c r="AK21" s="22" t="s">
        <v>86</v>
      </c>
      <c r="AL21" s="27" t="s">
        <v>10</v>
      </c>
      <c r="AM21" s="22" t="s">
        <v>10</v>
      </c>
      <c r="AN21" s="27" t="s">
        <v>10</v>
      </c>
      <c r="AO21" s="22" t="s">
        <v>10</v>
      </c>
      <c r="AP21" s="27" t="s">
        <v>76</v>
      </c>
      <c r="AQ21" s="22" t="s">
        <v>770</v>
      </c>
      <c r="AR21" s="27" t="s">
        <v>673</v>
      </c>
      <c r="AS21" s="22" t="s">
        <v>774</v>
      </c>
      <c r="AT21" s="27" t="s">
        <v>666</v>
      </c>
      <c r="AU21" s="22" t="s">
        <v>773</v>
      </c>
      <c r="AV21" s="27" t="s">
        <v>10</v>
      </c>
      <c r="AW21" s="22" t="s">
        <v>10</v>
      </c>
      <c r="AX21" s="27" t="s">
        <v>277</v>
      </c>
      <c r="AY21" s="22" t="s">
        <v>667</v>
      </c>
      <c r="AZ21" s="27" t="s">
        <v>443</v>
      </c>
      <c r="BA21" s="22" t="s">
        <v>445</v>
      </c>
      <c r="BB21" s="27" t="s">
        <v>10</v>
      </c>
      <c r="BC21" s="22" t="s">
        <v>10</v>
      </c>
      <c r="BD21" s="27" t="s">
        <v>683</v>
      </c>
      <c r="BE21" s="22" t="s">
        <v>843</v>
      </c>
    </row>
    <row r="22" spans="1:57" ht="7.35" customHeight="1" x14ac:dyDescent="0.25">
      <c r="A22" s="56">
        <v>21</v>
      </c>
      <c r="B22" s="37" t="s">
        <v>116</v>
      </c>
      <c r="C22" s="30" t="s">
        <v>820</v>
      </c>
      <c r="D22" s="34" t="s">
        <v>10</v>
      </c>
      <c r="E22" s="35" t="s">
        <v>10</v>
      </c>
      <c r="F22" s="34" t="s">
        <v>81</v>
      </c>
      <c r="G22" s="35" t="s">
        <v>703</v>
      </c>
      <c r="H22" s="34" t="s">
        <v>10</v>
      </c>
      <c r="I22" s="35" t="s">
        <v>10</v>
      </c>
      <c r="J22" s="34" t="s">
        <v>10</v>
      </c>
      <c r="K22" s="35" t="s">
        <v>10</v>
      </c>
      <c r="L22" s="34" t="s">
        <v>10</v>
      </c>
      <c r="M22" s="35" t="s">
        <v>10</v>
      </c>
      <c r="N22" s="34" t="s">
        <v>10</v>
      </c>
      <c r="O22" s="35" t="s">
        <v>10</v>
      </c>
      <c r="P22" s="34" t="s">
        <v>10</v>
      </c>
      <c r="Q22" s="35" t="s">
        <v>10</v>
      </c>
      <c r="R22" s="34" t="s">
        <v>10</v>
      </c>
      <c r="S22" s="35" t="s">
        <v>10</v>
      </c>
      <c r="T22" s="34" t="s">
        <v>10</v>
      </c>
      <c r="U22" s="35" t="s">
        <v>10</v>
      </c>
      <c r="V22" s="34" t="s">
        <v>10</v>
      </c>
      <c r="W22" s="35" t="s">
        <v>10</v>
      </c>
      <c r="X22" s="34" t="s">
        <v>10</v>
      </c>
      <c r="Y22" s="35" t="s">
        <v>10</v>
      </c>
      <c r="Z22" s="34" t="s">
        <v>10</v>
      </c>
      <c r="AA22" s="35" t="s">
        <v>10</v>
      </c>
      <c r="AB22" s="27" t="s">
        <v>77</v>
      </c>
      <c r="AC22" s="22" t="s">
        <v>105</v>
      </c>
      <c r="AD22" s="27" t="s">
        <v>93</v>
      </c>
      <c r="AE22" s="22" t="s">
        <v>94</v>
      </c>
      <c r="AF22" s="27" t="s">
        <v>10</v>
      </c>
      <c r="AG22" s="22" t="s">
        <v>10</v>
      </c>
      <c r="AH22" s="27" t="s">
        <v>84</v>
      </c>
      <c r="AI22" s="22" t="s">
        <v>109</v>
      </c>
      <c r="AJ22" s="27" t="s">
        <v>103</v>
      </c>
      <c r="AK22" s="22" t="s">
        <v>88</v>
      </c>
      <c r="AL22" s="27" t="s">
        <v>10</v>
      </c>
      <c r="AM22" s="22" t="s">
        <v>10</v>
      </c>
      <c r="AN22" s="27" t="s">
        <v>10</v>
      </c>
      <c r="AO22" s="22" t="s">
        <v>10</v>
      </c>
      <c r="AP22" s="27" t="s">
        <v>76</v>
      </c>
      <c r="AQ22" s="22" t="s">
        <v>771</v>
      </c>
      <c r="AR22" s="27" t="s">
        <v>673</v>
      </c>
      <c r="AS22" s="22" t="s">
        <v>774</v>
      </c>
      <c r="AT22" s="27" t="s">
        <v>666</v>
      </c>
      <c r="AU22" s="22" t="s">
        <v>773</v>
      </c>
      <c r="AV22" s="27" t="s">
        <v>10</v>
      </c>
      <c r="AW22" s="22" t="s">
        <v>10</v>
      </c>
      <c r="AX22" s="27" t="s">
        <v>277</v>
      </c>
      <c r="AY22" s="22" t="s">
        <v>667</v>
      </c>
      <c r="AZ22" s="27" t="s">
        <v>443</v>
      </c>
      <c r="BA22" s="22" t="s">
        <v>445</v>
      </c>
      <c r="BB22" s="27" t="s">
        <v>10</v>
      </c>
      <c r="BC22" s="22" t="s">
        <v>10</v>
      </c>
      <c r="BD22" s="27" t="s">
        <v>683</v>
      </c>
      <c r="BE22" s="22" t="s">
        <v>843</v>
      </c>
    </row>
    <row r="23" spans="1:57" ht="7.35" customHeight="1" x14ac:dyDescent="0.25">
      <c r="A23" s="56">
        <v>22</v>
      </c>
      <c r="B23" s="37" t="s">
        <v>113</v>
      </c>
      <c r="C23" s="30" t="s">
        <v>820</v>
      </c>
      <c r="D23" s="34" t="s">
        <v>10</v>
      </c>
      <c r="E23" s="35" t="s">
        <v>10</v>
      </c>
      <c r="F23" s="34" t="s">
        <v>81</v>
      </c>
      <c r="G23" s="35" t="s">
        <v>703</v>
      </c>
      <c r="H23" s="34" t="s">
        <v>10</v>
      </c>
      <c r="I23" s="35" t="s">
        <v>10</v>
      </c>
      <c r="J23" s="34" t="s">
        <v>10</v>
      </c>
      <c r="K23" s="35" t="s">
        <v>10</v>
      </c>
      <c r="L23" s="34" t="s">
        <v>10</v>
      </c>
      <c r="M23" s="35" t="s">
        <v>10</v>
      </c>
      <c r="N23" s="34" t="s">
        <v>10</v>
      </c>
      <c r="O23" s="35" t="s">
        <v>10</v>
      </c>
      <c r="P23" s="34" t="s">
        <v>10</v>
      </c>
      <c r="Q23" s="35" t="s">
        <v>10</v>
      </c>
      <c r="R23" s="34" t="s">
        <v>10</v>
      </c>
      <c r="S23" s="35" t="s">
        <v>10</v>
      </c>
      <c r="T23" s="34" t="s">
        <v>10</v>
      </c>
      <c r="U23" s="35" t="s">
        <v>10</v>
      </c>
      <c r="V23" s="34" t="s">
        <v>10</v>
      </c>
      <c r="W23" s="35" t="s">
        <v>10</v>
      </c>
      <c r="X23" s="34" t="s">
        <v>10</v>
      </c>
      <c r="Y23" s="35" t="s">
        <v>10</v>
      </c>
      <c r="Z23" s="34" t="s">
        <v>10</v>
      </c>
      <c r="AA23" s="35" t="s">
        <v>10</v>
      </c>
      <c r="AB23" s="27" t="s">
        <v>77</v>
      </c>
      <c r="AC23" s="22" t="s">
        <v>97</v>
      </c>
      <c r="AD23" s="27" t="s">
        <v>93</v>
      </c>
      <c r="AE23" s="22" t="s">
        <v>94</v>
      </c>
      <c r="AF23" s="27" t="s">
        <v>10</v>
      </c>
      <c r="AG23" s="22" t="s">
        <v>10</v>
      </c>
      <c r="AH23" s="27" t="s">
        <v>84</v>
      </c>
      <c r="AI23" s="22" t="s">
        <v>85</v>
      </c>
      <c r="AJ23" s="27" t="s">
        <v>103</v>
      </c>
      <c r="AK23" s="22" t="s">
        <v>86</v>
      </c>
      <c r="AL23" s="27" t="s">
        <v>10</v>
      </c>
      <c r="AM23" s="22" t="s">
        <v>10</v>
      </c>
      <c r="AN23" s="27" t="s">
        <v>10</v>
      </c>
      <c r="AO23" s="22" t="s">
        <v>10</v>
      </c>
      <c r="AP23" s="27" t="s">
        <v>76</v>
      </c>
      <c r="AQ23" s="22" t="s">
        <v>770</v>
      </c>
      <c r="AR23" s="27" t="s">
        <v>673</v>
      </c>
      <c r="AS23" s="22" t="s">
        <v>774</v>
      </c>
      <c r="AT23" s="27" t="s">
        <v>666</v>
      </c>
      <c r="AU23" s="22" t="s">
        <v>773</v>
      </c>
      <c r="AV23" s="27" t="s">
        <v>10</v>
      </c>
      <c r="AW23" s="22" t="s">
        <v>10</v>
      </c>
      <c r="AX23" s="27" t="s">
        <v>277</v>
      </c>
      <c r="AY23" s="22" t="s">
        <v>667</v>
      </c>
      <c r="AZ23" s="27" t="s">
        <v>443</v>
      </c>
      <c r="BA23" s="22" t="s">
        <v>445</v>
      </c>
      <c r="BB23" s="27" t="s">
        <v>10</v>
      </c>
      <c r="BC23" s="22" t="s">
        <v>10</v>
      </c>
      <c r="BD23" s="27" t="s">
        <v>683</v>
      </c>
      <c r="BE23" s="22" t="s">
        <v>843</v>
      </c>
    </row>
    <row r="24" spans="1:57" ht="7.35" customHeight="1" x14ac:dyDescent="0.25">
      <c r="A24" s="56">
        <v>23</v>
      </c>
      <c r="B24" s="37" t="s">
        <v>114</v>
      </c>
      <c r="C24" s="30" t="s">
        <v>820</v>
      </c>
      <c r="D24" s="34" t="s">
        <v>10</v>
      </c>
      <c r="E24" s="35" t="s">
        <v>10</v>
      </c>
      <c r="F24" s="34" t="s">
        <v>81</v>
      </c>
      <c r="G24" s="35" t="s">
        <v>703</v>
      </c>
      <c r="H24" s="34" t="s">
        <v>10</v>
      </c>
      <c r="I24" s="35" t="s">
        <v>10</v>
      </c>
      <c r="J24" s="34" t="s">
        <v>10</v>
      </c>
      <c r="K24" s="35" t="s">
        <v>10</v>
      </c>
      <c r="L24" s="34" t="s">
        <v>10</v>
      </c>
      <c r="M24" s="35" t="s">
        <v>10</v>
      </c>
      <c r="N24" s="34" t="s">
        <v>10</v>
      </c>
      <c r="O24" s="35" t="s">
        <v>10</v>
      </c>
      <c r="P24" s="34" t="s">
        <v>10</v>
      </c>
      <c r="Q24" s="35" t="s">
        <v>10</v>
      </c>
      <c r="R24" s="34" t="s">
        <v>10</v>
      </c>
      <c r="S24" s="35" t="s">
        <v>10</v>
      </c>
      <c r="T24" s="34" t="s">
        <v>10</v>
      </c>
      <c r="U24" s="35" t="s">
        <v>10</v>
      </c>
      <c r="V24" s="34" t="s">
        <v>10</v>
      </c>
      <c r="W24" s="35" t="s">
        <v>10</v>
      </c>
      <c r="X24" s="34" t="s">
        <v>10</v>
      </c>
      <c r="Y24" s="35" t="s">
        <v>10</v>
      </c>
      <c r="Z24" s="34" t="s">
        <v>10</v>
      </c>
      <c r="AA24" s="35" t="s">
        <v>10</v>
      </c>
      <c r="AB24" s="27" t="s">
        <v>77</v>
      </c>
      <c r="AC24" s="22" t="s">
        <v>104</v>
      </c>
      <c r="AD24" s="27" t="s">
        <v>93</v>
      </c>
      <c r="AE24" s="22" t="s">
        <v>94</v>
      </c>
      <c r="AF24" s="27" t="s">
        <v>10</v>
      </c>
      <c r="AG24" s="22" t="s">
        <v>10</v>
      </c>
      <c r="AH24" s="27" t="s">
        <v>84</v>
      </c>
      <c r="AI24" s="22" t="s">
        <v>108</v>
      </c>
      <c r="AJ24" s="27" t="s">
        <v>103</v>
      </c>
      <c r="AK24" s="22" t="s">
        <v>88</v>
      </c>
      <c r="AL24" s="27" t="s">
        <v>10</v>
      </c>
      <c r="AM24" s="22" t="s">
        <v>10</v>
      </c>
      <c r="AN24" s="27" t="s">
        <v>10</v>
      </c>
      <c r="AO24" s="22" t="s">
        <v>10</v>
      </c>
      <c r="AP24" s="27" t="s">
        <v>76</v>
      </c>
      <c r="AQ24" s="22" t="s">
        <v>765</v>
      </c>
      <c r="AR24" s="27" t="s">
        <v>673</v>
      </c>
      <c r="AS24" s="22" t="s">
        <v>774</v>
      </c>
      <c r="AT24" s="27" t="s">
        <v>666</v>
      </c>
      <c r="AU24" s="22" t="s">
        <v>773</v>
      </c>
      <c r="AV24" s="27" t="s">
        <v>10</v>
      </c>
      <c r="AW24" s="22" t="s">
        <v>10</v>
      </c>
      <c r="AX24" s="27" t="s">
        <v>277</v>
      </c>
      <c r="AY24" s="22" t="s">
        <v>667</v>
      </c>
      <c r="AZ24" s="27" t="s">
        <v>443</v>
      </c>
      <c r="BA24" s="22" t="s">
        <v>445</v>
      </c>
      <c r="BB24" s="27" t="s">
        <v>10</v>
      </c>
      <c r="BC24" s="22" t="s">
        <v>10</v>
      </c>
      <c r="BD24" s="27" t="s">
        <v>683</v>
      </c>
      <c r="BE24" s="22" t="s">
        <v>843</v>
      </c>
    </row>
    <row r="25" spans="1:57" ht="7.35" customHeight="1" x14ac:dyDescent="0.25">
      <c r="A25" s="56">
        <v>24</v>
      </c>
      <c r="B25" s="37" t="s">
        <v>115</v>
      </c>
      <c r="C25" s="30" t="s">
        <v>820</v>
      </c>
      <c r="D25" s="34" t="s">
        <v>10</v>
      </c>
      <c r="E25" s="35" t="s">
        <v>10</v>
      </c>
      <c r="F25" s="34" t="s">
        <v>81</v>
      </c>
      <c r="G25" s="35" t="s">
        <v>703</v>
      </c>
      <c r="H25" s="34" t="s">
        <v>10</v>
      </c>
      <c r="I25" s="35" t="s">
        <v>10</v>
      </c>
      <c r="J25" s="34" t="s">
        <v>10</v>
      </c>
      <c r="K25" s="35" t="s">
        <v>10</v>
      </c>
      <c r="L25" s="34" t="s">
        <v>10</v>
      </c>
      <c r="M25" s="35" t="s">
        <v>10</v>
      </c>
      <c r="N25" s="34" t="s">
        <v>10</v>
      </c>
      <c r="O25" s="35" t="s">
        <v>10</v>
      </c>
      <c r="P25" s="34" t="s">
        <v>10</v>
      </c>
      <c r="Q25" s="35" t="s">
        <v>10</v>
      </c>
      <c r="R25" s="34" t="s">
        <v>10</v>
      </c>
      <c r="S25" s="35" t="s">
        <v>10</v>
      </c>
      <c r="T25" s="34" t="s">
        <v>10</v>
      </c>
      <c r="U25" s="35" t="s">
        <v>10</v>
      </c>
      <c r="V25" s="34" t="s">
        <v>10</v>
      </c>
      <c r="W25" s="35" t="s">
        <v>10</v>
      </c>
      <c r="X25" s="34" t="s">
        <v>10</v>
      </c>
      <c r="Y25" s="35" t="s">
        <v>10</v>
      </c>
      <c r="Z25" s="34" t="s">
        <v>10</v>
      </c>
      <c r="AA25" s="35" t="s">
        <v>10</v>
      </c>
      <c r="AB25" s="27" t="s">
        <v>77</v>
      </c>
      <c r="AC25" s="22" t="s">
        <v>106</v>
      </c>
      <c r="AD25" s="27" t="s">
        <v>93</v>
      </c>
      <c r="AE25" s="22" t="s">
        <v>94</v>
      </c>
      <c r="AF25" s="27" t="s">
        <v>10</v>
      </c>
      <c r="AG25" s="22" t="s">
        <v>10</v>
      </c>
      <c r="AH25" s="27" t="s">
        <v>84</v>
      </c>
      <c r="AI25" s="22" t="s">
        <v>107</v>
      </c>
      <c r="AJ25" s="27" t="s">
        <v>103</v>
      </c>
      <c r="AK25" s="22" t="s">
        <v>88</v>
      </c>
      <c r="AL25" s="27" t="s">
        <v>10</v>
      </c>
      <c r="AM25" s="22" t="s">
        <v>10</v>
      </c>
      <c r="AN25" s="27" t="s">
        <v>10</v>
      </c>
      <c r="AO25" s="22" t="s">
        <v>10</v>
      </c>
      <c r="AP25" s="27" t="s">
        <v>76</v>
      </c>
      <c r="AQ25" s="22" t="s">
        <v>765</v>
      </c>
      <c r="AR25" s="27" t="s">
        <v>673</v>
      </c>
      <c r="AS25" s="22" t="s">
        <v>774</v>
      </c>
      <c r="AT25" s="27" t="s">
        <v>666</v>
      </c>
      <c r="AU25" s="22" t="s">
        <v>773</v>
      </c>
      <c r="AV25" s="27" t="s">
        <v>10</v>
      </c>
      <c r="AW25" s="22" t="s">
        <v>10</v>
      </c>
      <c r="AX25" s="27" t="s">
        <v>277</v>
      </c>
      <c r="AY25" s="22" t="s">
        <v>667</v>
      </c>
      <c r="AZ25" s="27" t="s">
        <v>443</v>
      </c>
      <c r="BA25" s="22" t="s">
        <v>445</v>
      </c>
      <c r="BB25" s="27" t="s">
        <v>10</v>
      </c>
      <c r="BC25" s="22" t="s">
        <v>10</v>
      </c>
      <c r="BD25" s="27" t="s">
        <v>683</v>
      </c>
      <c r="BE25" s="22" t="s">
        <v>843</v>
      </c>
    </row>
    <row r="26" spans="1:57" ht="7.35" customHeight="1" x14ac:dyDescent="0.25">
      <c r="A26" s="56">
        <v>25</v>
      </c>
      <c r="B26" s="37" t="s">
        <v>268</v>
      </c>
      <c r="C26" s="30" t="s">
        <v>820</v>
      </c>
      <c r="D26" s="34" t="s">
        <v>10</v>
      </c>
      <c r="E26" s="35" t="s">
        <v>10</v>
      </c>
      <c r="F26" s="34" t="s">
        <v>81</v>
      </c>
      <c r="G26" s="35" t="s">
        <v>703</v>
      </c>
      <c r="H26" s="34" t="s">
        <v>10</v>
      </c>
      <c r="I26" s="35" t="s">
        <v>10</v>
      </c>
      <c r="J26" s="34" t="s">
        <v>10</v>
      </c>
      <c r="K26" s="35" t="s">
        <v>10</v>
      </c>
      <c r="L26" s="34" t="s">
        <v>10</v>
      </c>
      <c r="M26" s="35" t="s">
        <v>10</v>
      </c>
      <c r="N26" s="34" t="s">
        <v>10</v>
      </c>
      <c r="O26" s="35" t="s">
        <v>10</v>
      </c>
      <c r="P26" s="34" t="s">
        <v>10</v>
      </c>
      <c r="Q26" s="35" t="s">
        <v>10</v>
      </c>
      <c r="R26" s="34" t="s">
        <v>10</v>
      </c>
      <c r="S26" s="35" t="s">
        <v>10</v>
      </c>
      <c r="T26" s="34" t="s">
        <v>10</v>
      </c>
      <c r="U26" s="35" t="s">
        <v>10</v>
      </c>
      <c r="V26" s="34" t="s">
        <v>10</v>
      </c>
      <c r="W26" s="35" t="s">
        <v>10</v>
      </c>
      <c r="X26" s="34" t="s">
        <v>10</v>
      </c>
      <c r="Y26" s="35" t="s">
        <v>10</v>
      </c>
      <c r="Z26" s="34" t="s">
        <v>10</v>
      </c>
      <c r="AA26" s="35" t="s">
        <v>10</v>
      </c>
      <c r="AB26" s="27" t="s">
        <v>77</v>
      </c>
      <c r="AC26" s="22" t="s">
        <v>110</v>
      </c>
      <c r="AD26" s="27" t="s">
        <v>93</v>
      </c>
      <c r="AE26" s="22" t="s">
        <v>94</v>
      </c>
      <c r="AF26" s="27" t="s">
        <v>10</v>
      </c>
      <c r="AG26" s="22" t="s">
        <v>10</v>
      </c>
      <c r="AH26" s="27" t="s">
        <v>84</v>
      </c>
      <c r="AI26" s="22" t="s">
        <v>111</v>
      </c>
      <c r="AJ26" s="27" t="s">
        <v>103</v>
      </c>
      <c r="AK26" s="22" t="s">
        <v>88</v>
      </c>
      <c r="AL26" s="27" t="s">
        <v>10</v>
      </c>
      <c r="AM26" s="22" t="s">
        <v>10</v>
      </c>
      <c r="AN26" s="27" t="s">
        <v>10</v>
      </c>
      <c r="AO26" s="22" t="s">
        <v>10</v>
      </c>
      <c r="AP26" s="27" t="s">
        <v>76</v>
      </c>
      <c r="AQ26" s="22" t="s">
        <v>765</v>
      </c>
      <c r="AR26" s="27" t="s">
        <v>673</v>
      </c>
      <c r="AS26" s="22" t="s">
        <v>774</v>
      </c>
      <c r="AT26" s="27" t="s">
        <v>666</v>
      </c>
      <c r="AU26" s="22" t="s">
        <v>773</v>
      </c>
      <c r="AV26" s="27" t="s">
        <v>10</v>
      </c>
      <c r="AW26" s="22" t="s">
        <v>10</v>
      </c>
      <c r="AX26" s="27" t="s">
        <v>277</v>
      </c>
      <c r="AY26" s="22" t="s">
        <v>667</v>
      </c>
      <c r="AZ26" s="27" t="s">
        <v>443</v>
      </c>
      <c r="BA26" s="22" t="s">
        <v>445</v>
      </c>
      <c r="BB26" s="27" t="s">
        <v>10</v>
      </c>
      <c r="BC26" s="22" t="s">
        <v>10</v>
      </c>
      <c r="BD26" s="27" t="s">
        <v>683</v>
      </c>
      <c r="BE26" s="22" t="s">
        <v>843</v>
      </c>
    </row>
    <row r="27" spans="1:57" ht="7.35" customHeight="1" x14ac:dyDescent="0.25">
      <c r="A27" s="56">
        <v>26</v>
      </c>
      <c r="B27" s="37" t="s">
        <v>143</v>
      </c>
      <c r="C27" s="30" t="s">
        <v>820</v>
      </c>
      <c r="D27" s="34" t="s">
        <v>10</v>
      </c>
      <c r="E27" s="35" t="s">
        <v>10</v>
      </c>
      <c r="F27" s="34" t="s">
        <v>81</v>
      </c>
      <c r="G27" s="35" t="s">
        <v>703</v>
      </c>
      <c r="H27" s="34" t="s">
        <v>10</v>
      </c>
      <c r="I27" s="35" t="s">
        <v>10</v>
      </c>
      <c r="J27" s="34" t="s">
        <v>10</v>
      </c>
      <c r="K27" s="35" t="s">
        <v>10</v>
      </c>
      <c r="L27" s="34" t="s">
        <v>10</v>
      </c>
      <c r="M27" s="35" t="s">
        <v>10</v>
      </c>
      <c r="N27" s="34" t="s">
        <v>10</v>
      </c>
      <c r="O27" s="35" t="s">
        <v>10</v>
      </c>
      <c r="P27" s="34" t="s">
        <v>10</v>
      </c>
      <c r="Q27" s="35" t="s">
        <v>10</v>
      </c>
      <c r="R27" s="34" t="s">
        <v>10</v>
      </c>
      <c r="S27" s="35" t="s">
        <v>10</v>
      </c>
      <c r="T27" s="34" t="s">
        <v>10</v>
      </c>
      <c r="U27" s="35" t="s">
        <v>10</v>
      </c>
      <c r="V27" s="34" t="s">
        <v>10</v>
      </c>
      <c r="W27" s="35" t="s">
        <v>10</v>
      </c>
      <c r="X27" s="34" t="s">
        <v>10</v>
      </c>
      <c r="Y27" s="35" t="s">
        <v>10</v>
      </c>
      <c r="Z27" s="34" t="s">
        <v>10</v>
      </c>
      <c r="AA27" s="35" t="s">
        <v>10</v>
      </c>
      <c r="AB27" s="27" t="s">
        <v>77</v>
      </c>
      <c r="AC27" s="22" t="s">
        <v>170</v>
      </c>
      <c r="AD27" s="27" t="s">
        <v>93</v>
      </c>
      <c r="AE27" s="22" t="s">
        <v>94</v>
      </c>
      <c r="AF27" s="27" t="s">
        <v>10</v>
      </c>
      <c r="AG27" s="22" t="s">
        <v>10</v>
      </c>
      <c r="AH27" s="27" t="s">
        <v>84</v>
      </c>
      <c r="AI27" s="22" t="s">
        <v>142</v>
      </c>
      <c r="AJ27" s="27" t="s">
        <v>103</v>
      </c>
      <c r="AK27" s="22" t="s">
        <v>85</v>
      </c>
      <c r="AL27" s="27" t="s">
        <v>10</v>
      </c>
      <c r="AM27" s="22" t="s">
        <v>10</v>
      </c>
      <c r="AN27" s="27" t="s">
        <v>10</v>
      </c>
      <c r="AO27" s="22" t="s">
        <v>10</v>
      </c>
      <c r="AP27" s="27" t="s">
        <v>76</v>
      </c>
      <c r="AQ27" s="22" t="s">
        <v>764</v>
      </c>
      <c r="AR27" s="27" t="s">
        <v>673</v>
      </c>
      <c r="AS27" s="22" t="s">
        <v>774</v>
      </c>
      <c r="AT27" s="27" t="s">
        <v>666</v>
      </c>
      <c r="AU27" s="22" t="s">
        <v>773</v>
      </c>
      <c r="AV27" s="27" t="s">
        <v>10</v>
      </c>
      <c r="AW27" s="22" t="s">
        <v>10</v>
      </c>
      <c r="AX27" s="27" t="s">
        <v>277</v>
      </c>
      <c r="AY27" s="22" t="s">
        <v>667</v>
      </c>
      <c r="AZ27" s="27" t="s">
        <v>443</v>
      </c>
      <c r="BA27" s="22" t="s">
        <v>445</v>
      </c>
      <c r="BB27" s="27" t="s">
        <v>10</v>
      </c>
      <c r="BC27" s="22" t="s">
        <v>10</v>
      </c>
      <c r="BD27" s="27" t="s">
        <v>683</v>
      </c>
      <c r="BE27" s="22" t="s">
        <v>843</v>
      </c>
    </row>
    <row r="28" spans="1:57" ht="7.35" customHeight="1" x14ac:dyDescent="0.25">
      <c r="A28" s="56">
        <v>27</v>
      </c>
      <c r="B28" s="37" t="s">
        <v>129</v>
      </c>
      <c r="C28" s="30" t="s">
        <v>820</v>
      </c>
      <c r="D28" s="34" t="s">
        <v>10</v>
      </c>
      <c r="E28" s="35" t="s">
        <v>10</v>
      </c>
      <c r="F28" s="34" t="s">
        <v>81</v>
      </c>
      <c r="G28" s="35" t="s">
        <v>703</v>
      </c>
      <c r="H28" s="34" t="s">
        <v>10</v>
      </c>
      <c r="I28" s="35" t="s">
        <v>10</v>
      </c>
      <c r="J28" s="34" t="s">
        <v>10</v>
      </c>
      <c r="K28" s="35" t="s">
        <v>10</v>
      </c>
      <c r="L28" s="34" t="s">
        <v>10</v>
      </c>
      <c r="M28" s="35" t="s">
        <v>10</v>
      </c>
      <c r="N28" s="34" t="s">
        <v>10</v>
      </c>
      <c r="O28" s="35" t="s">
        <v>10</v>
      </c>
      <c r="P28" s="34" t="s">
        <v>10</v>
      </c>
      <c r="Q28" s="35" t="s">
        <v>10</v>
      </c>
      <c r="R28" s="34" t="s">
        <v>10</v>
      </c>
      <c r="S28" s="35" t="s">
        <v>10</v>
      </c>
      <c r="T28" s="34" t="s">
        <v>10</v>
      </c>
      <c r="U28" s="35" t="s">
        <v>10</v>
      </c>
      <c r="V28" s="34" t="s">
        <v>10</v>
      </c>
      <c r="W28" s="35" t="s">
        <v>10</v>
      </c>
      <c r="X28" s="34" t="s">
        <v>10</v>
      </c>
      <c r="Y28" s="35" t="s">
        <v>10</v>
      </c>
      <c r="Z28" s="34" t="s">
        <v>10</v>
      </c>
      <c r="AA28" s="35" t="s">
        <v>10</v>
      </c>
      <c r="AB28" s="27" t="s">
        <v>77</v>
      </c>
      <c r="AC28" s="22" t="s">
        <v>171</v>
      </c>
      <c r="AD28" s="27" t="s">
        <v>93</v>
      </c>
      <c r="AE28" s="22" t="s">
        <v>94</v>
      </c>
      <c r="AF28" s="27" t="s">
        <v>10</v>
      </c>
      <c r="AG28" s="22" t="s">
        <v>10</v>
      </c>
      <c r="AH28" s="27" t="s">
        <v>84</v>
      </c>
      <c r="AI28" s="22" t="s">
        <v>133</v>
      </c>
      <c r="AJ28" s="27" t="s">
        <v>103</v>
      </c>
      <c r="AK28" s="22" t="s">
        <v>155</v>
      </c>
      <c r="AL28" s="27" t="s">
        <v>10</v>
      </c>
      <c r="AM28" s="22" t="s">
        <v>10</v>
      </c>
      <c r="AN28" s="27" t="s">
        <v>10</v>
      </c>
      <c r="AO28" s="22" t="s">
        <v>10</v>
      </c>
      <c r="AP28" s="27" t="s">
        <v>76</v>
      </c>
      <c r="AQ28" s="22" t="s">
        <v>772</v>
      </c>
      <c r="AR28" s="27" t="s">
        <v>673</v>
      </c>
      <c r="AS28" s="22" t="s">
        <v>774</v>
      </c>
      <c r="AT28" s="27" t="s">
        <v>666</v>
      </c>
      <c r="AU28" s="22" t="s">
        <v>773</v>
      </c>
      <c r="AV28" s="27" t="s">
        <v>10</v>
      </c>
      <c r="AW28" s="22" t="s">
        <v>10</v>
      </c>
      <c r="AX28" s="27" t="s">
        <v>277</v>
      </c>
      <c r="AY28" s="22" t="s">
        <v>667</v>
      </c>
      <c r="AZ28" s="27" t="s">
        <v>443</v>
      </c>
      <c r="BA28" s="22" t="s">
        <v>445</v>
      </c>
      <c r="BB28" s="27" t="s">
        <v>10</v>
      </c>
      <c r="BC28" s="22" t="s">
        <v>10</v>
      </c>
      <c r="BD28" s="27" t="s">
        <v>683</v>
      </c>
      <c r="BE28" s="22" t="s">
        <v>843</v>
      </c>
    </row>
    <row r="29" spans="1:57" ht="7.35" customHeight="1" x14ac:dyDescent="0.25">
      <c r="A29" s="56">
        <v>28</v>
      </c>
      <c r="B29" s="37" t="s">
        <v>130</v>
      </c>
      <c r="C29" s="30" t="s">
        <v>820</v>
      </c>
      <c r="D29" s="34" t="s">
        <v>10</v>
      </c>
      <c r="E29" s="35" t="s">
        <v>10</v>
      </c>
      <c r="F29" s="34" t="s">
        <v>81</v>
      </c>
      <c r="G29" s="35" t="s">
        <v>703</v>
      </c>
      <c r="H29" s="34" t="s">
        <v>10</v>
      </c>
      <c r="I29" s="35" t="s">
        <v>10</v>
      </c>
      <c r="J29" s="34" t="s">
        <v>10</v>
      </c>
      <c r="K29" s="35" t="s">
        <v>10</v>
      </c>
      <c r="L29" s="34" t="s">
        <v>10</v>
      </c>
      <c r="M29" s="35" t="s">
        <v>10</v>
      </c>
      <c r="N29" s="34" t="s">
        <v>10</v>
      </c>
      <c r="O29" s="35" t="s">
        <v>10</v>
      </c>
      <c r="P29" s="34" t="s">
        <v>10</v>
      </c>
      <c r="Q29" s="35" t="s">
        <v>10</v>
      </c>
      <c r="R29" s="34" t="s">
        <v>10</v>
      </c>
      <c r="S29" s="35" t="s">
        <v>10</v>
      </c>
      <c r="T29" s="34" t="s">
        <v>10</v>
      </c>
      <c r="U29" s="35" t="s">
        <v>10</v>
      </c>
      <c r="V29" s="34" t="s">
        <v>10</v>
      </c>
      <c r="W29" s="35" t="s">
        <v>10</v>
      </c>
      <c r="X29" s="34" t="s">
        <v>10</v>
      </c>
      <c r="Y29" s="35" t="s">
        <v>10</v>
      </c>
      <c r="Z29" s="34" t="s">
        <v>10</v>
      </c>
      <c r="AA29" s="35" t="s">
        <v>10</v>
      </c>
      <c r="AB29" s="27" t="s">
        <v>77</v>
      </c>
      <c r="AC29" s="22" t="s">
        <v>172</v>
      </c>
      <c r="AD29" s="27" t="s">
        <v>93</v>
      </c>
      <c r="AE29" s="22" t="s">
        <v>94</v>
      </c>
      <c r="AF29" s="27" t="s">
        <v>10</v>
      </c>
      <c r="AG29" s="22" t="s">
        <v>10</v>
      </c>
      <c r="AH29" s="27" t="s">
        <v>84</v>
      </c>
      <c r="AI29" s="22" t="s">
        <v>144</v>
      </c>
      <c r="AJ29" s="27" t="s">
        <v>103</v>
      </c>
      <c r="AK29" s="22" t="s">
        <v>88</v>
      </c>
      <c r="AL29" s="27" t="s">
        <v>10</v>
      </c>
      <c r="AM29" s="22" t="s">
        <v>10</v>
      </c>
      <c r="AN29" s="27" t="s">
        <v>10</v>
      </c>
      <c r="AO29" s="22" t="s">
        <v>10</v>
      </c>
      <c r="AP29" s="27" t="s">
        <v>76</v>
      </c>
      <c r="AQ29" s="22" t="s">
        <v>758</v>
      </c>
      <c r="AR29" s="27" t="s">
        <v>673</v>
      </c>
      <c r="AS29" s="22" t="s">
        <v>774</v>
      </c>
      <c r="AT29" s="27" t="s">
        <v>666</v>
      </c>
      <c r="AU29" s="22" t="s">
        <v>773</v>
      </c>
      <c r="AV29" s="27" t="s">
        <v>10</v>
      </c>
      <c r="AW29" s="22" t="s">
        <v>10</v>
      </c>
      <c r="AX29" s="27" t="s">
        <v>277</v>
      </c>
      <c r="AY29" s="22" t="s">
        <v>667</v>
      </c>
      <c r="AZ29" s="27" t="s">
        <v>443</v>
      </c>
      <c r="BA29" s="22" t="s">
        <v>445</v>
      </c>
      <c r="BB29" s="27" t="s">
        <v>10</v>
      </c>
      <c r="BC29" s="22" t="s">
        <v>10</v>
      </c>
      <c r="BD29" s="27" t="s">
        <v>683</v>
      </c>
      <c r="BE29" s="22" t="s">
        <v>843</v>
      </c>
    </row>
    <row r="30" spans="1:57" ht="7.35" customHeight="1" x14ac:dyDescent="0.25">
      <c r="A30" s="56">
        <v>29</v>
      </c>
      <c r="B30" s="37" t="s">
        <v>145</v>
      </c>
      <c r="C30" s="30" t="s">
        <v>820</v>
      </c>
      <c r="D30" s="34" t="s">
        <v>10</v>
      </c>
      <c r="E30" s="35" t="s">
        <v>10</v>
      </c>
      <c r="F30" s="34" t="s">
        <v>81</v>
      </c>
      <c r="G30" s="35" t="s">
        <v>703</v>
      </c>
      <c r="H30" s="34" t="s">
        <v>10</v>
      </c>
      <c r="I30" s="35" t="s">
        <v>10</v>
      </c>
      <c r="J30" s="34" t="s">
        <v>10</v>
      </c>
      <c r="K30" s="35" t="s">
        <v>10</v>
      </c>
      <c r="L30" s="34" t="s">
        <v>10</v>
      </c>
      <c r="M30" s="35" t="s">
        <v>10</v>
      </c>
      <c r="N30" s="34" t="s">
        <v>10</v>
      </c>
      <c r="O30" s="35" t="s">
        <v>10</v>
      </c>
      <c r="P30" s="34" t="s">
        <v>10</v>
      </c>
      <c r="Q30" s="35" t="s">
        <v>10</v>
      </c>
      <c r="R30" s="34" t="s">
        <v>10</v>
      </c>
      <c r="S30" s="35" t="s">
        <v>10</v>
      </c>
      <c r="T30" s="34" t="s">
        <v>10</v>
      </c>
      <c r="U30" s="35" t="s">
        <v>10</v>
      </c>
      <c r="V30" s="34" t="s">
        <v>10</v>
      </c>
      <c r="W30" s="35" t="s">
        <v>10</v>
      </c>
      <c r="X30" s="34" t="s">
        <v>10</v>
      </c>
      <c r="Y30" s="35" t="s">
        <v>10</v>
      </c>
      <c r="Z30" s="34" t="s">
        <v>10</v>
      </c>
      <c r="AA30" s="35" t="s">
        <v>10</v>
      </c>
      <c r="AB30" s="27" t="s">
        <v>77</v>
      </c>
      <c r="AC30" s="22" t="s">
        <v>173</v>
      </c>
      <c r="AD30" s="27" t="s">
        <v>93</v>
      </c>
      <c r="AE30" s="22" t="s">
        <v>94</v>
      </c>
      <c r="AF30" s="27" t="s">
        <v>10</v>
      </c>
      <c r="AG30" s="22" t="s">
        <v>10</v>
      </c>
      <c r="AH30" s="27" t="s">
        <v>84</v>
      </c>
      <c r="AI30" s="22" t="s">
        <v>150</v>
      </c>
      <c r="AJ30" s="27" t="s">
        <v>103</v>
      </c>
      <c r="AK30" s="22" t="s">
        <v>88</v>
      </c>
      <c r="AL30" s="27" t="s">
        <v>10</v>
      </c>
      <c r="AM30" s="22" t="s">
        <v>10</v>
      </c>
      <c r="AN30" s="27" t="s">
        <v>10</v>
      </c>
      <c r="AO30" s="22" t="s">
        <v>10</v>
      </c>
      <c r="AP30" s="27" t="s">
        <v>76</v>
      </c>
      <c r="AQ30" s="22" t="s">
        <v>759</v>
      </c>
      <c r="AR30" s="27" t="s">
        <v>673</v>
      </c>
      <c r="AS30" s="22" t="s">
        <v>774</v>
      </c>
      <c r="AT30" s="27" t="s">
        <v>666</v>
      </c>
      <c r="AU30" s="22" t="s">
        <v>773</v>
      </c>
      <c r="AV30" s="27" t="s">
        <v>10</v>
      </c>
      <c r="AW30" s="22" t="s">
        <v>10</v>
      </c>
      <c r="AX30" s="27" t="s">
        <v>277</v>
      </c>
      <c r="AY30" s="22" t="s">
        <v>667</v>
      </c>
      <c r="AZ30" s="27" t="s">
        <v>443</v>
      </c>
      <c r="BA30" s="22" t="s">
        <v>445</v>
      </c>
      <c r="BB30" s="27" t="s">
        <v>10</v>
      </c>
      <c r="BC30" s="22" t="s">
        <v>10</v>
      </c>
      <c r="BD30" s="27" t="s">
        <v>683</v>
      </c>
      <c r="BE30" s="22" t="s">
        <v>843</v>
      </c>
    </row>
    <row r="31" spans="1:57" ht="7.35" customHeight="1" x14ac:dyDescent="0.25">
      <c r="A31" s="56">
        <v>30</v>
      </c>
      <c r="B31" s="37" t="s">
        <v>146</v>
      </c>
      <c r="C31" s="30" t="s">
        <v>820</v>
      </c>
      <c r="D31" s="34" t="s">
        <v>10</v>
      </c>
      <c r="E31" s="35" t="s">
        <v>10</v>
      </c>
      <c r="F31" s="34" t="s">
        <v>81</v>
      </c>
      <c r="G31" s="35" t="s">
        <v>703</v>
      </c>
      <c r="H31" s="34" t="s">
        <v>10</v>
      </c>
      <c r="I31" s="35" t="s">
        <v>10</v>
      </c>
      <c r="J31" s="34" t="s">
        <v>10</v>
      </c>
      <c r="K31" s="35" t="s">
        <v>10</v>
      </c>
      <c r="L31" s="34" t="s">
        <v>10</v>
      </c>
      <c r="M31" s="35" t="s">
        <v>10</v>
      </c>
      <c r="N31" s="34" t="s">
        <v>10</v>
      </c>
      <c r="O31" s="35" t="s">
        <v>10</v>
      </c>
      <c r="P31" s="34" t="s">
        <v>10</v>
      </c>
      <c r="Q31" s="35" t="s">
        <v>10</v>
      </c>
      <c r="R31" s="34" t="s">
        <v>10</v>
      </c>
      <c r="S31" s="35" t="s">
        <v>10</v>
      </c>
      <c r="T31" s="34" t="s">
        <v>10</v>
      </c>
      <c r="U31" s="35" t="s">
        <v>10</v>
      </c>
      <c r="V31" s="34" t="s">
        <v>10</v>
      </c>
      <c r="W31" s="35" t="s">
        <v>10</v>
      </c>
      <c r="X31" s="34" t="s">
        <v>10</v>
      </c>
      <c r="Y31" s="35" t="s">
        <v>10</v>
      </c>
      <c r="Z31" s="34" t="s">
        <v>10</v>
      </c>
      <c r="AA31" s="35" t="s">
        <v>10</v>
      </c>
      <c r="AB31" s="27" t="s">
        <v>77</v>
      </c>
      <c r="AC31" s="22" t="s">
        <v>174</v>
      </c>
      <c r="AD31" s="27" t="s">
        <v>93</v>
      </c>
      <c r="AE31" s="22" t="s">
        <v>94</v>
      </c>
      <c r="AF31" s="27" t="s">
        <v>10</v>
      </c>
      <c r="AG31" s="22" t="s">
        <v>10</v>
      </c>
      <c r="AH31" s="27" t="s">
        <v>84</v>
      </c>
      <c r="AI31" s="22" t="s">
        <v>151</v>
      </c>
      <c r="AJ31" s="27" t="s">
        <v>103</v>
      </c>
      <c r="AK31" s="22" t="s">
        <v>88</v>
      </c>
      <c r="AL31" s="27" t="s">
        <v>10</v>
      </c>
      <c r="AM31" s="22" t="s">
        <v>10</v>
      </c>
      <c r="AN31" s="27" t="s">
        <v>10</v>
      </c>
      <c r="AO31" s="22" t="s">
        <v>10</v>
      </c>
      <c r="AP31" s="27" t="s">
        <v>76</v>
      </c>
      <c r="AQ31" s="22" t="s">
        <v>760</v>
      </c>
      <c r="AR31" s="27" t="s">
        <v>673</v>
      </c>
      <c r="AS31" s="22" t="s">
        <v>774</v>
      </c>
      <c r="AT31" s="27" t="s">
        <v>666</v>
      </c>
      <c r="AU31" s="22" t="s">
        <v>773</v>
      </c>
      <c r="AV31" s="27" t="s">
        <v>10</v>
      </c>
      <c r="AW31" s="22" t="s">
        <v>10</v>
      </c>
      <c r="AX31" s="27" t="s">
        <v>277</v>
      </c>
      <c r="AY31" s="22" t="s">
        <v>667</v>
      </c>
      <c r="AZ31" s="27" t="s">
        <v>443</v>
      </c>
      <c r="BA31" s="22" t="s">
        <v>445</v>
      </c>
      <c r="BB31" s="27" t="s">
        <v>10</v>
      </c>
      <c r="BC31" s="22" t="s">
        <v>10</v>
      </c>
      <c r="BD31" s="27" t="s">
        <v>683</v>
      </c>
      <c r="BE31" s="22" t="s">
        <v>843</v>
      </c>
    </row>
    <row r="32" spans="1:57" ht="7.35" customHeight="1" x14ac:dyDescent="0.25">
      <c r="A32" s="56">
        <v>31</v>
      </c>
      <c r="B32" s="37" t="s">
        <v>147</v>
      </c>
      <c r="C32" s="30" t="s">
        <v>820</v>
      </c>
      <c r="D32" s="34" t="s">
        <v>10</v>
      </c>
      <c r="E32" s="35" t="s">
        <v>10</v>
      </c>
      <c r="F32" s="34" t="s">
        <v>81</v>
      </c>
      <c r="G32" s="35" t="s">
        <v>703</v>
      </c>
      <c r="H32" s="34" t="s">
        <v>10</v>
      </c>
      <c r="I32" s="35" t="s">
        <v>10</v>
      </c>
      <c r="J32" s="34" t="s">
        <v>10</v>
      </c>
      <c r="K32" s="35" t="s">
        <v>10</v>
      </c>
      <c r="L32" s="34" t="s">
        <v>10</v>
      </c>
      <c r="M32" s="35" t="s">
        <v>10</v>
      </c>
      <c r="N32" s="34" t="s">
        <v>10</v>
      </c>
      <c r="O32" s="35" t="s">
        <v>10</v>
      </c>
      <c r="P32" s="34" t="s">
        <v>10</v>
      </c>
      <c r="Q32" s="35" t="s">
        <v>10</v>
      </c>
      <c r="R32" s="34" t="s">
        <v>10</v>
      </c>
      <c r="S32" s="35" t="s">
        <v>10</v>
      </c>
      <c r="T32" s="34" t="s">
        <v>10</v>
      </c>
      <c r="U32" s="35" t="s">
        <v>10</v>
      </c>
      <c r="V32" s="34" t="s">
        <v>10</v>
      </c>
      <c r="W32" s="35" t="s">
        <v>10</v>
      </c>
      <c r="X32" s="34" t="s">
        <v>10</v>
      </c>
      <c r="Y32" s="35" t="s">
        <v>10</v>
      </c>
      <c r="Z32" s="34" t="s">
        <v>10</v>
      </c>
      <c r="AA32" s="35" t="s">
        <v>10</v>
      </c>
      <c r="AB32" s="27" t="s">
        <v>77</v>
      </c>
      <c r="AC32" s="22" t="s">
        <v>175</v>
      </c>
      <c r="AD32" s="27" t="s">
        <v>93</v>
      </c>
      <c r="AE32" s="22" t="s">
        <v>94</v>
      </c>
      <c r="AF32" s="27" t="s">
        <v>10</v>
      </c>
      <c r="AG32" s="22" t="s">
        <v>10</v>
      </c>
      <c r="AH32" s="27" t="s">
        <v>84</v>
      </c>
      <c r="AI32" s="22" t="s">
        <v>152</v>
      </c>
      <c r="AJ32" s="27" t="s">
        <v>103</v>
      </c>
      <c r="AK32" s="22" t="s">
        <v>88</v>
      </c>
      <c r="AL32" s="27" t="s">
        <v>10</v>
      </c>
      <c r="AM32" s="22" t="s">
        <v>10</v>
      </c>
      <c r="AN32" s="27" t="s">
        <v>10</v>
      </c>
      <c r="AO32" s="22" t="s">
        <v>10</v>
      </c>
      <c r="AP32" s="27" t="s">
        <v>76</v>
      </c>
      <c r="AQ32" s="22" t="s">
        <v>761</v>
      </c>
      <c r="AR32" s="27" t="s">
        <v>673</v>
      </c>
      <c r="AS32" s="22" t="s">
        <v>774</v>
      </c>
      <c r="AT32" s="27" t="s">
        <v>666</v>
      </c>
      <c r="AU32" s="22" t="s">
        <v>773</v>
      </c>
      <c r="AV32" s="27" t="s">
        <v>10</v>
      </c>
      <c r="AW32" s="22" t="s">
        <v>10</v>
      </c>
      <c r="AX32" s="27" t="s">
        <v>277</v>
      </c>
      <c r="AY32" s="22" t="s">
        <v>667</v>
      </c>
      <c r="AZ32" s="27" t="s">
        <v>443</v>
      </c>
      <c r="BA32" s="22" t="s">
        <v>445</v>
      </c>
      <c r="BB32" s="27" t="s">
        <v>10</v>
      </c>
      <c r="BC32" s="22" t="s">
        <v>10</v>
      </c>
      <c r="BD32" s="27" t="s">
        <v>683</v>
      </c>
      <c r="BE32" s="22" t="s">
        <v>843</v>
      </c>
    </row>
    <row r="33" spans="1:57" ht="7.35" customHeight="1" x14ac:dyDescent="0.25">
      <c r="A33" s="56">
        <v>32</v>
      </c>
      <c r="B33" s="37" t="s">
        <v>148</v>
      </c>
      <c r="C33" s="30" t="s">
        <v>820</v>
      </c>
      <c r="D33" s="34" t="s">
        <v>10</v>
      </c>
      <c r="E33" s="35" t="s">
        <v>10</v>
      </c>
      <c r="F33" s="34" t="s">
        <v>81</v>
      </c>
      <c r="G33" s="35" t="s">
        <v>703</v>
      </c>
      <c r="H33" s="34" t="s">
        <v>10</v>
      </c>
      <c r="I33" s="35" t="s">
        <v>10</v>
      </c>
      <c r="J33" s="34" t="s">
        <v>10</v>
      </c>
      <c r="K33" s="35" t="s">
        <v>10</v>
      </c>
      <c r="L33" s="34" t="s">
        <v>10</v>
      </c>
      <c r="M33" s="35" t="s">
        <v>10</v>
      </c>
      <c r="N33" s="34" t="s">
        <v>10</v>
      </c>
      <c r="O33" s="35" t="s">
        <v>10</v>
      </c>
      <c r="P33" s="34" t="s">
        <v>10</v>
      </c>
      <c r="Q33" s="35" t="s">
        <v>10</v>
      </c>
      <c r="R33" s="34" t="s">
        <v>10</v>
      </c>
      <c r="S33" s="35" t="s">
        <v>10</v>
      </c>
      <c r="T33" s="34" t="s">
        <v>10</v>
      </c>
      <c r="U33" s="35" t="s">
        <v>10</v>
      </c>
      <c r="V33" s="34" t="s">
        <v>10</v>
      </c>
      <c r="W33" s="35" t="s">
        <v>10</v>
      </c>
      <c r="X33" s="34" t="s">
        <v>10</v>
      </c>
      <c r="Y33" s="35" t="s">
        <v>10</v>
      </c>
      <c r="Z33" s="34" t="s">
        <v>10</v>
      </c>
      <c r="AA33" s="35" t="s">
        <v>10</v>
      </c>
      <c r="AB33" s="27" t="s">
        <v>77</v>
      </c>
      <c r="AC33" s="22" t="s">
        <v>176</v>
      </c>
      <c r="AD33" s="27" t="s">
        <v>93</v>
      </c>
      <c r="AE33" s="22" t="s">
        <v>94</v>
      </c>
      <c r="AF33" s="27" t="s">
        <v>10</v>
      </c>
      <c r="AG33" s="22" t="s">
        <v>10</v>
      </c>
      <c r="AH33" s="27" t="s">
        <v>84</v>
      </c>
      <c r="AI33" s="22" t="s">
        <v>153</v>
      </c>
      <c r="AJ33" s="27" t="s">
        <v>103</v>
      </c>
      <c r="AK33" s="22" t="s">
        <v>88</v>
      </c>
      <c r="AL33" s="27" t="s">
        <v>10</v>
      </c>
      <c r="AM33" s="22" t="s">
        <v>10</v>
      </c>
      <c r="AN33" s="27" t="s">
        <v>10</v>
      </c>
      <c r="AO33" s="22" t="s">
        <v>10</v>
      </c>
      <c r="AP33" s="27" t="s">
        <v>76</v>
      </c>
      <c r="AQ33" s="22" t="s">
        <v>762</v>
      </c>
      <c r="AR33" s="27" t="s">
        <v>673</v>
      </c>
      <c r="AS33" s="22" t="s">
        <v>774</v>
      </c>
      <c r="AT33" s="27" t="s">
        <v>666</v>
      </c>
      <c r="AU33" s="22" t="s">
        <v>773</v>
      </c>
      <c r="AV33" s="27" t="s">
        <v>10</v>
      </c>
      <c r="AW33" s="22" t="s">
        <v>10</v>
      </c>
      <c r="AX33" s="27" t="s">
        <v>277</v>
      </c>
      <c r="AY33" s="22" t="s">
        <v>667</v>
      </c>
      <c r="AZ33" s="27" t="s">
        <v>443</v>
      </c>
      <c r="BA33" s="22" t="s">
        <v>445</v>
      </c>
      <c r="BB33" s="27" t="s">
        <v>10</v>
      </c>
      <c r="BC33" s="22" t="s">
        <v>10</v>
      </c>
      <c r="BD33" s="27" t="s">
        <v>683</v>
      </c>
      <c r="BE33" s="22" t="s">
        <v>843</v>
      </c>
    </row>
    <row r="34" spans="1:57" ht="7.35" customHeight="1" x14ac:dyDescent="0.25">
      <c r="A34" s="56">
        <v>33</v>
      </c>
      <c r="B34" s="37" t="s">
        <v>149</v>
      </c>
      <c r="C34" s="30" t="s">
        <v>820</v>
      </c>
      <c r="D34" s="34" t="s">
        <v>10</v>
      </c>
      <c r="E34" s="35" t="s">
        <v>10</v>
      </c>
      <c r="F34" s="34" t="s">
        <v>81</v>
      </c>
      <c r="G34" s="35" t="s">
        <v>703</v>
      </c>
      <c r="H34" s="34" t="s">
        <v>10</v>
      </c>
      <c r="I34" s="35" t="s">
        <v>10</v>
      </c>
      <c r="J34" s="34" t="s">
        <v>10</v>
      </c>
      <c r="K34" s="35" t="s">
        <v>10</v>
      </c>
      <c r="L34" s="34" t="s">
        <v>10</v>
      </c>
      <c r="M34" s="35" t="s">
        <v>10</v>
      </c>
      <c r="N34" s="34" t="s">
        <v>10</v>
      </c>
      <c r="O34" s="35" t="s">
        <v>10</v>
      </c>
      <c r="P34" s="34" t="s">
        <v>10</v>
      </c>
      <c r="Q34" s="35" t="s">
        <v>10</v>
      </c>
      <c r="R34" s="34" t="s">
        <v>10</v>
      </c>
      <c r="S34" s="35" t="s">
        <v>10</v>
      </c>
      <c r="T34" s="34" t="s">
        <v>10</v>
      </c>
      <c r="U34" s="35" t="s">
        <v>10</v>
      </c>
      <c r="V34" s="34" t="s">
        <v>10</v>
      </c>
      <c r="W34" s="35" t="s">
        <v>10</v>
      </c>
      <c r="X34" s="34" t="s">
        <v>10</v>
      </c>
      <c r="Y34" s="35" t="s">
        <v>10</v>
      </c>
      <c r="Z34" s="34" t="s">
        <v>10</v>
      </c>
      <c r="AA34" s="35" t="s">
        <v>10</v>
      </c>
      <c r="AB34" s="27" t="s">
        <v>77</v>
      </c>
      <c r="AC34" s="22" t="s">
        <v>177</v>
      </c>
      <c r="AD34" s="27" t="s">
        <v>93</v>
      </c>
      <c r="AE34" s="22" t="s">
        <v>94</v>
      </c>
      <c r="AF34" s="27" t="s">
        <v>10</v>
      </c>
      <c r="AG34" s="22" t="s">
        <v>10</v>
      </c>
      <c r="AH34" s="27" t="s">
        <v>84</v>
      </c>
      <c r="AI34" s="22" t="s">
        <v>154</v>
      </c>
      <c r="AJ34" s="27" t="s">
        <v>103</v>
      </c>
      <c r="AK34" s="22" t="s">
        <v>88</v>
      </c>
      <c r="AL34" s="27" t="s">
        <v>10</v>
      </c>
      <c r="AM34" s="22" t="s">
        <v>10</v>
      </c>
      <c r="AN34" s="27" t="s">
        <v>10</v>
      </c>
      <c r="AO34" s="22" t="s">
        <v>10</v>
      </c>
      <c r="AP34" s="27" t="s">
        <v>76</v>
      </c>
      <c r="AQ34" s="22" t="s">
        <v>763</v>
      </c>
      <c r="AR34" s="27" t="s">
        <v>673</v>
      </c>
      <c r="AS34" s="22" t="s">
        <v>774</v>
      </c>
      <c r="AT34" s="27" t="s">
        <v>666</v>
      </c>
      <c r="AU34" s="22" t="s">
        <v>773</v>
      </c>
      <c r="AV34" s="27" t="s">
        <v>10</v>
      </c>
      <c r="AW34" s="22" t="s">
        <v>10</v>
      </c>
      <c r="AX34" s="27" t="s">
        <v>277</v>
      </c>
      <c r="AY34" s="22" t="s">
        <v>667</v>
      </c>
      <c r="AZ34" s="27" t="s">
        <v>443</v>
      </c>
      <c r="BA34" s="22" t="s">
        <v>445</v>
      </c>
      <c r="BB34" s="27" t="s">
        <v>10</v>
      </c>
      <c r="BC34" s="22" t="s">
        <v>10</v>
      </c>
      <c r="BD34" s="27" t="s">
        <v>683</v>
      </c>
      <c r="BE34" s="22" t="s">
        <v>843</v>
      </c>
    </row>
    <row r="35" spans="1:57" ht="7.35" customHeight="1" x14ac:dyDescent="0.25">
      <c r="A35" s="56">
        <v>34</v>
      </c>
      <c r="B35" s="37" t="s">
        <v>737</v>
      </c>
      <c r="C35" s="30" t="s">
        <v>820</v>
      </c>
      <c r="D35" s="34" t="s">
        <v>10</v>
      </c>
      <c r="E35" s="35" t="s">
        <v>10</v>
      </c>
      <c r="F35" s="34" t="s">
        <v>81</v>
      </c>
      <c r="G35" s="35" t="s">
        <v>703</v>
      </c>
      <c r="H35" s="34" t="s">
        <v>10</v>
      </c>
      <c r="I35" s="35" t="s">
        <v>10</v>
      </c>
      <c r="J35" s="34" t="s">
        <v>10</v>
      </c>
      <c r="K35" s="35" t="s">
        <v>10</v>
      </c>
      <c r="L35" s="34" t="s">
        <v>10</v>
      </c>
      <c r="M35" s="35" t="s">
        <v>10</v>
      </c>
      <c r="N35" s="34" t="s">
        <v>10</v>
      </c>
      <c r="O35" s="35" t="s">
        <v>10</v>
      </c>
      <c r="P35" s="34" t="s">
        <v>10</v>
      </c>
      <c r="Q35" s="35" t="s">
        <v>10</v>
      </c>
      <c r="R35" s="34" t="s">
        <v>10</v>
      </c>
      <c r="S35" s="35" t="s">
        <v>10</v>
      </c>
      <c r="T35" s="34" t="s">
        <v>10</v>
      </c>
      <c r="U35" s="35" t="s">
        <v>10</v>
      </c>
      <c r="V35" s="34" t="s">
        <v>10</v>
      </c>
      <c r="W35" s="35" t="s">
        <v>10</v>
      </c>
      <c r="X35" s="34" t="s">
        <v>10</v>
      </c>
      <c r="Y35" s="35" t="s">
        <v>10</v>
      </c>
      <c r="Z35" s="34" t="s">
        <v>10</v>
      </c>
      <c r="AA35" s="35" t="s">
        <v>10</v>
      </c>
      <c r="AB35" s="27" t="s">
        <v>77</v>
      </c>
      <c r="AC35" s="22" t="s">
        <v>738</v>
      </c>
      <c r="AD35" s="27" t="s">
        <v>93</v>
      </c>
      <c r="AE35" s="22" t="s">
        <v>94</v>
      </c>
      <c r="AF35" s="27" t="s">
        <v>10</v>
      </c>
      <c r="AG35" s="22" t="s">
        <v>10</v>
      </c>
      <c r="AH35" s="27" t="s">
        <v>84</v>
      </c>
      <c r="AI35" s="22" t="s">
        <v>88</v>
      </c>
      <c r="AJ35" s="27" t="s">
        <v>103</v>
      </c>
      <c r="AK35" s="22" t="s">
        <v>88</v>
      </c>
      <c r="AL35" s="27" t="s">
        <v>10</v>
      </c>
      <c r="AM35" s="22" t="s">
        <v>10</v>
      </c>
      <c r="AN35" s="27" t="s">
        <v>10</v>
      </c>
      <c r="AO35" s="22" t="s">
        <v>10</v>
      </c>
      <c r="AP35" s="27" t="s">
        <v>76</v>
      </c>
      <c r="AQ35" s="22" t="s">
        <v>741</v>
      </c>
      <c r="AR35" s="27" t="s">
        <v>673</v>
      </c>
      <c r="AS35" s="22" t="s">
        <v>774</v>
      </c>
      <c r="AT35" s="27" t="s">
        <v>666</v>
      </c>
      <c r="AU35" s="22" t="s">
        <v>773</v>
      </c>
      <c r="AV35" s="27" t="s">
        <v>10</v>
      </c>
      <c r="AW35" s="22" t="s">
        <v>10</v>
      </c>
      <c r="AX35" s="27" t="s">
        <v>10</v>
      </c>
      <c r="AY35" s="22" t="s">
        <v>10</v>
      </c>
      <c r="AZ35" s="27" t="s">
        <v>10</v>
      </c>
      <c r="BA35" s="22" t="s">
        <v>10</v>
      </c>
      <c r="BB35" s="27" t="s">
        <v>10</v>
      </c>
      <c r="BC35" s="22" t="s">
        <v>10</v>
      </c>
      <c r="BD35" s="27" t="s">
        <v>683</v>
      </c>
      <c r="BE35" s="22" t="s">
        <v>843</v>
      </c>
    </row>
    <row r="36" spans="1:57" ht="7.35" customHeight="1" x14ac:dyDescent="0.25">
      <c r="A36" s="56">
        <v>35</v>
      </c>
      <c r="B36" s="37" t="s">
        <v>740</v>
      </c>
      <c r="C36" s="33" t="s">
        <v>822</v>
      </c>
      <c r="D36" s="34" t="s">
        <v>10</v>
      </c>
      <c r="E36" s="35" t="s">
        <v>10</v>
      </c>
      <c r="F36" s="34" t="s">
        <v>81</v>
      </c>
      <c r="G36" s="35" t="s">
        <v>112</v>
      </c>
      <c r="H36" s="34" t="s">
        <v>81</v>
      </c>
      <c r="I36" s="35" t="s">
        <v>125</v>
      </c>
      <c r="J36" s="34" t="s">
        <v>81</v>
      </c>
      <c r="K36" s="35" t="s">
        <v>126</v>
      </c>
      <c r="L36" s="34" t="s">
        <v>81</v>
      </c>
      <c r="M36" s="35" t="s">
        <v>127</v>
      </c>
      <c r="N36" s="34" t="s">
        <v>81</v>
      </c>
      <c r="O36" s="35" t="s">
        <v>128</v>
      </c>
      <c r="P36" s="34" t="s">
        <v>10</v>
      </c>
      <c r="Q36" s="35" t="s">
        <v>10</v>
      </c>
      <c r="R36" s="34" t="s">
        <v>10</v>
      </c>
      <c r="S36" s="35" t="s">
        <v>10</v>
      </c>
      <c r="T36" s="34" t="s">
        <v>10</v>
      </c>
      <c r="U36" s="35" t="s">
        <v>10</v>
      </c>
      <c r="V36" s="34" t="s">
        <v>10</v>
      </c>
      <c r="W36" s="35" t="s">
        <v>10</v>
      </c>
      <c r="X36" s="34" t="s">
        <v>10</v>
      </c>
      <c r="Y36" s="35" t="s">
        <v>10</v>
      </c>
      <c r="Z36" s="34" t="s">
        <v>10</v>
      </c>
      <c r="AA36" s="35" t="s">
        <v>10</v>
      </c>
      <c r="AB36" s="27" t="s">
        <v>77</v>
      </c>
      <c r="AC36" s="22" t="s">
        <v>738</v>
      </c>
      <c r="AD36" s="27" t="s">
        <v>93</v>
      </c>
      <c r="AE36" s="22" t="s">
        <v>94</v>
      </c>
      <c r="AF36" s="27" t="s">
        <v>10</v>
      </c>
      <c r="AG36" s="22" t="s">
        <v>10</v>
      </c>
      <c r="AH36" s="27" t="s">
        <v>84</v>
      </c>
      <c r="AI36" s="22" t="s">
        <v>88</v>
      </c>
      <c r="AJ36" s="27" t="s">
        <v>103</v>
      </c>
      <c r="AK36" s="22" t="s">
        <v>88</v>
      </c>
      <c r="AL36" s="27" t="s">
        <v>10</v>
      </c>
      <c r="AM36" s="22" t="s">
        <v>10</v>
      </c>
      <c r="AN36" s="27" t="s">
        <v>10</v>
      </c>
      <c r="AO36" s="22" t="s">
        <v>10</v>
      </c>
      <c r="AP36" s="27" t="s">
        <v>76</v>
      </c>
      <c r="AQ36" s="22" t="s">
        <v>739</v>
      </c>
      <c r="AR36" s="27" t="s">
        <v>673</v>
      </c>
      <c r="AS36" s="22" t="s">
        <v>774</v>
      </c>
      <c r="AT36" s="27" t="s">
        <v>666</v>
      </c>
      <c r="AU36" s="22" t="s">
        <v>773</v>
      </c>
      <c r="AV36" s="27" t="s">
        <v>10</v>
      </c>
      <c r="AW36" s="22" t="s">
        <v>10</v>
      </c>
      <c r="AX36" s="27" t="s">
        <v>10</v>
      </c>
      <c r="AY36" s="22" t="s">
        <v>10</v>
      </c>
      <c r="AZ36" s="27" t="s">
        <v>10</v>
      </c>
      <c r="BA36" s="22" t="s">
        <v>10</v>
      </c>
      <c r="BB36" s="27" t="s">
        <v>10</v>
      </c>
      <c r="BC36" s="22" t="s">
        <v>10</v>
      </c>
      <c r="BD36" s="27" t="s">
        <v>683</v>
      </c>
      <c r="BE36" s="22" t="s">
        <v>843</v>
      </c>
    </row>
    <row r="37" spans="1:57" ht="7.35" customHeight="1" x14ac:dyDescent="0.25">
      <c r="A37" s="56">
        <v>36</v>
      </c>
      <c r="B37" s="37" t="s">
        <v>82</v>
      </c>
      <c r="C37" s="33" t="s">
        <v>822</v>
      </c>
      <c r="D37" s="34" t="s">
        <v>10</v>
      </c>
      <c r="E37" s="35" t="s">
        <v>10</v>
      </c>
      <c r="F37" s="34" t="s">
        <v>81</v>
      </c>
      <c r="G37" s="35" t="s">
        <v>112</v>
      </c>
      <c r="H37" s="34" t="s">
        <v>81</v>
      </c>
      <c r="I37" s="35" t="s">
        <v>117</v>
      </c>
      <c r="J37" s="34" t="s">
        <v>81</v>
      </c>
      <c r="K37" s="35" t="s">
        <v>119</v>
      </c>
      <c r="L37" s="34" t="s">
        <v>81</v>
      </c>
      <c r="M37" s="35" t="s">
        <v>120</v>
      </c>
      <c r="N37" s="34" t="s">
        <v>81</v>
      </c>
      <c r="O37" s="35" t="s">
        <v>121</v>
      </c>
      <c r="P37" s="34" t="s">
        <v>81</v>
      </c>
      <c r="Q37" s="35" t="s">
        <v>122</v>
      </c>
      <c r="R37" s="34" t="s">
        <v>81</v>
      </c>
      <c r="S37" s="35" t="s">
        <v>123</v>
      </c>
      <c r="T37" s="34" t="s">
        <v>10</v>
      </c>
      <c r="U37" s="35" t="s">
        <v>10</v>
      </c>
      <c r="V37" s="34" t="s">
        <v>10</v>
      </c>
      <c r="W37" s="35" t="s">
        <v>10</v>
      </c>
      <c r="X37" s="34" t="s">
        <v>10</v>
      </c>
      <c r="Y37" s="35" t="s">
        <v>10</v>
      </c>
      <c r="Z37" s="34" t="s">
        <v>10</v>
      </c>
      <c r="AA37" s="35" t="s">
        <v>10</v>
      </c>
      <c r="AB37" s="27" t="s">
        <v>77</v>
      </c>
      <c r="AC37" s="22" t="s">
        <v>101</v>
      </c>
      <c r="AD37" s="27" t="s">
        <v>93</v>
      </c>
      <c r="AE37" s="22" t="s">
        <v>94</v>
      </c>
      <c r="AF37" s="27" t="s">
        <v>10</v>
      </c>
      <c r="AG37" s="22" t="s">
        <v>10</v>
      </c>
      <c r="AH37" s="27" t="s">
        <v>84</v>
      </c>
      <c r="AI37" s="22" t="s">
        <v>87</v>
      </c>
      <c r="AJ37" s="27" t="s">
        <v>103</v>
      </c>
      <c r="AK37" s="22" t="s">
        <v>87</v>
      </c>
      <c r="AL37" s="27" t="s">
        <v>10</v>
      </c>
      <c r="AM37" s="22" t="s">
        <v>10</v>
      </c>
      <c r="AN37" s="27" t="s">
        <v>10</v>
      </c>
      <c r="AO37" s="22" t="s">
        <v>10</v>
      </c>
      <c r="AP37" s="27" t="s">
        <v>76</v>
      </c>
      <c r="AQ37" s="22" t="s">
        <v>757</v>
      </c>
      <c r="AR37" s="27" t="s">
        <v>673</v>
      </c>
      <c r="AS37" s="22" t="s">
        <v>774</v>
      </c>
      <c r="AT37" s="27" t="s">
        <v>666</v>
      </c>
      <c r="AU37" s="22" t="s">
        <v>773</v>
      </c>
      <c r="AV37" s="27" t="s">
        <v>10</v>
      </c>
      <c r="AW37" s="22" t="s">
        <v>10</v>
      </c>
      <c r="AX37" s="27" t="s">
        <v>10</v>
      </c>
      <c r="AY37" s="22" t="s">
        <v>10</v>
      </c>
      <c r="AZ37" s="27" t="s">
        <v>10</v>
      </c>
      <c r="BA37" s="22" t="s">
        <v>10</v>
      </c>
      <c r="BB37" s="27" t="s">
        <v>10</v>
      </c>
      <c r="BC37" s="22" t="s">
        <v>10</v>
      </c>
      <c r="BD37" s="27" t="s">
        <v>683</v>
      </c>
      <c r="BE37" s="22" t="s">
        <v>843</v>
      </c>
    </row>
    <row r="38" spans="1:57" ht="7.35" customHeight="1" x14ac:dyDescent="0.25">
      <c r="A38" s="56">
        <v>37</v>
      </c>
      <c r="B38" s="37" t="s">
        <v>96</v>
      </c>
      <c r="C38" s="33" t="s">
        <v>822</v>
      </c>
      <c r="D38" s="34" t="s">
        <v>10</v>
      </c>
      <c r="E38" s="35" t="s">
        <v>10</v>
      </c>
      <c r="F38" s="34" t="s">
        <v>81</v>
      </c>
      <c r="G38" s="35" t="s">
        <v>112</v>
      </c>
      <c r="H38" s="34" t="s">
        <v>81</v>
      </c>
      <c r="I38" s="35" t="s">
        <v>124</v>
      </c>
      <c r="J38" s="34" t="s">
        <v>10</v>
      </c>
      <c r="K38" s="35" t="s">
        <v>10</v>
      </c>
      <c r="L38" s="34" t="s">
        <v>10</v>
      </c>
      <c r="M38" s="35" t="s">
        <v>10</v>
      </c>
      <c r="N38" s="34" t="s">
        <v>10</v>
      </c>
      <c r="O38" s="35" t="s">
        <v>10</v>
      </c>
      <c r="P38" s="34" t="s">
        <v>10</v>
      </c>
      <c r="Q38" s="35" t="s">
        <v>10</v>
      </c>
      <c r="R38" s="34" t="s">
        <v>10</v>
      </c>
      <c r="S38" s="35" t="s">
        <v>10</v>
      </c>
      <c r="T38" s="34" t="s">
        <v>10</v>
      </c>
      <c r="U38" s="35" t="s">
        <v>10</v>
      </c>
      <c r="V38" s="34" t="s">
        <v>10</v>
      </c>
      <c r="W38" s="35" t="s">
        <v>10</v>
      </c>
      <c r="X38" s="34" t="s">
        <v>10</v>
      </c>
      <c r="Y38" s="35" t="s">
        <v>10</v>
      </c>
      <c r="Z38" s="34" t="s">
        <v>10</v>
      </c>
      <c r="AA38" s="35" t="s">
        <v>10</v>
      </c>
      <c r="AB38" s="27" t="s">
        <v>77</v>
      </c>
      <c r="AC38" s="22" t="s">
        <v>98</v>
      </c>
      <c r="AD38" s="27" t="s">
        <v>93</v>
      </c>
      <c r="AE38" s="22" t="s">
        <v>94</v>
      </c>
      <c r="AF38" s="27" t="s">
        <v>10</v>
      </c>
      <c r="AG38" s="22" t="s">
        <v>10</v>
      </c>
      <c r="AH38" s="27" t="s">
        <v>84</v>
      </c>
      <c r="AI38" s="22" t="s">
        <v>89</v>
      </c>
      <c r="AJ38" s="27" t="s">
        <v>103</v>
      </c>
      <c r="AK38" s="22" t="s">
        <v>158</v>
      </c>
      <c r="AL38" s="27" t="s">
        <v>10</v>
      </c>
      <c r="AM38" s="22" t="s">
        <v>10</v>
      </c>
      <c r="AN38" s="27" t="s">
        <v>10</v>
      </c>
      <c r="AO38" s="22" t="s">
        <v>10</v>
      </c>
      <c r="AP38" s="27" t="s">
        <v>76</v>
      </c>
      <c r="AQ38" s="22" t="s">
        <v>756</v>
      </c>
      <c r="AR38" s="27" t="s">
        <v>673</v>
      </c>
      <c r="AS38" s="22" t="s">
        <v>774</v>
      </c>
      <c r="AT38" s="27" t="s">
        <v>666</v>
      </c>
      <c r="AU38" s="22" t="s">
        <v>773</v>
      </c>
      <c r="AV38" s="27" t="s">
        <v>10</v>
      </c>
      <c r="AW38" s="22" t="s">
        <v>10</v>
      </c>
      <c r="AX38" s="27" t="s">
        <v>10</v>
      </c>
      <c r="AY38" s="22" t="s">
        <v>10</v>
      </c>
      <c r="AZ38" s="27" t="s">
        <v>10</v>
      </c>
      <c r="BA38" s="22" t="s">
        <v>10</v>
      </c>
      <c r="BB38" s="27" t="s">
        <v>10</v>
      </c>
      <c r="BC38" s="22" t="s">
        <v>10</v>
      </c>
      <c r="BD38" s="27" t="s">
        <v>683</v>
      </c>
      <c r="BE38" s="22" t="s">
        <v>843</v>
      </c>
    </row>
    <row r="39" spans="1:57" ht="7.35" customHeight="1" x14ac:dyDescent="0.25">
      <c r="A39" s="56">
        <v>38</v>
      </c>
      <c r="B39" s="37" t="s">
        <v>83</v>
      </c>
      <c r="C39" s="33" t="s">
        <v>822</v>
      </c>
      <c r="D39" s="34" t="s">
        <v>10</v>
      </c>
      <c r="E39" s="35" t="s">
        <v>10</v>
      </c>
      <c r="F39" s="34" t="s">
        <v>81</v>
      </c>
      <c r="G39" s="35" t="s">
        <v>112</v>
      </c>
      <c r="H39" s="34" t="s">
        <v>81</v>
      </c>
      <c r="I39" s="35" t="s">
        <v>117</v>
      </c>
      <c r="J39" s="34" t="s">
        <v>10</v>
      </c>
      <c r="K39" s="35" t="s">
        <v>10</v>
      </c>
      <c r="L39" s="34" t="s">
        <v>10</v>
      </c>
      <c r="M39" s="35" t="s">
        <v>10</v>
      </c>
      <c r="N39" s="34" t="s">
        <v>10</v>
      </c>
      <c r="O39" s="35" t="s">
        <v>10</v>
      </c>
      <c r="P39" s="34" t="s">
        <v>10</v>
      </c>
      <c r="Q39" s="35" t="s">
        <v>10</v>
      </c>
      <c r="R39" s="34" t="s">
        <v>10</v>
      </c>
      <c r="S39" s="35" t="s">
        <v>10</v>
      </c>
      <c r="T39" s="34" t="s">
        <v>10</v>
      </c>
      <c r="U39" s="35" t="s">
        <v>10</v>
      </c>
      <c r="V39" s="34" t="s">
        <v>10</v>
      </c>
      <c r="W39" s="35" t="s">
        <v>10</v>
      </c>
      <c r="X39" s="34" t="s">
        <v>10</v>
      </c>
      <c r="Y39" s="35" t="s">
        <v>10</v>
      </c>
      <c r="Z39" s="34" t="s">
        <v>10</v>
      </c>
      <c r="AA39" s="35" t="s">
        <v>10</v>
      </c>
      <c r="AB39" s="27" t="s">
        <v>77</v>
      </c>
      <c r="AC39" s="22" t="s">
        <v>99</v>
      </c>
      <c r="AD39" s="27" t="s">
        <v>93</v>
      </c>
      <c r="AE39" s="22" t="s">
        <v>94</v>
      </c>
      <c r="AF39" s="27" t="s">
        <v>10</v>
      </c>
      <c r="AG39" s="22" t="s">
        <v>10</v>
      </c>
      <c r="AH39" s="27" t="s">
        <v>84</v>
      </c>
      <c r="AI39" s="22" t="s">
        <v>90</v>
      </c>
      <c r="AJ39" s="27" t="s">
        <v>103</v>
      </c>
      <c r="AK39" s="22" t="s">
        <v>158</v>
      </c>
      <c r="AL39" s="27" t="s">
        <v>10</v>
      </c>
      <c r="AM39" s="22" t="s">
        <v>10</v>
      </c>
      <c r="AN39" s="27" t="s">
        <v>10</v>
      </c>
      <c r="AO39" s="22" t="s">
        <v>10</v>
      </c>
      <c r="AP39" s="27" t="s">
        <v>76</v>
      </c>
      <c r="AQ39" s="22" t="s">
        <v>756</v>
      </c>
      <c r="AR39" s="27" t="s">
        <v>673</v>
      </c>
      <c r="AS39" s="22" t="s">
        <v>774</v>
      </c>
      <c r="AT39" s="27" t="s">
        <v>666</v>
      </c>
      <c r="AU39" s="22" t="s">
        <v>773</v>
      </c>
      <c r="AV39" s="27" t="s">
        <v>10</v>
      </c>
      <c r="AW39" s="22" t="s">
        <v>10</v>
      </c>
      <c r="AX39" s="27" t="s">
        <v>10</v>
      </c>
      <c r="AY39" s="22" t="s">
        <v>10</v>
      </c>
      <c r="AZ39" s="27" t="s">
        <v>10</v>
      </c>
      <c r="BA39" s="22" t="s">
        <v>10</v>
      </c>
      <c r="BB39" s="27" t="s">
        <v>10</v>
      </c>
      <c r="BC39" s="22" t="s">
        <v>10</v>
      </c>
      <c r="BD39" s="27" t="s">
        <v>683</v>
      </c>
      <c r="BE39" s="22" t="s">
        <v>843</v>
      </c>
    </row>
    <row r="40" spans="1:57" ht="7.35" customHeight="1" x14ac:dyDescent="0.25">
      <c r="A40" s="56">
        <v>39</v>
      </c>
      <c r="B40" s="37" t="s">
        <v>267</v>
      </c>
      <c r="C40" s="33" t="s">
        <v>822</v>
      </c>
      <c r="D40" s="34" t="s">
        <v>10</v>
      </c>
      <c r="E40" s="35" t="s">
        <v>10</v>
      </c>
      <c r="F40" s="34" t="s">
        <v>81</v>
      </c>
      <c r="G40" s="35" t="s">
        <v>112</v>
      </c>
      <c r="H40" s="34" t="s">
        <v>81</v>
      </c>
      <c r="I40" s="35" t="s">
        <v>117</v>
      </c>
      <c r="J40" s="34" t="s">
        <v>10</v>
      </c>
      <c r="K40" s="35" t="s">
        <v>10</v>
      </c>
      <c r="L40" s="34" t="s">
        <v>10</v>
      </c>
      <c r="M40" s="35" t="s">
        <v>10</v>
      </c>
      <c r="N40" s="34" t="s">
        <v>10</v>
      </c>
      <c r="O40" s="35" t="s">
        <v>10</v>
      </c>
      <c r="P40" s="34" t="s">
        <v>10</v>
      </c>
      <c r="Q40" s="35" t="s">
        <v>10</v>
      </c>
      <c r="R40" s="34" t="s">
        <v>10</v>
      </c>
      <c r="S40" s="35" t="s">
        <v>10</v>
      </c>
      <c r="T40" s="34" t="s">
        <v>10</v>
      </c>
      <c r="U40" s="35" t="s">
        <v>10</v>
      </c>
      <c r="V40" s="34" t="s">
        <v>10</v>
      </c>
      <c r="W40" s="35" t="s">
        <v>10</v>
      </c>
      <c r="X40" s="34" t="s">
        <v>10</v>
      </c>
      <c r="Y40" s="35" t="s">
        <v>10</v>
      </c>
      <c r="Z40" s="34" t="s">
        <v>10</v>
      </c>
      <c r="AA40" s="35" t="s">
        <v>10</v>
      </c>
      <c r="AB40" s="27" t="s">
        <v>77</v>
      </c>
      <c r="AC40" s="22" t="s">
        <v>156</v>
      </c>
      <c r="AD40" s="27" t="s">
        <v>93</v>
      </c>
      <c r="AE40" s="22" t="s">
        <v>94</v>
      </c>
      <c r="AF40" s="27" t="s">
        <v>10</v>
      </c>
      <c r="AG40" s="22" t="s">
        <v>10</v>
      </c>
      <c r="AH40" s="27" t="s">
        <v>84</v>
      </c>
      <c r="AI40" s="22" t="s">
        <v>157</v>
      </c>
      <c r="AJ40" s="27" t="s">
        <v>103</v>
      </c>
      <c r="AK40" s="22" t="s">
        <v>158</v>
      </c>
      <c r="AL40" s="27" t="s">
        <v>10</v>
      </c>
      <c r="AM40" s="22" t="s">
        <v>10</v>
      </c>
      <c r="AN40" s="27" t="s">
        <v>10</v>
      </c>
      <c r="AO40" s="22" t="s">
        <v>10</v>
      </c>
      <c r="AP40" s="27" t="s">
        <v>76</v>
      </c>
      <c r="AQ40" s="22" t="s">
        <v>756</v>
      </c>
      <c r="AR40" s="27" t="s">
        <v>673</v>
      </c>
      <c r="AS40" s="22" t="s">
        <v>774</v>
      </c>
      <c r="AT40" s="27" t="s">
        <v>666</v>
      </c>
      <c r="AU40" s="22" t="s">
        <v>773</v>
      </c>
      <c r="AV40" s="27" t="s">
        <v>10</v>
      </c>
      <c r="AW40" s="22" t="s">
        <v>10</v>
      </c>
      <c r="AX40" s="27" t="s">
        <v>10</v>
      </c>
      <c r="AY40" s="22" t="s">
        <v>10</v>
      </c>
      <c r="AZ40" s="27" t="s">
        <v>10</v>
      </c>
      <c r="BA40" s="22" t="s">
        <v>10</v>
      </c>
      <c r="BB40" s="27" t="s">
        <v>10</v>
      </c>
      <c r="BC40" s="22" t="s">
        <v>10</v>
      </c>
      <c r="BD40" s="27" t="s">
        <v>683</v>
      </c>
      <c r="BE40" s="22" t="s">
        <v>843</v>
      </c>
    </row>
    <row r="41" spans="1:57" ht="7.35" customHeight="1" x14ac:dyDescent="0.25">
      <c r="A41" s="56">
        <v>40</v>
      </c>
      <c r="B41" s="37" t="s">
        <v>91</v>
      </c>
      <c r="C41" s="33" t="s">
        <v>822</v>
      </c>
      <c r="D41" s="34" t="s">
        <v>10</v>
      </c>
      <c r="E41" s="35" t="s">
        <v>10</v>
      </c>
      <c r="F41" s="34" t="s">
        <v>81</v>
      </c>
      <c r="G41" s="35" t="s">
        <v>112</v>
      </c>
      <c r="H41" s="34" t="s">
        <v>81</v>
      </c>
      <c r="I41" s="35" t="s">
        <v>121</v>
      </c>
      <c r="J41" s="34" t="s">
        <v>10</v>
      </c>
      <c r="K41" s="35" t="s">
        <v>10</v>
      </c>
      <c r="L41" s="34" t="s">
        <v>10</v>
      </c>
      <c r="M41" s="35" t="s">
        <v>10</v>
      </c>
      <c r="N41" s="34" t="s">
        <v>10</v>
      </c>
      <c r="O41" s="35" t="s">
        <v>10</v>
      </c>
      <c r="P41" s="34" t="s">
        <v>10</v>
      </c>
      <c r="Q41" s="35" t="s">
        <v>10</v>
      </c>
      <c r="R41" s="34" t="s">
        <v>10</v>
      </c>
      <c r="S41" s="35" t="s">
        <v>10</v>
      </c>
      <c r="T41" s="34" t="s">
        <v>10</v>
      </c>
      <c r="U41" s="35" t="s">
        <v>10</v>
      </c>
      <c r="V41" s="34" t="s">
        <v>10</v>
      </c>
      <c r="W41" s="35" t="s">
        <v>10</v>
      </c>
      <c r="X41" s="34" t="s">
        <v>10</v>
      </c>
      <c r="Y41" s="35" t="s">
        <v>10</v>
      </c>
      <c r="Z41" s="34" t="s">
        <v>10</v>
      </c>
      <c r="AA41" s="35" t="s">
        <v>10</v>
      </c>
      <c r="AB41" s="27" t="s">
        <v>77</v>
      </c>
      <c r="AC41" s="22" t="s">
        <v>100</v>
      </c>
      <c r="AD41" s="27" t="s">
        <v>93</v>
      </c>
      <c r="AE41" s="22" t="s">
        <v>94</v>
      </c>
      <c r="AF41" s="27" t="s">
        <v>10</v>
      </c>
      <c r="AG41" s="22" t="s">
        <v>10</v>
      </c>
      <c r="AH41" s="27" t="s">
        <v>84</v>
      </c>
      <c r="AI41" s="22" t="s">
        <v>92</v>
      </c>
      <c r="AJ41" s="27" t="s">
        <v>103</v>
      </c>
      <c r="AK41" s="22" t="s">
        <v>158</v>
      </c>
      <c r="AL41" s="27" t="s">
        <v>10</v>
      </c>
      <c r="AM41" s="22" t="s">
        <v>10</v>
      </c>
      <c r="AN41" s="27" t="s">
        <v>10</v>
      </c>
      <c r="AO41" s="22" t="s">
        <v>10</v>
      </c>
      <c r="AP41" s="27" t="s">
        <v>76</v>
      </c>
      <c r="AQ41" s="22" t="s">
        <v>756</v>
      </c>
      <c r="AR41" s="27" t="s">
        <v>673</v>
      </c>
      <c r="AS41" s="22" t="s">
        <v>774</v>
      </c>
      <c r="AT41" s="27" t="s">
        <v>666</v>
      </c>
      <c r="AU41" s="22" t="s">
        <v>773</v>
      </c>
      <c r="AV41" s="27" t="s">
        <v>10</v>
      </c>
      <c r="AW41" s="22" t="s">
        <v>10</v>
      </c>
      <c r="AX41" s="27" t="s">
        <v>10</v>
      </c>
      <c r="AY41" s="22" t="s">
        <v>10</v>
      </c>
      <c r="AZ41" s="27" t="s">
        <v>10</v>
      </c>
      <c r="BA41" s="22" t="s">
        <v>10</v>
      </c>
      <c r="BB41" s="27" t="s">
        <v>10</v>
      </c>
      <c r="BC41" s="22" t="s">
        <v>10</v>
      </c>
      <c r="BD41" s="27" t="s">
        <v>683</v>
      </c>
      <c r="BE41" s="22" t="s">
        <v>843</v>
      </c>
    </row>
    <row r="42" spans="1:57" ht="7.35" customHeight="1" x14ac:dyDescent="0.25">
      <c r="A42" s="56">
        <v>41</v>
      </c>
      <c r="B42" s="37" t="s">
        <v>117</v>
      </c>
      <c r="C42" s="30" t="s">
        <v>821</v>
      </c>
      <c r="D42" s="34" t="s">
        <v>10</v>
      </c>
      <c r="E42" s="35" t="s">
        <v>10</v>
      </c>
      <c r="F42" s="34" t="s">
        <v>81</v>
      </c>
      <c r="G42" s="35" t="s">
        <v>112</v>
      </c>
      <c r="H42" s="34" t="s">
        <v>10</v>
      </c>
      <c r="I42" s="35" t="s">
        <v>10</v>
      </c>
      <c r="J42" s="34" t="s">
        <v>10</v>
      </c>
      <c r="K42" s="35" t="s">
        <v>10</v>
      </c>
      <c r="L42" s="34" t="s">
        <v>10</v>
      </c>
      <c r="M42" s="35" t="s">
        <v>10</v>
      </c>
      <c r="N42" s="34" t="s">
        <v>10</v>
      </c>
      <c r="O42" s="35" t="s">
        <v>10</v>
      </c>
      <c r="P42" s="34" t="s">
        <v>10</v>
      </c>
      <c r="Q42" s="35" t="s">
        <v>10</v>
      </c>
      <c r="R42" s="34" t="s">
        <v>10</v>
      </c>
      <c r="S42" s="35" t="s">
        <v>10</v>
      </c>
      <c r="T42" s="34" t="s">
        <v>10</v>
      </c>
      <c r="U42" s="35" t="s">
        <v>10</v>
      </c>
      <c r="V42" s="34" t="s">
        <v>10</v>
      </c>
      <c r="W42" s="35" t="s">
        <v>10</v>
      </c>
      <c r="X42" s="34" t="s">
        <v>10</v>
      </c>
      <c r="Y42" s="35" t="s">
        <v>10</v>
      </c>
      <c r="Z42" s="34" t="s">
        <v>10</v>
      </c>
      <c r="AA42" s="35" t="s">
        <v>10</v>
      </c>
      <c r="AB42" s="27" t="s">
        <v>77</v>
      </c>
      <c r="AC42" s="22" t="s">
        <v>159</v>
      </c>
      <c r="AD42" s="27" t="s">
        <v>93</v>
      </c>
      <c r="AE42" s="22" t="s">
        <v>94</v>
      </c>
      <c r="AF42" s="27" t="s">
        <v>10</v>
      </c>
      <c r="AG42" s="22" t="s">
        <v>10</v>
      </c>
      <c r="AH42" s="27" t="s">
        <v>84</v>
      </c>
      <c r="AI42" s="22" t="s">
        <v>118</v>
      </c>
      <c r="AJ42" s="27" t="s">
        <v>103</v>
      </c>
      <c r="AK42" s="22" t="s">
        <v>87</v>
      </c>
      <c r="AL42" s="27" t="s">
        <v>10</v>
      </c>
      <c r="AM42" s="22" t="s">
        <v>10</v>
      </c>
      <c r="AN42" s="27" t="s">
        <v>10</v>
      </c>
      <c r="AO42" s="22" t="s">
        <v>10</v>
      </c>
      <c r="AP42" s="27" t="s">
        <v>76</v>
      </c>
      <c r="AQ42" s="22" t="s">
        <v>749</v>
      </c>
      <c r="AR42" s="27" t="s">
        <v>673</v>
      </c>
      <c r="AS42" s="22" t="s">
        <v>774</v>
      </c>
      <c r="AT42" s="27" t="s">
        <v>666</v>
      </c>
      <c r="AU42" s="22" t="s">
        <v>773</v>
      </c>
      <c r="AV42" s="27" t="s">
        <v>10</v>
      </c>
      <c r="AW42" s="22" t="s">
        <v>10</v>
      </c>
      <c r="AX42" s="27" t="s">
        <v>277</v>
      </c>
      <c r="AY42" s="22" t="s">
        <v>667</v>
      </c>
      <c r="AZ42" s="27" t="s">
        <v>443</v>
      </c>
      <c r="BA42" s="22" t="s">
        <v>445</v>
      </c>
      <c r="BB42" s="27" t="s">
        <v>10</v>
      </c>
      <c r="BC42" s="22" t="s">
        <v>10</v>
      </c>
      <c r="BD42" s="27" t="s">
        <v>683</v>
      </c>
      <c r="BE42" s="22" t="s">
        <v>843</v>
      </c>
    </row>
    <row r="43" spans="1:57" ht="7.35" customHeight="1" x14ac:dyDescent="0.25">
      <c r="A43" s="56">
        <v>42</v>
      </c>
      <c r="B43" s="37" t="s">
        <v>119</v>
      </c>
      <c r="C43" s="30" t="s">
        <v>821</v>
      </c>
      <c r="D43" s="34" t="s">
        <v>10</v>
      </c>
      <c r="E43" s="35" t="s">
        <v>10</v>
      </c>
      <c r="F43" s="34" t="s">
        <v>81</v>
      </c>
      <c r="G43" s="35" t="s">
        <v>112</v>
      </c>
      <c r="H43" s="34" t="s">
        <v>10</v>
      </c>
      <c r="I43" s="35" t="s">
        <v>10</v>
      </c>
      <c r="J43" s="34" t="s">
        <v>10</v>
      </c>
      <c r="K43" s="35" t="s">
        <v>10</v>
      </c>
      <c r="L43" s="34" t="s">
        <v>10</v>
      </c>
      <c r="M43" s="35" t="s">
        <v>10</v>
      </c>
      <c r="N43" s="34" t="s">
        <v>10</v>
      </c>
      <c r="O43" s="35" t="s">
        <v>10</v>
      </c>
      <c r="P43" s="34" t="s">
        <v>10</v>
      </c>
      <c r="Q43" s="35" t="s">
        <v>10</v>
      </c>
      <c r="R43" s="34" t="s">
        <v>10</v>
      </c>
      <c r="S43" s="35" t="s">
        <v>10</v>
      </c>
      <c r="T43" s="34" t="s">
        <v>10</v>
      </c>
      <c r="U43" s="35" t="s">
        <v>10</v>
      </c>
      <c r="V43" s="34" t="s">
        <v>10</v>
      </c>
      <c r="W43" s="35" t="s">
        <v>10</v>
      </c>
      <c r="X43" s="34" t="s">
        <v>10</v>
      </c>
      <c r="Y43" s="35" t="s">
        <v>10</v>
      </c>
      <c r="Z43" s="34" t="s">
        <v>10</v>
      </c>
      <c r="AA43" s="35" t="s">
        <v>10</v>
      </c>
      <c r="AB43" s="27" t="s">
        <v>77</v>
      </c>
      <c r="AC43" s="22" t="s">
        <v>160</v>
      </c>
      <c r="AD43" s="27" t="s">
        <v>93</v>
      </c>
      <c r="AE43" s="22" t="s">
        <v>94</v>
      </c>
      <c r="AF43" s="27" t="s">
        <v>10</v>
      </c>
      <c r="AG43" s="22" t="s">
        <v>10</v>
      </c>
      <c r="AH43" s="27" t="s">
        <v>84</v>
      </c>
      <c r="AI43" s="22" t="s">
        <v>131</v>
      </c>
      <c r="AJ43" s="27" t="s">
        <v>103</v>
      </c>
      <c r="AK43" s="22" t="s">
        <v>87</v>
      </c>
      <c r="AL43" s="27" t="s">
        <v>10</v>
      </c>
      <c r="AM43" s="22" t="s">
        <v>10</v>
      </c>
      <c r="AN43" s="27" t="s">
        <v>10</v>
      </c>
      <c r="AO43" s="22" t="s">
        <v>10</v>
      </c>
      <c r="AP43" s="27" t="s">
        <v>76</v>
      </c>
      <c r="AQ43" s="22" t="s">
        <v>750</v>
      </c>
      <c r="AR43" s="27" t="s">
        <v>673</v>
      </c>
      <c r="AS43" s="22" t="s">
        <v>774</v>
      </c>
      <c r="AT43" s="27" t="s">
        <v>666</v>
      </c>
      <c r="AU43" s="22" t="s">
        <v>773</v>
      </c>
      <c r="AV43" s="27" t="s">
        <v>10</v>
      </c>
      <c r="AW43" s="22" t="s">
        <v>10</v>
      </c>
      <c r="AX43" s="27" t="s">
        <v>277</v>
      </c>
      <c r="AY43" s="22" t="s">
        <v>667</v>
      </c>
      <c r="AZ43" s="27" t="s">
        <v>443</v>
      </c>
      <c r="BA43" s="22" t="s">
        <v>445</v>
      </c>
      <c r="BB43" s="27" t="s">
        <v>10</v>
      </c>
      <c r="BC43" s="22" t="s">
        <v>10</v>
      </c>
      <c r="BD43" s="27" t="s">
        <v>683</v>
      </c>
      <c r="BE43" s="22" t="s">
        <v>843</v>
      </c>
    </row>
    <row r="44" spans="1:57" ht="7.35" customHeight="1" x14ac:dyDescent="0.25">
      <c r="A44" s="56">
        <v>43</v>
      </c>
      <c r="B44" s="37" t="s">
        <v>120</v>
      </c>
      <c r="C44" s="30" t="s">
        <v>821</v>
      </c>
      <c r="D44" s="34" t="s">
        <v>10</v>
      </c>
      <c r="E44" s="35" t="s">
        <v>10</v>
      </c>
      <c r="F44" s="34" t="s">
        <v>81</v>
      </c>
      <c r="G44" s="35" t="s">
        <v>112</v>
      </c>
      <c r="H44" s="34" t="s">
        <v>10</v>
      </c>
      <c r="I44" s="35" t="s">
        <v>10</v>
      </c>
      <c r="J44" s="34" t="s">
        <v>10</v>
      </c>
      <c r="K44" s="35" t="s">
        <v>10</v>
      </c>
      <c r="L44" s="34" t="s">
        <v>10</v>
      </c>
      <c r="M44" s="35" t="s">
        <v>10</v>
      </c>
      <c r="N44" s="34" t="s">
        <v>10</v>
      </c>
      <c r="O44" s="35" t="s">
        <v>10</v>
      </c>
      <c r="P44" s="34" t="s">
        <v>10</v>
      </c>
      <c r="Q44" s="35" t="s">
        <v>10</v>
      </c>
      <c r="R44" s="34" t="s">
        <v>10</v>
      </c>
      <c r="S44" s="35" t="s">
        <v>10</v>
      </c>
      <c r="T44" s="34" t="s">
        <v>10</v>
      </c>
      <c r="U44" s="35" t="s">
        <v>10</v>
      </c>
      <c r="V44" s="34" t="s">
        <v>10</v>
      </c>
      <c r="W44" s="35" t="s">
        <v>10</v>
      </c>
      <c r="X44" s="34" t="s">
        <v>10</v>
      </c>
      <c r="Y44" s="35" t="s">
        <v>10</v>
      </c>
      <c r="Z44" s="34" t="s">
        <v>10</v>
      </c>
      <c r="AA44" s="35" t="s">
        <v>10</v>
      </c>
      <c r="AB44" s="27" t="s">
        <v>77</v>
      </c>
      <c r="AC44" s="22" t="s">
        <v>161</v>
      </c>
      <c r="AD44" s="27" t="s">
        <v>93</v>
      </c>
      <c r="AE44" s="22" t="s">
        <v>94</v>
      </c>
      <c r="AF44" s="27" t="s">
        <v>10</v>
      </c>
      <c r="AG44" s="22" t="s">
        <v>10</v>
      </c>
      <c r="AH44" s="27" t="s">
        <v>84</v>
      </c>
      <c r="AI44" s="22" t="s">
        <v>132</v>
      </c>
      <c r="AJ44" s="27" t="s">
        <v>103</v>
      </c>
      <c r="AK44" s="22" t="s">
        <v>87</v>
      </c>
      <c r="AL44" s="27" t="s">
        <v>10</v>
      </c>
      <c r="AM44" s="22" t="s">
        <v>10</v>
      </c>
      <c r="AN44" s="27" t="s">
        <v>10</v>
      </c>
      <c r="AO44" s="22" t="s">
        <v>10</v>
      </c>
      <c r="AP44" s="27" t="s">
        <v>76</v>
      </c>
      <c r="AQ44" s="22" t="s">
        <v>751</v>
      </c>
      <c r="AR44" s="27" t="s">
        <v>673</v>
      </c>
      <c r="AS44" s="22" t="s">
        <v>774</v>
      </c>
      <c r="AT44" s="27" t="s">
        <v>666</v>
      </c>
      <c r="AU44" s="22" t="s">
        <v>773</v>
      </c>
      <c r="AV44" s="27" t="s">
        <v>10</v>
      </c>
      <c r="AW44" s="22" t="s">
        <v>10</v>
      </c>
      <c r="AX44" s="27" t="s">
        <v>277</v>
      </c>
      <c r="AY44" s="22" t="s">
        <v>667</v>
      </c>
      <c r="AZ44" s="27" t="s">
        <v>443</v>
      </c>
      <c r="BA44" s="22" t="s">
        <v>445</v>
      </c>
      <c r="BB44" s="27" t="s">
        <v>10</v>
      </c>
      <c r="BC44" s="22" t="s">
        <v>10</v>
      </c>
      <c r="BD44" s="27" t="s">
        <v>683</v>
      </c>
      <c r="BE44" s="22" t="s">
        <v>843</v>
      </c>
    </row>
    <row r="45" spans="1:57" ht="7.35" customHeight="1" x14ac:dyDescent="0.25">
      <c r="A45" s="56">
        <v>44</v>
      </c>
      <c r="B45" s="37" t="s">
        <v>121</v>
      </c>
      <c r="C45" s="30" t="s">
        <v>821</v>
      </c>
      <c r="D45" s="34" t="s">
        <v>10</v>
      </c>
      <c r="E45" s="35" t="s">
        <v>10</v>
      </c>
      <c r="F45" s="34" t="s">
        <v>81</v>
      </c>
      <c r="G45" s="35" t="s">
        <v>112</v>
      </c>
      <c r="H45" s="34" t="s">
        <v>10</v>
      </c>
      <c r="I45" s="35" t="s">
        <v>10</v>
      </c>
      <c r="J45" s="34" t="s">
        <v>10</v>
      </c>
      <c r="K45" s="35" t="s">
        <v>10</v>
      </c>
      <c r="L45" s="34" t="s">
        <v>10</v>
      </c>
      <c r="M45" s="35" t="s">
        <v>10</v>
      </c>
      <c r="N45" s="34" t="s">
        <v>10</v>
      </c>
      <c r="O45" s="35" t="s">
        <v>10</v>
      </c>
      <c r="P45" s="34" t="s">
        <v>10</v>
      </c>
      <c r="Q45" s="35" t="s">
        <v>10</v>
      </c>
      <c r="R45" s="34" t="s">
        <v>10</v>
      </c>
      <c r="S45" s="35" t="s">
        <v>10</v>
      </c>
      <c r="T45" s="34" t="s">
        <v>10</v>
      </c>
      <c r="U45" s="35" t="s">
        <v>10</v>
      </c>
      <c r="V45" s="34" t="s">
        <v>10</v>
      </c>
      <c r="W45" s="35" t="s">
        <v>10</v>
      </c>
      <c r="X45" s="34" t="s">
        <v>10</v>
      </c>
      <c r="Y45" s="35" t="s">
        <v>10</v>
      </c>
      <c r="Z45" s="34" t="s">
        <v>10</v>
      </c>
      <c r="AA45" s="35" t="s">
        <v>10</v>
      </c>
      <c r="AB45" s="27" t="s">
        <v>77</v>
      </c>
      <c r="AC45" s="22" t="s">
        <v>162</v>
      </c>
      <c r="AD45" s="27" t="s">
        <v>93</v>
      </c>
      <c r="AE45" s="22" t="s">
        <v>94</v>
      </c>
      <c r="AF45" s="27" t="s">
        <v>10</v>
      </c>
      <c r="AG45" s="22" t="s">
        <v>10</v>
      </c>
      <c r="AH45" s="27" t="s">
        <v>84</v>
      </c>
      <c r="AI45" s="22" t="s">
        <v>134</v>
      </c>
      <c r="AJ45" s="27" t="s">
        <v>103</v>
      </c>
      <c r="AK45" s="22" t="s">
        <v>87</v>
      </c>
      <c r="AL45" s="27" t="s">
        <v>10</v>
      </c>
      <c r="AM45" s="22" t="s">
        <v>10</v>
      </c>
      <c r="AN45" s="27" t="s">
        <v>10</v>
      </c>
      <c r="AO45" s="22" t="s">
        <v>10</v>
      </c>
      <c r="AP45" s="27" t="s">
        <v>76</v>
      </c>
      <c r="AQ45" s="22" t="s">
        <v>752</v>
      </c>
      <c r="AR45" s="27" t="s">
        <v>673</v>
      </c>
      <c r="AS45" s="22" t="s">
        <v>774</v>
      </c>
      <c r="AT45" s="27" t="s">
        <v>666</v>
      </c>
      <c r="AU45" s="22" t="s">
        <v>773</v>
      </c>
      <c r="AV45" s="27" t="s">
        <v>10</v>
      </c>
      <c r="AW45" s="22" t="s">
        <v>10</v>
      </c>
      <c r="AX45" s="27" t="s">
        <v>277</v>
      </c>
      <c r="AY45" s="22" t="s">
        <v>667</v>
      </c>
      <c r="AZ45" s="27" t="s">
        <v>443</v>
      </c>
      <c r="BA45" s="22" t="s">
        <v>445</v>
      </c>
      <c r="BB45" s="27" t="s">
        <v>10</v>
      </c>
      <c r="BC45" s="22" t="s">
        <v>10</v>
      </c>
      <c r="BD45" s="27" t="s">
        <v>683</v>
      </c>
      <c r="BE45" s="22" t="s">
        <v>843</v>
      </c>
    </row>
    <row r="46" spans="1:57" ht="7.35" customHeight="1" x14ac:dyDescent="0.25">
      <c r="A46" s="56">
        <v>45</v>
      </c>
      <c r="B46" s="37" t="s">
        <v>122</v>
      </c>
      <c r="C46" s="30" t="s">
        <v>821</v>
      </c>
      <c r="D46" s="34" t="s">
        <v>10</v>
      </c>
      <c r="E46" s="35" t="s">
        <v>10</v>
      </c>
      <c r="F46" s="34" t="s">
        <v>81</v>
      </c>
      <c r="G46" s="35" t="s">
        <v>112</v>
      </c>
      <c r="H46" s="34" t="s">
        <v>10</v>
      </c>
      <c r="I46" s="35" t="s">
        <v>10</v>
      </c>
      <c r="J46" s="34" t="s">
        <v>10</v>
      </c>
      <c r="K46" s="35" t="s">
        <v>10</v>
      </c>
      <c r="L46" s="34" t="s">
        <v>10</v>
      </c>
      <c r="M46" s="35" t="s">
        <v>10</v>
      </c>
      <c r="N46" s="34" t="s">
        <v>10</v>
      </c>
      <c r="O46" s="35" t="s">
        <v>10</v>
      </c>
      <c r="P46" s="34" t="s">
        <v>10</v>
      </c>
      <c r="Q46" s="35" t="s">
        <v>10</v>
      </c>
      <c r="R46" s="34" t="s">
        <v>10</v>
      </c>
      <c r="S46" s="35" t="s">
        <v>10</v>
      </c>
      <c r="T46" s="34" t="s">
        <v>10</v>
      </c>
      <c r="U46" s="35" t="s">
        <v>10</v>
      </c>
      <c r="V46" s="34" t="s">
        <v>10</v>
      </c>
      <c r="W46" s="35" t="s">
        <v>10</v>
      </c>
      <c r="X46" s="34" t="s">
        <v>10</v>
      </c>
      <c r="Y46" s="35" t="s">
        <v>10</v>
      </c>
      <c r="Z46" s="34" t="s">
        <v>10</v>
      </c>
      <c r="AA46" s="35" t="s">
        <v>10</v>
      </c>
      <c r="AB46" s="27" t="s">
        <v>77</v>
      </c>
      <c r="AC46" s="22" t="s">
        <v>163</v>
      </c>
      <c r="AD46" s="27" t="s">
        <v>93</v>
      </c>
      <c r="AE46" s="22" t="s">
        <v>94</v>
      </c>
      <c r="AF46" s="27" t="s">
        <v>10</v>
      </c>
      <c r="AG46" s="22" t="s">
        <v>10</v>
      </c>
      <c r="AH46" s="27" t="s">
        <v>84</v>
      </c>
      <c r="AI46" s="22" t="s">
        <v>135</v>
      </c>
      <c r="AJ46" s="27" t="s">
        <v>103</v>
      </c>
      <c r="AK46" s="22" t="s">
        <v>87</v>
      </c>
      <c r="AL46" s="27" t="s">
        <v>10</v>
      </c>
      <c r="AM46" s="22" t="s">
        <v>10</v>
      </c>
      <c r="AN46" s="27" t="s">
        <v>10</v>
      </c>
      <c r="AO46" s="22" t="s">
        <v>10</v>
      </c>
      <c r="AP46" s="27" t="s">
        <v>76</v>
      </c>
      <c r="AQ46" s="22" t="s">
        <v>753</v>
      </c>
      <c r="AR46" s="27" t="s">
        <v>673</v>
      </c>
      <c r="AS46" s="22" t="s">
        <v>774</v>
      </c>
      <c r="AT46" s="27" t="s">
        <v>666</v>
      </c>
      <c r="AU46" s="22" t="s">
        <v>773</v>
      </c>
      <c r="AV46" s="27" t="s">
        <v>10</v>
      </c>
      <c r="AW46" s="22" t="s">
        <v>10</v>
      </c>
      <c r="AX46" s="27" t="s">
        <v>277</v>
      </c>
      <c r="AY46" s="22" t="s">
        <v>667</v>
      </c>
      <c r="AZ46" s="27" t="s">
        <v>443</v>
      </c>
      <c r="BA46" s="22" t="s">
        <v>445</v>
      </c>
      <c r="BB46" s="27" t="s">
        <v>10</v>
      </c>
      <c r="BC46" s="22" t="s">
        <v>10</v>
      </c>
      <c r="BD46" s="27" t="s">
        <v>683</v>
      </c>
      <c r="BE46" s="22" t="s">
        <v>843</v>
      </c>
    </row>
    <row r="47" spans="1:57" ht="7.35" customHeight="1" x14ac:dyDescent="0.25">
      <c r="A47" s="56">
        <v>46</v>
      </c>
      <c r="B47" s="37" t="s">
        <v>123</v>
      </c>
      <c r="C47" s="30" t="s">
        <v>821</v>
      </c>
      <c r="D47" s="34" t="s">
        <v>10</v>
      </c>
      <c r="E47" s="35" t="s">
        <v>10</v>
      </c>
      <c r="F47" s="34" t="s">
        <v>81</v>
      </c>
      <c r="G47" s="35" t="s">
        <v>112</v>
      </c>
      <c r="H47" s="34" t="s">
        <v>10</v>
      </c>
      <c r="I47" s="35" t="s">
        <v>10</v>
      </c>
      <c r="J47" s="34" t="s">
        <v>10</v>
      </c>
      <c r="K47" s="35" t="s">
        <v>10</v>
      </c>
      <c r="L47" s="34" t="s">
        <v>10</v>
      </c>
      <c r="M47" s="35" t="s">
        <v>10</v>
      </c>
      <c r="N47" s="34" t="s">
        <v>10</v>
      </c>
      <c r="O47" s="35" t="s">
        <v>10</v>
      </c>
      <c r="P47" s="34" t="s">
        <v>10</v>
      </c>
      <c r="Q47" s="35" t="s">
        <v>10</v>
      </c>
      <c r="R47" s="34" t="s">
        <v>10</v>
      </c>
      <c r="S47" s="35" t="s">
        <v>10</v>
      </c>
      <c r="T47" s="34" t="s">
        <v>10</v>
      </c>
      <c r="U47" s="35" t="s">
        <v>10</v>
      </c>
      <c r="V47" s="34" t="s">
        <v>10</v>
      </c>
      <c r="W47" s="35" t="s">
        <v>10</v>
      </c>
      <c r="X47" s="34" t="s">
        <v>10</v>
      </c>
      <c r="Y47" s="35" t="s">
        <v>10</v>
      </c>
      <c r="Z47" s="34" t="s">
        <v>10</v>
      </c>
      <c r="AA47" s="35" t="s">
        <v>10</v>
      </c>
      <c r="AB47" s="27" t="s">
        <v>77</v>
      </c>
      <c r="AC47" s="22" t="s">
        <v>164</v>
      </c>
      <c r="AD47" s="27" t="s">
        <v>93</v>
      </c>
      <c r="AE47" s="22" t="s">
        <v>94</v>
      </c>
      <c r="AF47" s="27" t="s">
        <v>10</v>
      </c>
      <c r="AG47" s="22" t="s">
        <v>10</v>
      </c>
      <c r="AH47" s="27" t="s">
        <v>84</v>
      </c>
      <c r="AI47" s="22" t="s">
        <v>136</v>
      </c>
      <c r="AJ47" s="27" t="s">
        <v>103</v>
      </c>
      <c r="AK47" s="22" t="s">
        <v>87</v>
      </c>
      <c r="AL47" s="27" t="s">
        <v>10</v>
      </c>
      <c r="AM47" s="22" t="s">
        <v>10</v>
      </c>
      <c r="AN47" s="27" t="s">
        <v>10</v>
      </c>
      <c r="AO47" s="22" t="s">
        <v>10</v>
      </c>
      <c r="AP47" s="27" t="s">
        <v>76</v>
      </c>
      <c r="AQ47" s="22" t="s">
        <v>754</v>
      </c>
      <c r="AR47" s="27" t="s">
        <v>673</v>
      </c>
      <c r="AS47" s="22" t="s">
        <v>774</v>
      </c>
      <c r="AT47" s="27" t="s">
        <v>666</v>
      </c>
      <c r="AU47" s="22" t="s">
        <v>773</v>
      </c>
      <c r="AV47" s="27" t="s">
        <v>10</v>
      </c>
      <c r="AW47" s="22" t="s">
        <v>10</v>
      </c>
      <c r="AX47" s="27" t="s">
        <v>277</v>
      </c>
      <c r="AY47" s="22" t="s">
        <v>667</v>
      </c>
      <c r="AZ47" s="27" t="s">
        <v>443</v>
      </c>
      <c r="BA47" s="22" t="s">
        <v>445</v>
      </c>
      <c r="BB47" s="27" t="s">
        <v>10</v>
      </c>
      <c r="BC47" s="22" t="s">
        <v>10</v>
      </c>
      <c r="BD47" s="27" t="s">
        <v>683</v>
      </c>
      <c r="BE47" s="22" t="s">
        <v>843</v>
      </c>
    </row>
    <row r="48" spans="1:57" ht="7.35" customHeight="1" x14ac:dyDescent="0.25">
      <c r="A48" s="56">
        <v>47</v>
      </c>
      <c r="B48" s="37" t="s">
        <v>124</v>
      </c>
      <c r="C48" s="30" t="s">
        <v>821</v>
      </c>
      <c r="D48" s="34" t="s">
        <v>10</v>
      </c>
      <c r="E48" s="35" t="s">
        <v>10</v>
      </c>
      <c r="F48" s="34" t="s">
        <v>81</v>
      </c>
      <c r="G48" s="35" t="s">
        <v>112</v>
      </c>
      <c r="H48" s="34" t="s">
        <v>10</v>
      </c>
      <c r="I48" s="35" t="s">
        <v>10</v>
      </c>
      <c r="J48" s="34" t="s">
        <v>10</v>
      </c>
      <c r="K48" s="35" t="s">
        <v>10</v>
      </c>
      <c r="L48" s="34" t="s">
        <v>10</v>
      </c>
      <c r="M48" s="35" t="s">
        <v>10</v>
      </c>
      <c r="N48" s="34" t="s">
        <v>10</v>
      </c>
      <c r="O48" s="35" t="s">
        <v>10</v>
      </c>
      <c r="P48" s="34" t="s">
        <v>10</v>
      </c>
      <c r="Q48" s="35" t="s">
        <v>10</v>
      </c>
      <c r="R48" s="34" t="s">
        <v>10</v>
      </c>
      <c r="S48" s="35" t="s">
        <v>10</v>
      </c>
      <c r="T48" s="34" t="s">
        <v>10</v>
      </c>
      <c r="U48" s="35" t="s">
        <v>10</v>
      </c>
      <c r="V48" s="34" t="s">
        <v>10</v>
      </c>
      <c r="W48" s="35" t="s">
        <v>10</v>
      </c>
      <c r="X48" s="34" t="s">
        <v>10</v>
      </c>
      <c r="Y48" s="35" t="s">
        <v>10</v>
      </c>
      <c r="Z48" s="34" t="s">
        <v>10</v>
      </c>
      <c r="AA48" s="35" t="s">
        <v>10</v>
      </c>
      <c r="AB48" s="27" t="s">
        <v>77</v>
      </c>
      <c r="AC48" s="22" t="s">
        <v>165</v>
      </c>
      <c r="AD48" s="27" t="s">
        <v>93</v>
      </c>
      <c r="AE48" s="22" t="s">
        <v>94</v>
      </c>
      <c r="AF48" s="27" t="s">
        <v>10</v>
      </c>
      <c r="AG48" s="22" t="s">
        <v>10</v>
      </c>
      <c r="AH48" s="27" t="s">
        <v>84</v>
      </c>
      <c r="AI48" s="22" t="s">
        <v>137</v>
      </c>
      <c r="AJ48" s="27" t="s">
        <v>103</v>
      </c>
      <c r="AK48" s="22" t="s">
        <v>98</v>
      </c>
      <c r="AL48" s="27" t="s">
        <v>10</v>
      </c>
      <c r="AM48" s="22" t="s">
        <v>10</v>
      </c>
      <c r="AN48" s="27" t="s">
        <v>10</v>
      </c>
      <c r="AO48" s="22" t="s">
        <v>10</v>
      </c>
      <c r="AP48" s="27" t="s">
        <v>76</v>
      </c>
      <c r="AQ48" s="22" t="s">
        <v>755</v>
      </c>
      <c r="AR48" s="27" t="s">
        <v>673</v>
      </c>
      <c r="AS48" s="22" t="s">
        <v>774</v>
      </c>
      <c r="AT48" s="27" t="s">
        <v>666</v>
      </c>
      <c r="AU48" s="22" t="s">
        <v>773</v>
      </c>
      <c r="AV48" s="27" t="s">
        <v>10</v>
      </c>
      <c r="AW48" s="22" t="s">
        <v>10</v>
      </c>
      <c r="AX48" s="27" t="s">
        <v>277</v>
      </c>
      <c r="AY48" s="22" t="s">
        <v>667</v>
      </c>
      <c r="AZ48" s="27" t="s">
        <v>443</v>
      </c>
      <c r="BA48" s="22" t="s">
        <v>445</v>
      </c>
      <c r="BB48" s="27" t="s">
        <v>10</v>
      </c>
      <c r="BC48" s="22" t="s">
        <v>10</v>
      </c>
      <c r="BD48" s="27" t="s">
        <v>683</v>
      </c>
      <c r="BE48" s="22" t="s">
        <v>843</v>
      </c>
    </row>
    <row r="49" spans="1:57" ht="7.35" customHeight="1" x14ac:dyDescent="0.25">
      <c r="A49" s="56">
        <v>48</v>
      </c>
      <c r="B49" s="37" t="s">
        <v>125</v>
      </c>
      <c r="C49" s="30" t="s">
        <v>821</v>
      </c>
      <c r="D49" s="34" t="s">
        <v>10</v>
      </c>
      <c r="E49" s="35" t="s">
        <v>10</v>
      </c>
      <c r="F49" s="34" t="s">
        <v>81</v>
      </c>
      <c r="G49" s="35" t="s">
        <v>112</v>
      </c>
      <c r="H49" s="34" t="s">
        <v>10</v>
      </c>
      <c r="I49" s="35" t="s">
        <v>10</v>
      </c>
      <c r="J49" s="34" t="s">
        <v>10</v>
      </c>
      <c r="K49" s="35" t="s">
        <v>10</v>
      </c>
      <c r="L49" s="34" t="s">
        <v>10</v>
      </c>
      <c r="M49" s="35" t="s">
        <v>10</v>
      </c>
      <c r="N49" s="34" t="s">
        <v>10</v>
      </c>
      <c r="O49" s="35" t="s">
        <v>10</v>
      </c>
      <c r="P49" s="34" t="s">
        <v>10</v>
      </c>
      <c r="Q49" s="35" t="s">
        <v>10</v>
      </c>
      <c r="R49" s="34" t="s">
        <v>10</v>
      </c>
      <c r="S49" s="35" t="s">
        <v>10</v>
      </c>
      <c r="T49" s="34" t="s">
        <v>10</v>
      </c>
      <c r="U49" s="35" t="s">
        <v>10</v>
      </c>
      <c r="V49" s="34" t="s">
        <v>10</v>
      </c>
      <c r="W49" s="35" t="s">
        <v>10</v>
      </c>
      <c r="X49" s="34" t="s">
        <v>10</v>
      </c>
      <c r="Y49" s="35" t="s">
        <v>10</v>
      </c>
      <c r="Z49" s="34" t="s">
        <v>10</v>
      </c>
      <c r="AA49" s="35" t="s">
        <v>10</v>
      </c>
      <c r="AB49" s="27" t="s">
        <v>77</v>
      </c>
      <c r="AC49" s="22" t="s">
        <v>166</v>
      </c>
      <c r="AD49" s="27" t="s">
        <v>93</v>
      </c>
      <c r="AE49" s="22" t="s">
        <v>94</v>
      </c>
      <c r="AF49" s="27" t="s">
        <v>10</v>
      </c>
      <c r="AG49" s="22" t="s">
        <v>10</v>
      </c>
      <c r="AH49" s="27" t="s">
        <v>84</v>
      </c>
      <c r="AI49" s="22" t="s">
        <v>138</v>
      </c>
      <c r="AJ49" s="27" t="s">
        <v>103</v>
      </c>
      <c r="AK49" s="22" t="s">
        <v>155</v>
      </c>
      <c r="AL49" s="27" t="s">
        <v>10</v>
      </c>
      <c r="AM49" s="22" t="s">
        <v>10</v>
      </c>
      <c r="AN49" s="27" t="s">
        <v>10</v>
      </c>
      <c r="AO49" s="22" t="s">
        <v>10</v>
      </c>
      <c r="AP49" s="27" t="s">
        <v>76</v>
      </c>
      <c r="AQ49" s="22" t="s">
        <v>744</v>
      </c>
      <c r="AR49" s="27" t="s">
        <v>673</v>
      </c>
      <c r="AS49" s="22" t="s">
        <v>774</v>
      </c>
      <c r="AT49" s="27" t="s">
        <v>666</v>
      </c>
      <c r="AU49" s="22" t="s">
        <v>773</v>
      </c>
      <c r="AV49" s="27" t="s">
        <v>10</v>
      </c>
      <c r="AW49" s="22" t="s">
        <v>10</v>
      </c>
      <c r="AX49" s="27" t="s">
        <v>277</v>
      </c>
      <c r="AY49" s="22" t="s">
        <v>667</v>
      </c>
      <c r="AZ49" s="27" t="s">
        <v>443</v>
      </c>
      <c r="BA49" s="22" t="s">
        <v>445</v>
      </c>
      <c r="BB49" s="27" t="s">
        <v>10</v>
      </c>
      <c r="BC49" s="22" t="s">
        <v>10</v>
      </c>
      <c r="BD49" s="27" t="s">
        <v>683</v>
      </c>
      <c r="BE49" s="22" t="s">
        <v>843</v>
      </c>
    </row>
    <row r="50" spans="1:57" ht="7.35" customHeight="1" x14ac:dyDescent="0.25">
      <c r="A50" s="56">
        <v>49</v>
      </c>
      <c r="B50" s="37" t="s">
        <v>126</v>
      </c>
      <c r="C50" s="30" t="s">
        <v>821</v>
      </c>
      <c r="D50" s="34" t="s">
        <v>10</v>
      </c>
      <c r="E50" s="35" t="s">
        <v>10</v>
      </c>
      <c r="F50" s="34" t="s">
        <v>81</v>
      </c>
      <c r="G50" s="35" t="s">
        <v>112</v>
      </c>
      <c r="H50" s="34" t="s">
        <v>10</v>
      </c>
      <c r="I50" s="35" t="s">
        <v>10</v>
      </c>
      <c r="J50" s="34" t="s">
        <v>10</v>
      </c>
      <c r="K50" s="35" t="s">
        <v>10</v>
      </c>
      <c r="L50" s="34" t="s">
        <v>10</v>
      </c>
      <c r="M50" s="35" t="s">
        <v>10</v>
      </c>
      <c r="N50" s="34" t="s">
        <v>10</v>
      </c>
      <c r="O50" s="35" t="s">
        <v>10</v>
      </c>
      <c r="P50" s="34" t="s">
        <v>10</v>
      </c>
      <c r="Q50" s="35" t="s">
        <v>10</v>
      </c>
      <c r="R50" s="34" t="s">
        <v>10</v>
      </c>
      <c r="S50" s="35" t="s">
        <v>10</v>
      </c>
      <c r="T50" s="34" t="s">
        <v>10</v>
      </c>
      <c r="U50" s="35" t="s">
        <v>10</v>
      </c>
      <c r="V50" s="34" t="s">
        <v>10</v>
      </c>
      <c r="W50" s="35" t="s">
        <v>10</v>
      </c>
      <c r="X50" s="34" t="s">
        <v>10</v>
      </c>
      <c r="Y50" s="35" t="s">
        <v>10</v>
      </c>
      <c r="Z50" s="34" t="s">
        <v>10</v>
      </c>
      <c r="AA50" s="35" t="s">
        <v>10</v>
      </c>
      <c r="AB50" s="27" t="s">
        <v>77</v>
      </c>
      <c r="AC50" s="22" t="s">
        <v>167</v>
      </c>
      <c r="AD50" s="27" t="s">
        <v>93</v>
      </c>
      <c r="AE50" s="22" t="s">
        <v>94</v>
      </c>
      <c r="AF50" s="27" t="s">
        <v>10</v>
      </c>
      <c r="AG50" s="22" t="s">
        <v>10</v>
      </c>
      <c r="AH50" s="27" t="s">
        <v>84</v>
      </c>
      <c r="AI50" s="22" t="s">
        <v>139</v>
      </c>
      <c r="AJ50" s="27" t="s">
        <v>103</v>
      </c>
      <c r="AK50" s="22" t="s">
        <v>155</v>
      </c>
      <c r="AL50" s="27" t="s">
        <v>10</v>
      </c>
      <c r="AM50" s="22" t="s">
        <v>10</v>
      </c>
      <c r="AN50" s="27" t="s">
        <v>10</v>
      </c>
      <c r="AO50" s="22" t="s">
        <v>10</v>
      </c>
      <c r="AP50" s="27" t="s">
        <v>76</v>
      </c>
      <c r="AQ50" s="22" t="s">
        <v>745</v>
      </c>
      <c r="AR50" s="27" t="s">
        <v>673</v>
      </c>
      <c r="AS50" s="22" t="s">
        <v>774</v>
      </c>
      <c r="AT50" s="27" t="s">
        <v>666</v>
      </c>
      <c r="AU50" s="22" t="s">
        <v>773</v>
      </c>
      <c r="AV50" s="27" t="s">
        <v>10</v>
      </c>
      <c r="AW50" s="22" t="s">
        <v>10</v>
      </c>
      <c r="AX50" s="27" t="s">
        <v>277</v>
      </c>
      <c r="AY50" s="22" t="s">
        <v>667</v>
      </c>
      <c r="AZ50" s="27" t="s">
        <v>443</v>
      </c>
      <c r="BA50" s="22" t="s">
        <v>445</v>
      </c>
      <c r="BB50" s="27" t="s">
        <v>10</v>
      </c>
      <c r="BC50" s="22" t="s">
        <v>10</v>
      </c>
      <c r="BD50" s="27" t="s">
        <v>683</v>
      </c>
      <c r="BE50" s="22" t="s">
        <v>843</v>
      </c>
    </row>
    <row r="51" spans="1:57" ht="7.35" customHeight="1" x14ac:dyDescent="0.25">
      <c r="A51" s="56">
        <v>50</v>
      </c>
      <c r="B51" s="37" t="s">
        <v>127</v>
      </c>
      <c r="C51" s="30" t="s">
        <v>821</v>
      </c>
      <c r="D51" s="34" t="s">
        <v>10</v>
      </c>
      <c r="E51" s="35" t="s">
        <v>10</v>
      </c>
      <c r="F51" s="34" t="s">
        <v>81</v>
      </c>
      <c r="G51" s="35" t="s">
        <v>112</v>
      </c>
      <c r="H51" s="34" t="s">
        <v>10</v>
      </c>
      <c r="I51" s="35" t="s">
        <v>10</v>
      </c>
      <c r="J51" s="34" t="s">
        <v>10</v>
      </c>
      <c r="K51" s="35" t="s">
        <v>10</v>
      </c>
      <c r="L51" s="34" t="s">
        <v>10</v>
      </c>
      <c r="M51" s="35" t="s">
        <v>10</v>
      </c>
      <c r="N51" s="34" t="s">
        <v>10</v>
      </c>
      <c r="O51" s="35" t="s">
        <v>10</v>
      </c>
      <c r="P51" s="34" t="s">
        <v>10</v>
      </c>
      <c r="Q51" s="35" t="s">
        <v>10</v>
      </c>
      <c r="R51" s="34" t="s">
        <v>10</v>
      </c>
      <c r="S51" s="35" t="s">
        <v>10</v>
      </c>
      <c r="T51" s="34" t="s">
        <v>10</v>
      </c>
      <c r="U51" s="35" t="s">
        <v>10</v>
      </c>
      <c r="V51" s="34" t="s">
        <v>10</v>
      </c>
      <c r="W51" s="35" t="s">
        <v>10</v>
      </c>
      <c r="X51" s="34" t="s">
        <v>10</v>
      </c>
      <c r="Y51" s="35" t="s">
        <v>10</v>
      </c>
      <c r="Z51" s="34" t="s">
        <v>10</v>
      </c>
      <c r="AA51" s="35" t="s">
        <v>10</v>
      </c>
      <c r="AB51" s="27" t="s">
        <v>77</v>
      </c>
      <c r="AC51" s="22" t="s">
        <v>168</v>
      </c>
      <c r="AD51" s="27" t="s">
        <v>93</v>
      </c>
      <c r="AE51" s="22" t="s">
        <v>94</v>
      </c>
      <c r="AF51" s="27" t="s">
        <v>10</v>
      </c>
      <c r="AG51" s="22" t="s">
        <v>10</v>
      </c>
      <c r="AH51" s="27" t="s">
        <v>84</v>
      </c>
      <c r="AI51" s="22" t="s">
        <v>140</v>
      </c>
      <c r="AJ51" s="27" t="s">
        <v>103</v>
      </c>
      <c r="AK51" s="22" t="s">
        <v>155</v>
      </c>
      <c r="AL51" s="27" t="s">
        <v>10</v>
      </c>
      <c r="AM51" s="22" t="s">
        <v>10</v>
      </c>
      <c r="AN51" s="27" t="s">
        <v>10</v>
      </c>
      <c r="AO51" s="22" t="s">
        <v>10</v>
      </c>
      <c r="AP51" s="27" t="s">
        <v>76</v>
      </c>
      <c r="AQ51" s="22" t="s">
        <v>746</v>
      </c>
      <c r="AR51" s="27" t="s">
        <v>673</v>
      </c>
      <c r="AS51" s="22" t="s">
        <v>774</v>
      </c>
      <c r="AT51" s="27" t="s">
        <v>666</v>
      </c>
      <c r="AU51" s="22" t="s">
        <v>773</v>
      </c>
      <c r="AV51" s="27" t="s">
        <v>10</v>
      </c>
      <c r="AW51" s="22" t="s">
        <v>10</v>
      </c>
      <c r="AX51" s="27" t="s">
        <v>277</v>
      </c>
      <c r="AY51" s="22" t="s">
        <v>667</v>
      </c>
      <c r="AZ51" s="27" t="s">
        <v>443</v>
      </c>
      <c r="BA51" s="22" t="s">
        <v>445</v>
      </c>
      <c r="BB51" s="27" t="s">
        <v>10</v>
      </c>
      <c r="BC51" s="22" t="s">
        <v>10</v>
      </c>
      <c r="BD51" s="27" t="s">
        <v>683</v>
      </c>
      <c r="BE51" s="22" t="s">
        <v>843</v>
      </c>
    </row>
    <row r="52" spans="1:57" ht="7.35" customHeight="1" x14ac:dyDescent="0.25">
      <c r="A52" s="56">
        <v>51</v>
      </c>
      <c r="B52" s="37" t="s">
        <v>128</v>
      </c>
      <c r="C52" s="30" t="s">
        <v>821</v>
      </c>
      <c r="D52" s="34" t="s">
        <v>10</v>
      </c>
      <c r="E52" s="35" t="s">
        <v>10</v>
      </c>
      <c r="F52" s="34" t="s">
        <v>81</v>
      </c>
      <c r="G52" s="35" t="s">
        <v>112</v>
      </c>
      <c r="H52" s="34" t="s">
        <v>10</v>
      </c>
      <c r="I52" s="35" t="s">
        <v>10</v>
      </c>
      <c r="J52" s="34" t="s">
        <v>10</v>
      </c>
      <c r="K52" s="35" t="s">
        <v>10</v>
      </c>
      <c r="L52" s="34" t="s">
        <v>10</v>
      </c>
      <c r="M52" s="35" t="s">
        <v>10</v>
      </c>
      <c r="N52" s="34" t="s">
        <v>10</v>
      </c>
      <c r="O52" s="35" t="s">
        <v>10</v>
      </c>
      <c r="P52" s="34" t="s">
        <v>10</v>
      </c>
      <c r="Q52" s="35" t="s">
        <v>10</v>
      </c>
      <c r="R52" s="34" t="s">
        <v>10</v>
      </c>
      <c r="S52" s="35" t="s">
        <v>10</v>
      </c>
      <c r="T52" s="34" t="s">
        <v>10</v>
      </c>
      <c r="U52" s="35" t="s">
        <v>10</v>
      </c>
      <c r="V52" s="34" t="s">
        <v>10</v>
      </c>
      <c r="W52" s="35" t="s">
        <v>10</v>
      </c>
      <c r="X52" s="34" t="s">
        <v>10</v>
      </c>
      <c r="Y52" s="35" t="s">
        <v>10</v>
      </c>
      <c r="Z52" s="34" t="s">
        <v>10</v>
      </c>
      <c r="AA52" s="35" t="s">
        <v>10</v>
      </c>
      <c r="AB52" s="27" t="s">
        <v>77</v>
      </c>
      <c r="AC52" s="22" t="s">
        <v>169</v>
      </c>
      <c r="AD52" s="27" t="s">
        <v>93</v>
      </c>
      <c r="AE52" s="22" t="s">
        <v>94</v>
      </c>
      <c r="AF52" s="27" t="s">
        <v>10</v>
      </c>
      <c r="AG52" s="22" t="s">
        <v>10</v>
      </c>
      <c r="AH52" s="27" t="s">
        <v>84</v>
      </c>
      <c r="AI52" s="22" t="s">
        <v>141</v>
      </c>
      <c r="AJ52" s="27" t="s">
        <v>103</v>
      </c>
      <c r="AK52" s="22" t="s">
        <v>155</v>
      </c>
      <c r="AL52" s="27" t="s">
        <v>10</v>
      </c>
      <c r="AM52" s="22" t="s">
        <v>10</v>
      </c>
      <c r="AN52" s="27" t="s">
        <v>10</v>
      </c>
      <c r="AO52" s="22" t="s">
        <v>10</v>
      </c>
      <c r="AP52" s="27" t="s">
        <v>76</v>
      </c>
      <c r="AQ52" s="22" t="s">
        <v>747</v>
      </c>
      <c r="AR52" s="27" t="s">
        <v>673</v>
      </c>
      <c r="AS52" s="22" t="s">
        <v>774</v>
      </c>
      <c r="AT52" s="27" t="s">
        <v>666</v>
      </c>
      <c r="AU52" s="22" t="s">
        <v>773</v>
      </c>
      <c r="AV52" s="27" t="s">
        <v>10</v>
      </c>
      <c r="AW52" s="22" t="s">
        <v>10</v>
      </c>
      <c r="AX52" s="27" t="s">
        <v>277</v>
      </c>
      <c r="AY52" s="22" t="s">
        <v>667</v>
      </c>
      <c r="AZ52" s="27" t="s">
        <v>443</v>
      </c>
      <c r="BA52" s="22" t="s">
        <v>445</v>
      </c>
      <c r="BB52" s="27" t="s">
        <v>10</v>
      </c>
      <c r="BC52" s="22" t="s">
        <v>10</v>
      </c>
      <c r="BD52" s="27" t="s">
        <v>683</v>
      </c>
      <c r="BE52" s="22" t="s">
        <v>843</v>
      </c>
    </row>
    <row r="53" spans="1:57" ht="7.35" customHeight="1" x14ac:dyDescent="0.25">
      <c r="A53" s="56">
        <v>52</v>
      </c>
      <c r="B53" s="37" t="s">
        <v>287</v>
      </c>
      <c r="C53" s="30" t="s">
        <v>824</v>
      </c>
      <c r="D53" s="34" t="s">
        <v>775</v>
      </c>
      <c r="E53" s="35" t="s">
        <v>816</v>
      </c>
      <c r="F53" s="34" t="s">
        <v>81</v>
      </c>
      <c r="G53" s="35" t="s">
        <v>123</v>
      </c>
      <c r="H53" s="34" t="s">
        <v>10</v>
      </c>
      <c r="I53" s="35" t="s">
        <v>10</v>
      </c>
      <c r="J53" s="34" t="s">
        <v>10</v>
      </c>
      <c r="K53" s="35" t="s">
        <v>10</v>
      </c>
      <c r="L53" s="34" t="s">
        <v>10</v>
      </c>
      <c r="M53" s="35" t="s">
        <v>10</v>
      </c>
      <c r="N53" s="34" t="s">
        <v>10</v>
      </c>
      <c r="O53" s="35" t="s">
        <v>10</v>
      </c>
      <c r="P53" s="34" t="s">
        <v>10</v>
      </c>
      <c r="Q53" s="35" t="s">
        <v>10</v>
      </c>
      <c r="R53" s="34" t="s">
        <v>10</v>
      </c>
      <c r="S53" s="35" t="s">
        <v>10</v>
      </c>
      <c r="T53" s="34" t="s">
        <v>10</v>
      </c>
      <c r="U53" s="35" t="s">
        <v>10</v>
      </c>
      <c r="V53" s="34" t="s">
        <v>10</v>
      </c>
      <c r="W53" s="35" t="s">
        <v>10</v>
      </c>
      <c r="X53" s="34" t="s">
        <v>10</v>
      </c>
      <c r="Y53" s="35" t="s">
        <v>10</v>
      </c>
      <c r="Z53" s="34" t="s">
        <v>10</v>
      </c>
      <c r="AA53" s="35" t="s">
        <v>10</v>
      </c>
      <c r="AB53" s="27" t="s">
        <v>77</v>
      </c>
      <c r="AC53" s="22" t="s">
        <v>288</v>
      </c>
      <c r="AD53" s="27" t="s">
        <v>93</v>
      </c>
      <c r="AE53" s="22" t="s">
        <v>94</v>
      </c>
      <c r="AF53" s="27" t="s">
        <v>674</v>
      </c>
      <c r="AG53" s="22" t="s">
        <v>289</v>
      </c>
      <c r="AH53" s="27" t="s">
        <v>10</v>
      </c>
      <c r="AI53" s="22" t="s">
        <v>10</v>
      </c>
      <c r="AJ53" s="27" t="s">
        <v>103</v>
      </c>
      <c r="AK53" s="22" t="s">
        <v>87</v>
      </c>
      <c r="AL53" s="27" t="s">
        <v>10</v>
      </c>
      <c r="AM53" s="22" t="s">
        <v>10</v>
      </c>
      <c r="AN53" s="27" t="s">
        <v>10</v>
      </c>
      <c r="AO53" s="22" t="s">
        <v>10</v>
      </c>
      <c r="AP53" s="27" t="s">
        <v>76</v>
      </c>
      <c r="AQ53" s="22" t="s">
        <v>743</v>
      </c>
      <c r="AR53" s="27" t="s">
        <v>673</v>
      </c>
      <c r="AS53" s="22" t="s">
        <v>774</v>
      </c>
      <c r="AT53" s="27" t="s">
        <v>666</v>
      </c>
      <c r="AU53" s="22" t="s">
        <v>743</v>
      </c>
      <c r="AV53" s="27" t="s">
        <v>10</v>
      </c>
      <c r="AW53" s="22" t="s">
        <v>10</v>
      </c>
      <c r="AX53" s="27" t="s">
        <v>277</v>
      </c>
      <c r="AY53" s="22" t="s">
        <v>279</v>
      </c>
      <c r="AZ53" s="27" t="s">
        <v>443</v>
      </c>
      <c r="BA53" s="22" t="s">
        <v>444</v>
      </c>
      <c r="BB53" s="27" t="s">
        <v>278</v>
      </c>
      <c r="BC53" s="22" t="s">
        <v>670</v>
      </c>
      <c r="BD53" s="27" t="s">
        <v>683</v>
      </c>
      <c r="BE53" s="22" t="s">
        <v>844</v>
      </c>
    </row>
    <row r="54" spans="1:57" ht="7.35" customHeight="1" x14ac:dyDescent="0.25">
      <c r="A54" s="56">
        <v>53</v>
      </c>
      <c r="B54" s="37" t="s">
        <v>794</v>
      </c>
      <c r="C54" s="30" t="s">
        <v>824</v>
      </c>
      <c r="D54" s="34" t="s">
        <v>775</v>
      </c>
      <c r="E54" s="35" t="s">
        <v>816</v>
      </c>
      <c r="F54" s="34" t="s">
        <v>81</v>
      </c>
      <c r="G54" s="35" t="s">
        <v>123</v>
      </c>
      <c r="H54" s="34" t="s">
        <v>10</v>
      </c>
      <c r="I54" s="35" t="s">
        <v>10</v>
      </c>
      <c r="J54" s="34" t="s">
        <v>10</v>
      </c>
      <c r="K54" s="35" t="s">
        <v>10</v>
      </c>
      <c r="L54" s="34" t="s">
        <v>10</v>
      </c>
      <c r="M54" s="35" t="s">
        <v>10</v>
      </c>
      <c r="N54" s="34" t="s">
        <v>10</v>
      </c>
      <c r="O54" s="35" t="s">
        <v>10</v>
      </c>
      <c r="P54" s="34" t="s">
        <v>10</v>
      </c>
      <c r="Q54" s="35" t="s">
        <v>10</v>
      </c>
      <c r="R54" s="34" t="s">
        <v>10</v>
      </c>
      <c r="S54" s="35" t="s">
        <v>10</v>
      </c>
      <c r="T54" s="34" t="s">
        <v>10</v>
      </c>
      <c r="U54" s="35" t="s">
        <v>10</v>
      </c>
      <c r="V54" s="34" t="s">
        <v>10</v>
      </c>
      <c r="W54" s="35" t="s">
        <v>10</v>
      </c>
      <c r="X54" s="34" t="s">
        <v>10</v>
      </c>
      <c r="Y54" s="35" t="s">
        <v>10</v>
      </c>
      <c r="Z54" s="34" t="s">
        <v>10</v>
      </c>
      <c r="AA54" s="35" t="s">
        <v>10</v>
      </c>
      <c r="AB54" s="27" t="s">
        <v>77</v>
      </c>
      <c r="AC54" s="22" t="s">
        <v>795</v>
      </c>
      <c r="AD54" s="27" t="s">
        <v>93</v>
      </c>
      <c r="AE54" s="22" t="s">
        <v>94</v>
      </c>
      <c r="AF54" s="27" t="s">
        <v>674</v>
      </c>
      <c r="AG54" s="22" t="s">
        <v>796</v>
      </c>
      <c r="AH54" s="27" t="s">
        <v>10</v>
      </c>
      <c r="AI54" s="22" t="s">
        <v>10</v>
      </c>
      <c r="AJ54" s="27" t="s">
        <v>103</v>
      </c>
      <c r="AK54" s="22" t="s">
        <v>87</v>
      </c>
      <c r="AL54" s="27" t="s">
        <v>10</v>
      </c>
      <c r="AM54" s="22" t="s">
        <v>10</v>
      </c>
      <c r="AN54" s="27" t="s">
        <v>10</v>
      </c>
      <c r="AO54" s="22" t="s">
        <v>10</v>
      </c>
      <c r="AP54" s="27" t="s">
        <v>76</v>
      </c>
      <c r="AQ54" s="22" t="s">
        <v>797</v>
      </c>
      <c r="AR54" s="27" t="s">
        <v>673</v>
      </c>
      <c r="AS54" s="22" t="s">
        <v>774</v>
      </c>
      <c r="AT54" s="27" t="s">
        <v>666</v>
      </c>
      <c r="AU54" s="22" t="s">
        <v>797</v>
      </c>
      <c r="AV54" s="27" t="s">
        <v>10</v>
      </c>
      <c r="AW54" s="22" t="s">
        <v>10</v>
      </c>
      <c r="AX54" s="27" t="s">
        <v>277</v>
      </c>
      <c r="AY54" s="22" t="s">
        <v>279</v>
      </c>
      <c r="AZ54" s="27" t="s">
        <v>443</v>
      </c>
      <c r="BA54" s="22" t="s">
        <v>444</v>
      </c>
      <c r="BB54" s="27" t="s">
        <v>278</v>
      </c>
      <c r="BC54" s="22" t="s">
        <v>670</v>
      </c>
      <c r="BD54" s="27" t="s">
        <v>683</v>
      </c>
      <c r="BE54" s="22" t="s">
        <v>844</v>
      </c>
    </row>
    <row r="55" spans="1:57" ht="7.35" customHeight="1" x14ac:dyDescent="0.25">
      <c r="A55" s="56">
        <v>54</v>
      </c>
      <c r="B55" s="37" t="s">
        <v>284</v>
      </c>
      <c r="C55" s="30" t="s">
        <v>824</v>
      </c>
      <c r="D55" s="34" t="s">
        <v>775</v>
      </c>
      <c r="E55" s="35" t="s">
        <v>730</v>
      </c>
      <c r="F55" s="34" t="s">
        <v>81</v>
      </c>
      <c r="G55" s="35" t="s">
        <v>123</v>
      </c>
      <c r="H55" s="34" t="s">
        <v>10</v>
      </c>
      <c r="I55" s="35" t="s">
        <v>10</v>
      </c>
      <c r="J55" s="34" t="s">
        <v>10</v>
      </c>
      <c r="K55" s="35" t="s">
        <v>10</v>
      </c>
      <c r="L55" s="34" t="s">
        <v>10</v>
      </c>
      <c r="M55" s="35" t="s">
        <v>10</v>
      </c>
      <c r="N55" s="34" t="s">
        <v>10</v>
      </c>
      <c r="O55" s="35" t="s">
        <v>10</v>
      </c>
      <c r="P55" s="34" t="s">
        <v>10</v>
      </c>
      <c r="Q55" s="35" t="s">
        <v>10</v>
      </c>
      <c r="R55" s="34" t="s">
        <v>10</v>
      </c>
      <c r="S55" s="35" t="s">
        <v>10</v>
      </c>
      <c r="T55" s="34" t="s">
        <v>10</v>
      </c>
      <c r="U55" s="35" t="s">
        <v>10</v>
      </c>
      <c r="V55" s="34" t="s">
        <v>10</v>
      </c>
      <c r="W55" s="35" t="s">
        <v>10</v>
      </c>
      <c r="X55" s="34" t="s">
        <v>10</v>
      </c>
      <c r="Y55" s="35" t="s">
        <v>10</v>
      </c>
      <c r="Z55" s="34" t="s">
        <v>10</v>
      </c>
      <c r="AA55" s="35" t="s">
        <v>10</v>
      </c>
      <c r="AB55" s="27" t="s">
        <v>77</v>
      </c>
      <c r="AC55" s="22" t="s">
        <v>285</v>
      </c>
      <c r="AD55" s="27" t="s">
        <v>93</v>
      </c>
      <c r="AE55" s="22" t="s">
        <v>94</v>
      </c>
      <c r="AF55" s="27" t="s">
        <v>674</v>
      </c>
      <c r="AG55" s="22" t="s">
        <v>286</v>
      </c>
      <c r="AH55" s="27" t="s">
        <v>10</v>
      </c>
      <c r="AI55" s="22" t="s">
        <v>10</v>
      </c>
      <c r="AJ55" s="27" t="s">
        <v>103</v>
      </c>
      <c r="AK55" s="22" t="s">
        <v>87</v>
      </c>
      <c r="AL55" s="27" t="s">
        <v>10</v>
      </c>
      <c r="AM55" s="22" t="s">
        <v>10</v>
      </c>
      <c r="AN55" s="27" t="s">
        <v>10</v>
      </c>
      <c r="AO55" s="22" t="s">
        <v>10</v>
      </c>
      <c r="AP55" s="27" t="s">
        <v>76</v>
      </c>
      <c r="AQ55" s="22" t="s">
        <v>742</v>
      </c>
      <c r="AR55" s="27" t="s">
        <v>673</v>
      </c>
      <c r="AS55" s="22" t="s">
        <v>774</v>
      </c>
      <c r="AT55" s="27" t="s">
        <v>666</v>
      </c>
      <c r="AU55" s="22" t="s">
        <v>742</v>
      </c>
      <c r="AV55" s="27" t="s">
        <v>10</v>
      </c>
      <c r="AW55" s="22" t="s">
        <v>10</v>
      </c>
      <c r="AX55" s="27" t="s">
        <v>277</v>
      </c>
      <c r="AY55" s="22" t="s">
        <v>279</v>
      </c>
      <c r="AZ55" s="27" t="s">
        <v>443</v>
      </c>
      <c r="BA55" s="22" t="s">
        <v>444</v>
      </c>
      <c r="BB55" s="27" t="s">
        <v>278</v>
      </c>
      <c r="BC55" s="22" t="s">
        <v>670</v>
      </c>
      <c r="BD55" s="27" t="s">
        <v>683</v>
      </c>
      <c r="BE55" s="22" t="s">
        <v>844</v>
      </c>
    </row>
    <row r="56" spans="1:57" ht="7.35" customHeight="1" x14ac:dyDescent="0.25">
      <c r="A56" s="56">
        <v>55</v>
      </c>
      <c r="B56" s="37" t="s">
        <v>346</v>
      </c>
      <c r="C56" s="30" t="s">
        <v>824</v>
      </c>
      <c r="D56" s="34" t="s">
        <v>775</v>
      </c>
      <c r="E56" s="35" t="s">
        <v>729</v>
      </c>
      <c r="F56" s="34" t="s">
        <v>81</v>
      </c>
      <c r="G56" s="35" t="s">
        <v>123</v>
      </c>
      <c r="H56" s="34" t="s">
        <v>10</v>
      </c>
      <c r="I56" s="35" t="s">
        <v>10</v>
      </c>
      <c r="J56" s="34" t="s">
        <v>10</v>
      </c>
      <c r="K56" s="35" t="s">
        <v>10</v>
      </c>
      <c r="L56" s="34" t="s">
        <v>10</v>
      </c>
      <c r="M56" s="35" t="s">
        <v>10</v>
      </c>
      <c r="N56" s="34" t="s">
        <v>10</v>
      </c>
      <c r="O56" s="35" t="s">
        <v>10</v>
      </c>
      <c r="P56" s="34" t="s">
        <v>10</v>
      </c>
      <c r="Q56" s="35" t="s">
        <v>10</v>
      </c>
      <c r="R56" s="34" t="s">
        <v>10</v>
      </c>
      <c r="S56" s="35" t="s">
        <v>10</v>
      </c>
      <c r="T56" s="34" t="s">
        <v>10</v>
      </c>
      <c r="U56" s="35" t="s">
        <v>10</v>
      </c>
      <c r="V56" s="34" t="s">
        <v>10</v>
      </c>
      <c r="W56" s="35" t="s">
        <v>10</v>
      </c>
      <c r="X56" s="34" t="s">
        <v>10</v>
      </c>
      <c r="Y56" s="35" t="s">
        <v>10</v>
      </c>
      <c r="Z56" s="34" t="s">
        <v>10</v>
      </c>
      <c r="AA56" s="35" t="s">
        <v>10</v>
      </c>
      <c r="AB56" s="27" t="s">
        <v>77</v>
      </c>
      <c r="AC56" s="22" t="s">
        <v>351</v>
      </c>
      <c r="AD56" s="27" t="s">
        <v>93</v>
      </c>
      <c r="AE56" s="22" t="s">
        <v>94</v>
      </c>
      <c r="AF56" s="27" t="s">
        <v>674</v>
      </c>
      <c r="AG56" s="22" t="s">
        <v>354</v>
      </c>
      <c r="AH56" s="27" t="s">
        <v>10</v>
      </c>
      <c r="AI56" s="22" t="s">
        <v>10</v>
      </c>
      <c r="AJ56" s="27" t="s">
        <v>103</v>
      </c>
      <c r="AK56" s="22" t="s">
        <v>87</v>
      </c>
      <c r="AL56" s="27" t="s">
        <v>10</v>
      </c>
      <c r="AM56" s="22" t="s">
        <v>10</v>
      </c>
      <c r="AN56" s="27" t="s">
        <v>10</v>
      </c>
      <c r="AO56" s="22" t="s">
        <v>10</v>
      </c>
      <c r="AP56" s="27" t="s">
        <v>76</v>
      </c>
      <c r="AQ56" s="22" t="s">
        <v>817</v>
      </c>
      <c r="AR56" s="27" t="s">
        <v>673</v>
      </c>
      <c r="AS56" s="22" t="s">
        <v>774</v>
      </c>
      <c r="AT56" s="27" t="s">
        <v>666</v>
      </c>
      <c r="AU56" s="22" t="s">
        <v>748</v>
      </c>
      <c r="AV56" s="27" t="s">
        <v>10</v>
      </c>
      <c r="AW56" s="22" t="s">
        <v>10</v>
      </c>
      <c r="AX56" s="27" t="s">
        <v>277</v>
      </c>
      <c r="AY56" s="22" t="s">
        <v>279</v>
      </c>
      <c r="AZ56" s="27" t="s">
        <v>443</v>
      </c>
      <c r="BA56" s="22" t="s">
        <v>444</v>
      </c>
      <c r="BB56" s="27" t="s">
        <v>278</v>
      </c>
      <c r="BC56" s="22" t="s">
        <v>670</v>
      </c>
      <c r="BD56" s="27" t="s">
        <v>683</v>
      </c>
      <c r="BE56" s="22" t="s">
        <v>844</v>
      </c>
    </row>
    <row r="57" spans="1:57" ht="7.35" customHeight="1" x14ac:dyDescent="0.25">
      <c r="A57" s="56">
        <v>56</v>
      </c>
      <c r="B57" s="37" t="s">
        <v>347</v>
      </c>
      <c r="C57" s="30" t="s">
        <v>824</v>
      </c>
      <c r="D57" s="34" t="s">
        <v>775</v>
      </c>
      <c r="E57" s="35" t="s">
        <v>729</v>
      </c>
      <c r="F57" s="34" t="s">
        <v>81</v>
      </c>
      <c r="G57" s="35" t="s">
        <v>123</v>
      </c>
      <c r="H57" s="34" t="s">
        <v>10</v>
      </c>
      <c r="I57" s="35" t="s">
        <v>10</v>
      </c>
      <c r="J57" s="34" t="s">
        <v>10</v>
      </c>
      <c r="K57" s="35" t="s">
        <v>10</v>
      </c>
      <c r="L57" s="34" t="s">
        <v>10</v>
      </c>
      <c r="M57" s="35" t="s">
        <v>10</v>
      </c>
      <c r="N57" s="34" t="s">
        <v>10</v>
      </c>
      <c r="O57" s="35" t="s">
        <v>10</v>
      </c>
      <c r="P57" s="34" t="s">
        <v>10</v>
      </c>
      <c r="Q57" s="35" t="s">
        <v>10</v>
      </c>
      <c r="R57" s="34" t="s">
        <v>10</v>
      </c>
      <c r="S57" s="35" t="s">
        <v>10</v>
      </c>
      <c r="T57" s="34" t="s">
        <v>10</v>
      </c>
      <c r="U57" s="35" t="s">
        <v>10</v>
      </c>
      <c r="V57" s="34" t="s">
        <v>10</v>
      </c>
      <c r="W57" s="35" t="s">
        <v>10</v>
      </c>
      <c r="X57" s="34" t="s">
        <v>10</v>
      </c>
      <c r="Y57" s="35" t="s">
        <v>10</v>
      </c>
      <c r="Z57" s="34" t="s">
        <v>10</v>
      </c>
      <c r="AA57" s="35" t="s">
        <v>10</v>
      </c>
      <c r="AB57" s="27" t="s">
        <v>77</v>
      </c>
      <c r="AC57" s="22" t="s">
        <v>350</v>
      </c>
      <c r="AD57" s="27" t="s">
        <v>93</v>
      </c>
      <c r="AE57" s="22" t="s">
        <v>94</v>
      </c>
      <c r="AF57" s="27" t="s">
        <v>674</v>
      </c>
      <c r="AG57" s="22" t="s">
        <v>355</v>
      </c>
      <c r="AH57" s="27" t="s">
        <v>10</v>
      </c>
      <c r="AI57" s="22" t="s">
        <v>10</v>
      </c>
      <c r="AJ57" s="27" t="s">
        <v>103</v>
      </c>
      <c r="AK57" s="22" t="s">
        <v>87</v>
      </c>
      <c r="AL57" s="27" t="s">
        <v>10</v>
      </c>
      <c r="AM57" s="22" t="s">
        <v>10</v>
      </c>
      <c r="AN57" s="27" t="s">
        <v>10</v>
      </c>
      <c r="AO57" s="22" t="s">
        <v>10</v>
      </c>
      <c r="AP57" s="27" t="s">
        <v>76</v>
      </c>
      <c r="AQ57" s="22" t="s">
        <v>817</v>
      </c>
      <c r="AR57" s="27" t="s">
        <v>673</v>
      </c>
      <c r="AS57" s="22" t="s">
        <v>774</v>
      </c>
      <c r="AT57" s="27" t="s">
        <v>666</v>
      </c>
      <c r="AU57" s="22" t="s">
        <v>748</v>
      </c>
      <c r="AV57" s="27" t="s">
        <v>10</v>
      </c>
      <c r="AW57" s="22" t="s">
        <v>10</v>
      </c>
      <c r="AX57" s="27" t="s">
        <v>277</v>
      </c>
      <c r="AY57" s="22" t="s">
        <v>279</v>
      </c>
      <c r="AZ57" s="27" t="s">
        <v>443</v>
      </c>
      <c r="BA57" s="22" t="s">
        <v>444</v>
      </c>
      <c r="BB57" s="27" t="s">
        <v>278</v>
      </c>
      <c r="BC57" s="22" t="s">
        <v>670</v>
      </c>
      <c r="BD57" s="27" t="s">
        <v>683</v>
      </c>
      <c r="BE57" s="22" t="s">
        <v>844</v>
      </c>
    </row>
    <row r="58" spans="1:57" ht="7.35" customHeight="1" x14ac:dyDescent="0.25">
      <c r="A58" s="56">
        <v>57</v>
      </c>
      <c r="B58" s="37" t="s">
        <v>348</v>
      </c>
      <c r="C58" s="30" t="s">
        <v>824</v>
      </c>
      <c r="D58" s="34" t="s">
        <v>775</v>
      </c>
      <c r="E58" s="35" t="s">
        <v>729</v>
      </c>
      <c r="F58" s="34" t="s">
        <v>81</v>
      </c>
      <c r="G58" s="35" t="s">
        <v>123</v>
      </c>
      <c r="H58" s="34" t="s">
        <v>10</v>
      </c>
      <c r="I58" s="35" t="s">
        <v>10</v>
      </c>
      <c r="J58" s="34" t="s">
        <v>10</v>
      </c>
      <c r="K58" s="35" t="s">
        <v>10</v>
      </c>
      <c r="L58" s="34" t="s">
        <v>10</v>
      </c>
      <c r="M58" s="35" t="s">
        <v>10</v>
      </c>
      <c r="N58" s="34" t="s">
        <v>10</v>
      </c>
      <c r="O58" s="35" t="s">
        <v>10</v>
      </c>
      <c r="P58" s="34" t="s">
        <v>10</v>
      </c>
      <c r="Q58" s="35" t="s">
        <v>10</v>
      </c>
      <c r="R58" s="34" t="s">
        <v>10</v>
      </c>
      <c r="S58" s="35" t="s">
        <v>10</v>
      </c>
      <c r="T58" s="34" t="s">
        <v>10</v>
      </c>
      <c r="U58" s="35" t="s">
        <v>10</v>
      </c>
      <c r="V58" s="34" t="s">
        <v>10</v>
      </c>
      <c r="W58" s="35" t="s">
        <v>10</v>
      </c>
      <c r="X58" s="34" t="s">
        <v>10</v>
      </c>
      <c r="Y58" s="35" t="s">
        <v>10</v>
      </c>
      <c r="Z58" s="34" t="s">
        <v>10</v>
      </c>
      <c r="AA58" s="35" t="s">
        <v>10</v>
      </c>
      <c r="AB58" s="27" t="s">
        <v>77</v>
      </c>
      <c r="AC58" s="22" t="s">
        <v>352</v>
      </c>
      <c r="AD58" s="27" t="s">
        <v>93</v>
      </c>
      <c r="AE58" s="22" t="s">
        <v>94</v>
      </c>
      <c r="AF58" s="27" t="s">
        <v>674</v>
      </c>
      <c r="AG58" s="22" t="s">
        <v>356</v>
      </c>
      <c r="AH58" s="27" t="s">
        <v>10</v>
      </c>
      <c r="AI58" s="22" t="s">
        <v>10</v>
      </c>
      <c r="AJ58" s="27" t="s">
        <v>103</v>
      </c>
      <c r="AK58" s="22" t="s">
        <v>87</v>
      </c>
      <c r="AL58" s="27" t="s">
        <v>10</v>
      </c>
      <c r="AM58" s="22" t="s">
        <v>10</v>
      </c>
      <c r="AN58" s="27" t="s">
        <v>10</v>
      </c>
      <c r="AO58" s="22" t="s">
        <v>10</v>
      </c>
      <c r="AP58" s="27" t="s">
        <v>76</v>
      </c>
      <c r="AQ58" s="22" t="s">
        <v>817</v>
      </c>
      <c r="AR58" s="27" t="s">
        <v>673</v>
      </c>
      <c r="AS58" s="22" t="s">
        <v>774</v>
      </c>
      <c r="AT58" s="27" t="s">
        <v>666</v>
      </c>
      <c r="AU58" s="22" t="s">
        <v>748</v>
      </c>
      <c r="AV58" s="27" t="s">
        <v>10</v>
      </c>
      <c r="AW58" s="22" t="s">
        <v>10</v>
      </c>
      <c r="AX58" s="27" t="s">
        <v>277</v>
      </c>
      <c r="AY58" s="22" t="s">
        <v>279</v>
      </c>
      <c r="AZ58" s="27" t="s">
        <v>443</v>
      </c>
      <c r="BA58" s="22" t="s">
        <v>444</v>
      </c>
      <c r="BB58" s="27" t="s">
        <v>278</v>
      </c>
      <c r="BC58" s="22" t="s">
        <v>670</v>
      </c>
      <c r="BD58" s="27" t="s">
        <v>683</v>
      </c>
      <c r="BE58" s="22" t="s">
        <v>844</v>
      </c>
    </row>
    <row r="59" spans="1:57" ht="7.35" customHeight="1" x14ac:dyDescent="0.25">
      <c r="A59" s="56">
        <v>58</v>
      </c>
      <c r="B59" s="37" t="s">
        <v>349</v>
      </c>
      <c r="C59" s="30" t="s">
        <v>824</v>
      </c>
      <c r="D59" s="34" t="s">
        <v>775</v>
      </c>
      <c r="E59" s="35" t="s">
        <v>730</v>
      </c>
      <c r="F59" s="34" t="s">
        <v>81</v>
      </c>
      <c r="G59" s="35" t="s">
        <v>123</v>
      </c>
      <c r="H59" s="34" t="s">
        <v>10</v>
      </c>
      <c r="I59" s="35" t="s">
        <v>10</v>
      </c>
      <c r="J59" s="34" t="s">
        <v>10</v>
      </c>
      <c r="K59" s="35" t="s">
        <v>10</v>
      </c>
      <c r="L59" s="34" t="s">
        <v>10</v>
      </c>
      <c r="M59" s="35" t="s">
        <v>10</v>
      </c>
      <c r="N59" s="34" t="s">
        <v>10</v>
      </c>
      <c r="O59" s="35" t="s">
        <v>10</v>
      </c>
      <c r="P59" s="34" t="s">
        <v>10</v>
      </c>
      <c r="Q59" s="35" t="s">
        <v>10</v>
      </c>
      <c r="R59" s="34" t="s">
        <v>10</v>
      </c>
      <c r="S59" s="35" t="s">
        <v>10</v>
      </c>
      <c r="T59" s="34" t="s">
        <v>10</v>
      </c>
      <c r="U59" s="35" t="s">
        <v>10</v>
      </c>
      <c r="V59" s="34" t="s">
        <v>10</v>
      </c>
      <c r="W59" s="35" t="s">
        <v>10</v>
      </c>
      <c r="X59" s="34" t="s">
        <v>10</v>
      </c>
      <c r="Y59" s="35" t="s">
        <v>10</v>
      </c>
      <c r="Z59" s="34" t="s">
        <v>10</v>
      </c>
      <c r="AA59" s="35" t="s">
        <v>10</v>
      </c>
      <c r="AB59" s="27" t="s">
        <v>77</v>
      </c>
      <c r="AC59" s="22" t="s">
        <v>353</v>
      </c>
      <c r="AD59" s="27" t="s">
        <v>93</v>
      </c>
      <c r="AE59" s="22" t="s">
        <v>94</v>
      </c>
      <c r="AF59" s="27" t="s">
        <v>674</v>
      </c>
      <c r="AG59" s="22" t="s">
        <v>357</v>
      </c>
      <c r="AH59" s="27" t="s">
        <v>10</v>
      </c>
      <c r="AI59" s="22" t="s">
        <v>10</v>
      </c>
      <c r="AJ59" s="27" t="s">
        <v>103</v>
      </c>
      <c r="AK59" s="22" t="s">
        <v>87</v>
      </c>
      <c r="AL59" s="27" t="s">
        <v>10</v>
      </c>
      <c r="AM59" s="22" t="s">
        <v>10</v>
      </c>
      <c r="AN59" s="27" t="s">
        <v>10</v>
      </c>
      <c r="AO59" s="22" t="s">
        <v>10</v>
      </c>
      <c r="AP59" s="27" t="s">
        <v>76</v>
      </c>
      <c r="AQ59" s="22" t="s">
        <v>358</v>
      </c>
      <c r="AR59" s="27" t="s">
        <v>673</v>
      </c>
      <c r="AS59" s="22" t="s">
        <v>774</v>
      </c>
      <c r="AT59" s="27" t="s">
        <v>666</v>
      </c>
      <c r="AU59" s="22" t="s">
        <v>358</v>
      </c>
      <c r="AV59" s="27" t="s">
        <v>10</v>
      </c>
      <c r="AW59" s="22" t="s">
        <v>10</v>
      </c>
      <c r="AX59" s="27" t="s">
        <v>277</v>
      </c>
      <c r="AY59" s="22" t="s">
        <v>279</v>
      </c>
      <c r="AZ59" s="27" t="s">
        <v>443</v>
      </c>
      <c r="BA59" s="22" t="s">
        <v>444</v>
      </c>
      <c r="BB59" s="27" t="s">
        <v>278</v>
      </c>
      <c r="BC59" s="22" t="s">
        <v>670</v>
      </c>
      <c r="BD59" s="27" t="s">
        <v>683</v>
      </c>
      <c r="BE59" s="22" t="s">
        <v>844</v>
      </c>
    </row>
    <row r="60" spans="1:57" ht="7.35" customHeight="1" x14ac:dyDescent="0.25">
      <c r="A60" s="56">
        <v>59</v>
      </c>
      <c r="B60" s="37" t="s">
        <v>731</v>
      </c>
      <c r="C60" s="30" t="s">
        <v>824</v>
      </c>
      <c r="D60" s="34" t="s">
        <v>775</v>
      </c>
      <c r="E60" s="35" t="s">
        <v>776</v>
      </c>
      <c r="F60" s="34" t="s">
        <v>81</v>
      </c>
      <c r="G60" s="35" t="s">
        <v>123</v>
      </c>
      <c r="H60" s="34" t="s">
        <v>10</v>
      </c>
      <c r="I60" s="35" t="s">
        <v>10</v>
      </c>
      <c r="J60" s="34" t="s">
        <v>10</v>
      </c>
      <c r="K60" s="35" t="s">
        <v>10</v>
      </c>
      <c r="L60" s="34" t="s">
        <v>10</v>
      </c>
      <c r="M60" s="35" t="s">
        <v>10</v>
      </c>
      <c r="N60" s="34" t="s">
        <v>10</v>
      </c>
      <c r="O60" s="35" t="s">
        <v>10</v>
      </c>
      <c r="P60" s="34" t="s">
        <v>10</v>
      </c>
      <c r="Q60" s="35" t="s">
        <v>10</v>
      </c>
      <c r="R60" s="34" t="s">
        <v>10</v>
      </c>
      <c r="S60" s="35" t="s">
        <v>10</v>
      </c>
      <c r="T60" s="34" t="s">
        <v>785</v>
      </c>
      <c r="U60" s="35" t="s">
        <v>840</v>
      </c>
      <c r="V60" s="34" t="s">
        <v>10</v>
      </c>
      <c r="W60" s="35" t="s">
        <v>10</v>
      </c>
      <c r="X60" s="34" t="s">
        <v>10</v>
      </c>
      <c r="Y60" s="35" t="s">
        <v>10</v>
      </c>
      <c r="Z60" s="34" t="s">
        <v>10</v>
      </c>
      <c r="AA60" s="35" t="s">
        <v>10</v>
      </c>
      <c r="AB60" s="27" t="s">
        <v>77</v>
      </c>
      <c r="AC60" s="22" t="s">
        <v>733</v>
      </c>
      <c r="AD60" s="27" t="s">
        <v>93</v>
      </c>
      <c r="AE60" s="22" t="s">
        <v>94</v>
      </c>
      <c r="AF60" s="27" t="s">
        <v>674</v>
      </c>
      <c r="AG60" s="22" t="s">
        <v>735</v>
      </c>
      <c r="AH60" s="27" t="s">
        <v>10</v>
      </c>
      <c r="AI60" s="22" t="s">
        <v>10</v>
      </c>
      <c r="AJ60" s="27" t="s">
        <v>103</v>
      </c>
      <c r="AK60" s="22" t="s">
        <v>87</v>
      </c>
      <c r="AL60" s="27" t="s">
        <v>10</v>
      </c>
      <c r="AM60" s="22" t="s">
        <v>10</v>
      </c>
      <c r="AN60" s="27" t="s">
        <v>10</v>
      </c>
      <c r="AO60" s="22" t="s">
        <v>10</v>
      </c>
      <c r="AP60" s="27" t="s">
        <v>76</v>
      </c>
      <c r="AQ60" s="22" t="s">
        <v>803</v>
      </c>
      <c r="AR60" s="27" t="s">
        <v>673</v>
      </c>
      <c r="AS60" s="22" t="s">
        <v>774</v>
      </c>
      <c r="AT60" s="27" t="s">
        <v>10</v>
      </c>
      <c r="AU60" s="22" t="s">
        <v>10</v>
      </c>
      <c r="AV60" s="27" t="s">
        <v>10</v>
      </c>
      <c r="AW60" s="22" t="s">
        <v>10</v>
      </c>
      <c r="AX60" s="27" t="s">
        <v>277</v>
      </c>
      <c r="AY60" s="22" t="s">
        <v>279</v>
      </c>
      <c r="AZ60" s="27" t="s">
        <v>443</v>
      </c>
      <c r="BA60" s="22" t="s">
        <v>444</v>
      </c>
      <c r="BB60" s="27" t="s">
        <v>278</v>
      </c>
      <c r="BC60" s="22" t="s">
        <v>670</v>
      </c>
      <c r="BD60" s="27" t="s">
        <v>683</v>
      </c>
      <c r="BE60" s="22" t="s">
        <v>844</v>
      </c>
    </row>
    <row r="61" spans="1:57" ht="7.35" customHeight="1" x14ac:dyDescent="0.25">
      <c r="A61" s="56">
        <v>60</v>
      </c>
      <c r="B61" s="37" t="s">
        <v>732</v>
      </c>
      <c r="C61" s="30" t="s">
        <v>824</v>
      </c>
      <c r="D61" s="34" t="s">
        <v>775</v>
      </c>
      <c r="E61" s="35" t="s">
        <v>777</v>
      </c>
      <c r="F61" s="34" t="s">
        <v>81</v>
      </c>
      <c r="G61" s="35" t="s">
        <v>123</v>
      </c>
      <c r="H61" s="34" t="s">
        <v>10</v>
      </c>
      <c r="I61" s="35" t="s">
        <v>10</v>
      </c>
      <c r="J61" s="34" t="s">
        <v>10</v>
      </c>
      <c r="K61" s="35" t="s">
        <v>10</v>
      </c>
      <c r="L61" s="34" t="s">
        <v>10</v>
      </c>
      <c r="M61" s="35" t="s">
        <v>10</v>
      </c>
      <c r="N61" s="34" t="s">
        <v>10</v>
      </c>
      <c r="O61" s="35" t="s">
        <v>10</v>
      </c>
      <c r="P61" s="34" t="s">
        <v>10</v>
      </c>
      <c r="Q61" s="35" t="s">
        <v>10</v>
      </c>
      <c r="R61" s="34" t="s">
        <v>10</v>
      </c>
      <c r="S61" s="35" t="s">
        <v>10</v>
      </c>
      <c r="T61" s="34" t="s">
        <v>785</v>
      </c>
      <c r="U61" s="35" t="s">
        <v>841</v>
      </c>
      <c r="V61" s="34" t="s">
        <v>10</v>
      </c>
      <c r="W61" s="35" t="s">
        <v>10</v>
      </c>
      <c r="X61" s="34" t="s">
        <v>10</v>
      </c>
      <c r="Y61" s="35" t="s">
        <v>10</v>
      </c>
      <c r="Z61" s="34" t="s">
        <v>10</v>
      </c>
      <c r="AA61" s="35" t="s">
        <v>10</v>
      </c>
      <c r="AB61" s="27" t="s">
        <v>77</v>
      </c>
      <c r="AC61" s="22" t="s">
        <v>734</v>
      </c>
      <c r="AD61" s="27" t="s">
        <v>93</v>
      </c>
      <c r="AE61" s="22" t="s">
        <v>94</v>
      </c>
      <c r="AF61" s="27" t="s">
        <v>674</v>
      </c>
      <c r="AG61" s="22" t="s">
        <v>736</v>
      </c>
      <c r="AH61" s="27" t="s">
        <v>10</v>
      </c>
      <c r="AI61" s="22" t="s">
        <v>10</v>
      </c>
      <c r="AJ61" s="27" t="s">
        <v>103</v>
      </c>
      <c r="AK61" s="22" t="s">
        <v>87</v>
      </c>
      <c r="AL61" s="27" t="s">
        <v>10</v>
      </c>
      <c r="AM61" s="22" t="s">
        <v>10</v>
      </c>
      <c r="AN61" s="27" t="s">
        <v>10</v>
      </c>
      <c r="AO61" s="22" t="s">
        <v>10</v>
      </c>
      <c r="AP61" s="27" t="s">
        <v>76</v>
      </c>
      <c r="AQ61" s="22" t="s">
        <v>804</v>
      </c>
      <c r="AR61" s="27" t="s">
        <v>673</v>
      </c>
      <c r="AS61" s="22" t="s">
        <v>774</v>
      </c>
      <c r="AT61" s="27" t="s">
        <v>10</v>
      </c>
      <c r="AU61" s="22" t="s">
        <v>10</v>
      </c>
      <c r="AV61" s="27" t="s">
        <v>10</v>
      </c>
      <c r="AW61" s="22" t="s">
        <v>10</v>
      </c>
      <c r="AX61" s="27" t="s">
        <v>277</v>
      </c>
      <c r="AY61" s="22" t="s">
        <v>279</v>
      </c>
      <c r="AZ61" s="27" t="s">
        <v>443</v>
      </c>
      <c r="BA61" s="22" t="s">
        <v>444</v>
      </c>
      <c r="BB61" s="27" t="s">
        <v>278</v>
      </c>
      <c r="BC61" s="22" t="s">
        <v>670</v>
      </c>
      <c r="BD61" s="27" t="s">
        <v>683</v>
      </c>
      <c r="BE61" s="22" t="s">
        <v>844</v>
      </c>
    </row>
    <row r="62" spans="1:57" ht="7.35" customHeight="1" x14ac:dyDescent="0.25">
      <c r="A62" s="56">
        <v>61</v>
      </c>
      <c r="B62" s="37" t="s">
        <v>712</v>
      </c>
      <c r="C62" s="30" t="s">
        <v>833</v>
      </c>
      <c r="D62" s="34" t="s">
        <v>10</v>
      </c>
      <c r="E62" s="35" t="s">
        <v>10</v>
      </c>
      <c r="F62" s="34" t="s">
        <v>81</v>
      </c>
      <c r="G62" s="35" t="s">
        <v>349</v>
      </c>
      <c r="H62" s="34" t="s">
        <v>10</v>
      </c>
      <c r="I62" s="35" t="s">
        <v>10</v>
      </c>
      <c r="J62" s="34" t="s">
        <v>10</v>
      </c>
      <c r="K62" s="35" t="s">
        <v>10</v>
      </c>
      <c r="L62" s="34" t="s">
        <v>10</v>
      </c>
      <c r="M62" s="35" t="s">
        <v>10</v>
      </c>
      <c r="N62" s="34" t="s">
        <v>10</v>
      </c>
      <c r="O62" s="35" t="s">
        <v>10</v>
      </c>
      <c r="P62" s="34" t="s">
        <v>10</v>
      </c>
      <c r="Q62" s="35" t="s">
        <v>10</v>
      </c>
      <c r="R62" s="34" t="s">
        <v>10</v>
      </c>
      <c r="S62" s="35" t="s">
        <v>10</v>
      </c>
      <c r="T62" s="34" t="s">
        <v>10</v>
      </c>
      <c r="U62" s="35" t="s">
        <v>10</v>
      </c>
      <c r="V62" s="34" t="s">
        <v>10</v>
      </c>
      <c r="W62" s="35" t="s">
        <v>10</v>
      </c>
      <c r="X62" s="34" t="s">
        <v>10</v>
      </c>
      <c r="Y62" s="35" t="s">
        <v>10</v>
      </c>
      <c r="Z62" s="34" t="s">
        <v>10</v>
      </c>
      <c r="AA62" s="35" t="s">
        <v>10</v>
      </c>
      <c r="AB62" s="27" t="s">
        <v>10</v>
      </c>
      <c r="AC62" s="22" t="s">
        <v>10</v>
      </c>
      <c r="AD62" s="27" t="s">
        <v>10</v>
      </c>
      <c r="AE62" s="22" t="s">
        <v>10</v>
      </c>
      <c r="AF62" s="27" t="s">
        <v>10</v>
      </c>
      <c r="AG62" s="22" t="s">
        <v>10</v>
      </c>
      <c r="AH62" s="27" t="s">
        <v>10</v>
      </c>
      <c r="AI62" s="22" t="s">
        <v>10</v>
      </c>
      <c r="AJ62" s="27" t="s">
        <v>10</v>
      </c>
      <c r="AK62" s="22" t="s">
        <v>10</v>
      </c>
      <c r="AL62" s="27" t="s">
        <v>723</v>
      </c>
      <c r="AM62" s="22" t="s">
        <v>724</v>
      </c>
      <c r="AN62" s="27" t="s">
        <v>728</v>
      </c>
      <c r="AO62" s="22" t="s">
        <v>727</v>
      </c>
      <c r="AP62" s="27" t="s">
        <v>76</v>
      </c>
      <c r="AQ62" s="22" t="s">
        <v>818</v>
      </c>
      <c r="AR62" s="27" t="s">
        <v>10</v>
      </c>
      <c r="AS62" s="22" t="s">
        <v>10</v>
      </c>
      <c r="AT62" s="27" t="s">
        <v>10</v>
      </c>
      <c r="AU62" s="22" t="s">
        <v>10</v>
      </c>
      <c r="AV62" s="27" t="s">
        <v>671</v>
      </c>
      <c r="AW62" s="22" t="s">
        <v>672</v>
      </c>
      <c r="AX62" s="27" t="s">
        <v>277</v>
      </c>
      <c r="AY62" s="22" t="s">
        <v>716</v>
      </c>
      <c r="AZ62" s="27" t="s">
        <v>443</v>
      </c>
      <c r="BA62" s="22" t="s">
        <v>717</v>
      </c>
      <c r="BB62" s="27" t="s">
        <v>278</v>
      </c>
      <c r="BC62" s="22" t="s">
        <v>718</v>
      </c>
      <c r="BD62" s="27" t="s">
        <v>683</v>
      </c>
      <c r="BE62" s="22" t="s">
        <v>845</v>
      </c>
    </row>
    <row r="63" spans="1:57" ht="7.35" customHeight="1" x14ac:dyDescent="0.25">
      <c r="A63" s="56">
        <v>62</v>
      </c>
      <c r="B63" s="37" t="s">
        <v>719</v>
      </c>
      <c r="C63" s="30" t="s">
        <v>833</v>
      </c>
      <c r="D63" s="34" t="s">
        <v>10</v>
      </c>
      <c r="E63" s="35" t="s">
        <v>10</v>
      </c>
      <c r="F63" s="34" t="s">
        <v>81</v>
      </c>
      <c r="G63" s="35" t="s">
        <v>349</v>
      </c>
      <c r="H63" s="34" t="s">
        <v>10</v>
      </c>
      <c r="I63" s="35" t="s">
        <v>10</v>
      </c>
      <c r="J63" s="34" t="s">
        <v>10</v>
      </c>
      <c r="K63" s="35" t="s">
        <v>10</v>
      </c>
      <c r="L63" s="34" t="s">
        <v>10</v>
      </c>
      <c r="M63" s="35" t="s">
        <v>10</v>
      </c>
      <c r="N63" s="34" t="s">
        <v>10</v>
      </c>
      <c r="O63" s="35" t="s">
        <v>10</v>
      </c>
      <c r="P63" s="34" t="s">
        <v>10</v>
      </c>
      <c r="Q63" s="35" t="s">
        <v>10</v>
      </c>
      <c r="R63" s="34" t="s">
        <v>10</v>
      </c>
      <c r="S63" s="35" t="s">
        <v>10</v>
      </c>
      <c r="T63" s="34" t="s">
        <v>10</v>
      </c>
      <c r="U63" s="35" t="s">
        <v>10</v>
      </c>
      <c r="V63" s="34" t="s">
        <v>10</v>
      </c>
      <c r="W63" s="35" t="s">
        <v>10</v>
      </c>
      <c r="X63" s="34" t="s">
        <v>10</v>
      </c>
      <c r="Y63" s="35" t="s">
        <v>10</v>
      </c>
      <c r="Z63" s="34" t="s">
        <v>10</v>
      </c>
      <c r="AA63" s="35" t="s">
        <v>10</v>
      </c>
      <c r="AB63" s="27" t="s">
        <v>10</v>
      </c>
      <c r="AC63" s="22" t="s">
        <v>10</v>
      </c>
      <c r="AD63" s="27" t="s">
        <v>10</v>
      </c>
      <c r="AE63" s="22" t="s">
        <v>10</v>
      </c>
      <c r="AF63" s="27" t="s">
        <v>10</v>
      </c>
      <c r="AG63" s="22" t="s">
        <v>10</v>
      </c>
      <c r="AH63" s="27" t="s">
        <v>10</v>
      </c>
      <c r="AI63" s="22" t="s">
        <v>10</v>
      </c>
      <c r="AJ63" s="27" t="s">
        <v>10</v>
      </c>
      <c r="AK63" s="22" t="s">
        <v>10</v>
      </c>
      <c r="AL63" s="27" t="s">
        <v>723</v>
      </c>
      <c r="AM63" s="22" t="s">
        <v>725</v>
      </c>
      <c r="AN63" s="27" t="s">
        <v>728</v>
      </c>
      <c r="AO63" s="22" t="s">
        <v>727</v>
      </c>
      <c r="AP63" s="27" t="s">
        <v>76</v>
      </c>
      <c r="AQ63" s="22" t="s">
        <v>818</v>
      </c>
      <c r="AR63" s="27" t="s">
        <v>10</v>
      </c>
      <c r="AS63" s="22" t="s">
        <v>10</v>
      </c>
      <c r="AT63" s="27" t="s">
        <v>10</v>
      </c>
      <c r="AU63" s="22" t="s">
        <v>10</v>
      </c>
      <c r="AV63" s="27" t="s">
        <v>671</v>
      </c>
      <c r="AW63" s="22" t="s">
        <v>721</v>
      </c>
      <c r="AX63" s="27" t="s">
        <v>277</v>
      </c>
      <c r="AY63" s="22" t="s">
        <v>716</v>
      </c>
      <c r="AZ63" s="27" t="s">
        <v>443</v>
      </c>
      <c r="BA63" s="22" t="s">
        <v>717</v>
      </c>
      <c r="BB63" s="27" t="s">
        <v>278</v>
      </c>
      <c r="BC63" s="22" t="s">
        <v>718</v>
      </c>
      <c r="BD63" s="27" t="s">
        <v>683</v>
      </c>
      <c r="BE63" s="22" t="s">
        <v>845</v>
      </c>
    </row>
    <row r="64" spans="1:57" ht="7.35" customHeight="1" x14ac:dyDescent="0.25">
      <c r="A64" s="56">
        <v>63</v>
      </c>
      <c r="B64" s="37" t="s">
        <v>720</v>
      </c>
      <c r="C64" s="30" t="s">
        <v>833</v>
      </c>
      <c r="D64" s="34" t="s">
        <v>10</v>
      </c>
      <c r="E64" s="35" t="s">
        <v>10</v>
      </c>
      <c r="F64" s="34" t="s">
        <v>81</v>
      </c>
      <c r="G64" s="35" t="s">
        <v>349</v>
      </c>
      <c r="H64" s="34" t="s">
        <v>10</v>
      </c>
      <c r="I64" s="35" t="s">
        <v>10</v>
      </c>
      <c r="J64" s="34" t="s">
        <v>10</v>
      </c>
      <c r="K64" s="35" t="s">
        <v>10</v>
      </c>
      <c r="L64" s="34" t="s">
        <v>10</v>
      </c>
      <c r="M64" s="35" t="s">
        <v>10</v>
      </c>
      <c r="N64" s="34" t="s">
        <v>10</v>
      </c>
      <c r="O64" s="35" t="s">
        <v>10</v>
      </c>
      <c r="P64" s="34" t="s">
        <v>10</v>
      </c>
      <c r="Q64" s="35" t="s">
        <v>10</v>
      </c>
      <c r="R64" s="34" t="s">
        <v>10</v>
      </c>
      <c r="S64" s="35" t="s">
        <v>10</v>
      </c>
      <c r="T64" s="34" t="s">
        <v>10</v>
      </c>
      <c r="U64" s="35" t="s">
        <v>10</v>
      </c>
      <c r="V64" s="34" t="s">
        <v>10</v>
      </c>
      <c r="W64" s="35" t="s">
        <v>10</v>
      </c>
      <c r="X64" s="34" t="s">
        <v>10</v>
      </c>
      <c r="Y64" s="35" t="s">
        <v>10</v>
      </c>
      <c r="Z64" s="34" t="s">
        <v>10</v>
      </c>
      <c r="AA64" s="35" t="s">
        <v>10</v>
      </c>
      <c r="AB64" s="27" t="s">
        <v>10</v>
      </c>
      <c r="AC64" s="22" t="s">
        <v>10</v>
      </c>
      <c r="AD64" s="27" t="s">
        <v>10</v>
      </c>
      <c r="AE64" s="22" t="s">
        <v>10</v>
      </c>
      <c r="AF64" s="27" t="s">
        <v>10</v>
      </c>
      <c r="AG64" s="22" t="s">
        <v>10</v>
      </c>
      <c r="AH64" s="27" t="s">
        <v>10</v>
      </c>
      <c r="AI64" s="22" t="s">
        <v>10</v>
      </c>
      <c r="AJ64" s="27" t="s">
        <v>10</v>
      </c>
      <c r="AK64" s="22" t="s">
        <v>10</v>
      </c>
      <c r="AL64" s="27" t="s">
        <v>723</v>
      </c>
      <c r="AM64" s="22" t="s">
        <v>726</v>
      </c>
      <c r="AN64" s="27" t="s">
        <v>728</v>
      </c>
      <c r="AO64" s="22" t="s">
        <v>727</v>
      </c>
      <c r="AP64" s="27" t="s">
        <v>76</v>
      </c>
      <c r="AQ64" s="22" t="s">
        <v>818</v>
      </c>
      <c r="AR64" s="27" t="s">
        <v>10</v>
      </c>
      <c r="AS64" s="22" t="s">
        <v>10</v>
      </c>
      <c r="AT64" s="27" t="s">
        <v>10</v>
      </c>
      <c r="AU64" s="22" t="s">
        <v>10</v>
      </c>
      <c r="AV64" s="27" t="s">
        <v>671</v>
      </c>
      <c r="AW64" s="22" t="s">
        <v>722</v>
      </c>
      <c r="AX64" s="27" t="s">
        <v>277</v>
      </c>
      <c r="AY64" s="22" t="s">
        <v>716</v>
      </c>
      <c r="AZ64" s="27" t="s">
        <v>443</v>
      </c>
      <c r="BA64" s="22" t="s">
        <v>717</v>
      </c>
      <c r="BB64" s="27" t="s">
        <v>278</v>
      </c>
      <c r="BC64" s="22" t="s">
        <v>718</v>
      </c>
      <c r="BD64" s="27" t="s">
        <v>683</v>
      </c>
      <c r="BE64" s="22" t="s">
        <v>845</v>
      </c>
    </row>
  </sheetData>
  <phoneticPr fontId="1" type="noConversion"/>
  <conditionalFormatting sqref="B1:B1048576">
    <cfRule type="duplicateValues" dxfId="8" priority="35"/>
  </conditionalFormatting>
  <conditionalFormatting sqref="C9:C10">
    <cfRule type="duplicateValues" dxfId="7" priority="11"/>
    <cfRule type="cellIs" dxfId="6" priority="12" operator="equal">
      <formula>"null"</formula>
    </cfRule>
    <cfRule type="duplicateValues" dxfId="5" priority="13"/>
    <cfRule type="duplicateValues" dxfId="4" priority="14"/>
    <cfRule type="duplicateValues" dxfId="3" priority="15"/>
    <cfRule type="duplicateValues" dxfId="2" priority="16"/>
    <cfRule type="duplicateValues" dxfId="1" priority="17"/>
    <cfRule type="duplicateValues" dxfId="0" priority="18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2026-07-14T17:36:21Z</dcterms:modified>
  <dc:language>pt-BR</dc:language>
</cp:coreProperties>
</file>