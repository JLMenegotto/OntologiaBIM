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CF5C839-0F35-4DDD-86A8-73F70EB31D7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4" l="1"/>
  <c r="X39" i="4"/>
  <c r="X40" i="4"/>
  <c r="X41" i="4"/>
  <c r="X42" i="4"/>
  <c r="V39" i="4"/>
  <c r="U39" i="4"/>
  <c r="T39" i="4"/>
  <c r="O39" i="4"/>
  <c r="N39" i="4"/>
  <c r="M39" i="4"/>
  <c r="L39" i="4"/>
  <c r="V42" i="4"/>
  <c r="U42" i="4"/>
  <c r="T42" i="4"/>
  <c r="O42" i="4"/>
  <c r="N42" i="4"/>
  <c r="M42" i="4"/>
  <c r="L42" i="4"/>
  <c r="V41" i="4"/>
  <c r="U41" i="4"/>
  <c r="T41" i="4"/>
  <c r="O41" i="4"/>
  <c r="N41" i="4"/>
  <c r="M41" i="4"/>
  <c r="L41" i="4"/>
  <c r="V40" i="4"/>
  <c r="U40" i="4"/>
  <c r="T40" i="4"/>
  <c r="O40" i="4"/>
  <c r="N40" i="4"/>
  <c r="M40" i="4"/>
  <c r="L40" i="4"/>
  <c r="P304" i="1" l="1"/>
  <c r="P303" i="1"/>
  <c r="P302" i="1"/>
  <c r="P301" i="1"/>
  <c r="P300" i="1"/>
  <c r="J15" i="4" l="1"/>
  <c r="V38" i="4" l="1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<sst xmlns="http://schemas.openxmlformats.org/spreadsheetml/2006/main" count="10771" uniqueCount="999">
  <si>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</si>
  <si>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</si>
  <si>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</si>
  <si>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</si>
  <si>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</si>
  <si>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</si>
  <si>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</si>
  <si>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</si>
  <si>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</si>
  <si>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</si>
  <si>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</si>
  <si>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</si>
  <si>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</si>
  <si>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</si>
  <si>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</si>
  <si>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</si>
  <si>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</si>
  <si>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</si>
  <si>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</si>
  <si>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</si>
  <si>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</si>
  <si>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</si>
  <si>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</si>
  <si>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</si>
  <si>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</si>
  <si>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</si>
  <si>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</si>
  <si>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</si>
  <si>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</si>
  <si>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</si>
  <si>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</si>
  <si>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</si>
  <si>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</si>
  <si>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</si>
  <si>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</si>
  <si>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</si>
  <si>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</si>
  <si>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</si>
  <si>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</si>
  <si>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</si>
  <si>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</si>
  <si>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</si>
  <si>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</si>
  <si>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</si>
  <si>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</si>
  <si>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</si>
  <si>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</si>
  <si>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</si>
  <si>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</si>
  <si>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</si>
  <si>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</si>
  <si>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</si>
  <si>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</si>
  <si>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</si>
  <si>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</si>
  <si>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</si>
  <si>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</si>
  <si>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</si>
  <si>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</si>
  <si>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</si>
  <si>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</si>
  <si>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</si>
  <si>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</si>
  <si>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</si>
  <si>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</si>
  <si>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</si>
  <si>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</si>
  <si>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</si>
  <si>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</si>
  <si>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</si>
  <si>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</si>
  <si>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</si>
  <si>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</si>
  <si>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</si>
  <si>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</si>
  <si>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</si>
  <si>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</si>
  <si>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</si>
  <si>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</si>
  <si>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</si>
  <si>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</si>
  <si>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</si>
  <si>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</si>
  <si>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</si>
  <si>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</si>
  <si>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</si>
  <si>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</si>
  <si>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</si>
  <si>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</si>
  <si>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</si>
  <si>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</si>
  <si>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</si>
  <si>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</si>
  <si>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</si>
  <si>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</si>
  <si>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</si>
  <si>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</si>
  <si>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</si>
  <si>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</si>
  <si>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</si>
  <si>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</si>
  <si>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</si>
  <si>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</si>
  <si>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</si>
  <si>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</si>
  <si>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</si>
  <si>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</si>
  <si>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</si>
  <si>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</si>
  <si>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</si>
  <si>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</si>
  <si>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</si>
  <si>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</si>
  <si>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</si>
  <si>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</si>
  <si>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</si>
  <si>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</si>
  <si>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</si>
  <si>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</si>
  <si>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</si>
  <si>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</si>
  <si>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</si>
  <si>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</si>
  <si>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</si>
  <si>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</si>
  <si>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</si>
  <si>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</si>
  <si>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</si>
  <si>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</si>
  <si>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</si>
  <si>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</si>
  <si>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</si>
  <si>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</si>
  <si>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</si>
  <si>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</si>
  <si>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</si>
  <si>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</si>
  <si>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</si>
  <si>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</si>
  <si>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</si>
  <si>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</si>
  <si>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</si>
  <si>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</si>
  <si>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</si>
  <si>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</si>
  <si>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</si>
  <si>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</si>
  <si>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</si>
  <si>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</si>
  <si>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</si>
  <si>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</si>
  <si>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</si>
  <si>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</si>
  <si>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</si>
  <si>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</si>
  <si>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</si>
  <si>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</si>
  <si>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</si>
  <si>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</si>
  <si>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</si>
  <si>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</si>
  <si>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</si>
  <si>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</si>
  <si>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</si>
  <si>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</si>
  <si>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</si>
  <si>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</si>
  <si>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</si>
  <si>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</si>
  <si>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</si>
  <si>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</si>
  <si>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</si>
  <si>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</si>
  <si>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</si>
  <si>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</si>
  <si>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</si>
  <si>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</si>
  <si>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</si>
  <si>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</si>
  <si>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</si>
  <si>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</si>
  <si>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</si>
  <si>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</si>
  <si>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</si>
  <si>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</si>
  <si>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</si>
  <si>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</si>
  <si>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</si>
  <si>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</si>
  <si>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</si>
  <si>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</si>
  <si>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</si>
  <si>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</si>
  <si>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</si>
  <si>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</si>
  <si>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</si>
  <si>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</si>
  <si>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</si>
  <si>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</si>
  <si>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</si>
  <si>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</si>
  <si>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</si>
  <si>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</si>
  <si>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</si>
  <si>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</si>
  <si>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</si>
  <si>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</si>
  <si>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</si>
  <si>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</si>
  <si>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</si>
  <si>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</si>
  <si>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</si>
  <si>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</si>
  <si>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</si>
  <si>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</si>
  <si>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</si>
  <si>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</si>
  <si>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</si>
  <si>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</si>
  <si>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</si>
  <si>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</si>
  <si>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</si>
  <si>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</si>
  <si>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</si>
  <si>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</si>
  <si>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</si>
  <si>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</si>
  <si>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</si>
  <si>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</si>
  <si>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</si>
  <si>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</si>
  <si>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</si>
  <si>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</si>
  <si>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</si>
  <si>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</si>
  <si>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</si>
  <si>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</si>
  <si>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</si>
  <si>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</si>
  <si>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</si>
  <si>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</si>
  <si>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</si>
  <si>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</si>
  <si>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</si>
  <si>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</si>
  <si>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</si>
  <si>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</si>
  <si>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</si>
  <si>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</si>
  <si>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</si>
  <si>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</si>
  <si>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</si>
  <si>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</si>
  <si>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</si>
  <si>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</si>
  <si>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</si>
  <si>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</si>
  <si>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</si>
  <si>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</si>
  <si>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</si>
  <si>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</si>
  <si>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</si>
  <si>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</si>
  <si>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</si>
  <si>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</si>
  <si>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</si>
  <si>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</si>
  <si>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</si>
  <si>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</si>
  <si>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</si>
  <si>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</si>
  <si>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</si>
  <si>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</si>
  <si>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</si>
  <si>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</si>
  <si>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</si>
  <si>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</si>
  <si>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</si>
  <si>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</si>
  <si>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</si>
  <si>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</si>
  <si>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</si>
  <si>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</si>
  <si>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</si>
  <si>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</si>
  <si>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</si>
  <si>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</si>
  <si>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</si>
  <si>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</si>
  <si>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</si>
  <si>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</si>
  <si>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</si>
  <si>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</si>
  <si>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</si>
  <si>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</si>
  <si>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</si>
  <si>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</si>
  <si>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</si>
  <si>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</si>
  <si>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</si>
  <si>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</si>
  <si>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</si>
  <si>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</si>
  <si>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</si>
  <si>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</si>
  <si>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</si>
  <si>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</si>
  <si>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</si>
  <si>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</si>
  <si>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</si>
  <si>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</si>
  <si>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</si>
  <si>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</si>
  <si>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</si>
  <si>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</si>
  <si>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</si>
  <si>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</si>
  <si>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</si>
  <si>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</si>
  <si>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</si>
  <si>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</si>
  <si>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</si>
  <si>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</si>
  <si>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</si>
  <si>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</si>
  <si>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</si>
  <si>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</si>
  <si>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</si>
  <si>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</si>
  <si>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</si>
  <si>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</si>
  <si>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</si>
  <si>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</si>
  <si>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</si>
  <si>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</si>
  <si>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</si>
  <si>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</si>
  <si>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</si>
  <si>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</si>
  <si>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</si>
  <si>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</si>
  <si>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</si>
  <si>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</si>
  <si>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</si>
  <si>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</si>
  <si>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</si>
  <si>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</si>
  <si>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</si>
  <si>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</si>
  <si>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</si>
  <si>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</si>
  <si>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</si>
  <si>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</si>
  <si>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</si>
  <si>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</si>
  <si>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</si>
  <si>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</si>
  <si>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</si>
  <si>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</si>
  <si>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</si>
  <si>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</si>
  <si>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</si>
  <si>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</si>
  <si>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</si>
  <si>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</si>
  <si>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</si>
  <si>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</si>
  <si>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</si>
  <si>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</si>
  <si>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</si>
  <si>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</si>
  <si>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</si>
  <si>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</si>
  <si>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</si>
  <si>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</si>
  <si>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</si>
  <si>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</si>
  <si>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</si>
  <si>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</si>
  <si>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</si>
  <si>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</si>
  <si>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</si>
  <si>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</si>
  <si>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</si>
  <si>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</si>
  <si>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</si>
  <si>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</si>
  <si>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</si>
  <si>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</si>
  <si>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</si>
  <si>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</si>
  <si>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</si>
  <si>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</si>
  <si>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</si>
  <si>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</si>
  <si>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</si>
  <si>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</si>
  <si>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</si>
  <si>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</si>
  <si>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</si>
  <si>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</si>
  <si>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</si>
  <si>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</si>
  <si>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</si>
  <si>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</si>
  <si>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</si>
  <si>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</si>
  <si>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</si>
  <si>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</si>
  <si>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</si>
  <si>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</si>
  <si>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</si>
  <si>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</si>
  <si>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</si>
  <si>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</si>
  <si>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</si>
  <si>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</si>
  <si>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</si>
  <si>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</si>
  <si>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</si>
  <si>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</si>
  <si>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</si>
  <si>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</si>
  <si>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</si>
  <si>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</si>
  <si>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</si>
  <si>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</si>
  <si>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</si>
  <si>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</si>
  <si>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</si>
  <si>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</si>
  <si>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</si>
  <si>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</si>
  <si>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</si>
  <si>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</si>
  <si>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</si>
  <si>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</si>
  <si>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</si>
  <si>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</si>
  <si>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</si>
  <si>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</si>
  <si>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</si>
  <si>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</si>
  <si>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</si>
  <si>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</si>
  <si>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</si>
  <si>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</si>
  <si>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</si>
  <si>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</si>
  <si>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</si>
  <si>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</si>
  <si>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</si>
  <si>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</si>
  <si>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</si>
  <si>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</si>
  <si>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</si>
  <si>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</si>
  <si>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</si>
  <si>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</si>
  <si>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</si>
  <si>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</si>
  <si>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</si>
  <si>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</si>
  <si>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</si>
  <si>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</si>
  <si>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</si>
  <si>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</si>
  <si>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</si>
  <si>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</si>
  <si>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</si>
  <si>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</si>
  <si>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</si>
  <si>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</si>
  <si>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</si>
  <si>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</si>
  <si>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</si>
  <si>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</si>
  <si>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</si>
  <si>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</si>
  <si>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</si>
  <si>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</si>
  <si>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</si>
  <si>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</si>
  <si>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</si>
  <si>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</si>
  <si>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</si>
  <si>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</si>
  <si>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</si>
  <si>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</si>
  <si>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</si>
  <si>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</si>
  <si>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</si>
  <si>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</si>
  <si>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</si>
  <si>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</si>
  <si>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</si>
  <si>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</si>
  <si>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</si>
  <si>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</si>
  <si>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</si>
  <si>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</si>
  <si>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</si>
  <si>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</si>
  <si>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</si>
  <si>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</si>
  <si>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</si>
  <si>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</si>
  <si>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</si>
  <si>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</si>
  <si>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</si>
  <si>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</si>
  <si>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</si>
  <si>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</si>
  <si>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</si>
  <si>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</si>
  <si>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</si>
  <si>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</si>
  <si>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</si>
  <si>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</si>
  <si>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</si>
  <si>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</si>
  <si>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</si>
  <si>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</si>
  <si>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</si>
  <si>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</si>
  <si>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</si>
  <si>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</si>
  <si>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</si>
  <si>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</si>
  <si>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</si>
  <si>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</si>
  <si>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</si>
  <si>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</si>
  <si>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</si>
  <si>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</si>
  <si>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</si>
  <si>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</si>
  <si>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</si>
  <si>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</si>
  <si>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</si>
  <si>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</si>
  <si>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</si>
  <si>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</si>
  <si>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</si>
  <si>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</si>
  <si>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</si>
  <si>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</si>
  <si>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</si>
  <si>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</si>
  <si>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</si>
  <si>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</si>
  <si>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</si>
  <si>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</si>
  <si>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</si>
  <si>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</si>
  <si>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</si>
  <si>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</si>
  <si>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</si>
  <si>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</si>
  <si>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</si>
  <si>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</si>
  <si>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</si>
  <si>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</si>
  <si>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</si>
  <si>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</si>
  <si>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</si>
  <si>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</si>
  <si>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</si>
  <si>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</si>
  <si>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</si>
  <si>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</si>
  <si>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</si>
  <si>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</si>
  <si>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</si>
  <si>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</si>
  <si>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</si>
  <si>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</si>
  <si>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</si>
  <si>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</si>
  <si>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</si>
  <si>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</si>
  <si>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</si>
  <si>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</si>
  <si>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</si>
  <si>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</si>
  <si>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</si>
  <si>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</si>
  <si>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</si>
  <si>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</si>
  <si>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</si>
  <si>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</si>
  <si>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</si>
  <si>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</si>
  <si>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</si>
  <si>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</si>
  <si>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</si>
  <si>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</si>
  <si>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</si>
  <si>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</si>
  <si>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</si>
  <si>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</si>
  <si>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</si>
  <si>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</si>
  <si>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</si>
  <si>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</si>
  <si>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</si>
  <si>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</si>
  <si>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</si>
  <si>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</si>
  <si>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</si>
  <si>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</si>
  <si>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</si>
  <si>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</si>
  <si>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</si>
  <si>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</si>
  <si>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</si>
  <si>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</si>
  <si>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</si>
  <si>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</si>
  <si>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</si>
  <si>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</si>
  <si>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</si>
  <si>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</si>
  <si>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</si>
  <si>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</si>
  <si>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</si>
  <si>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</si>
  <si>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</si>
  <si>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</si>
  <si>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</si>
  <si>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</si>
  <si>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</si>
  <si>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</si>
  <si>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</si>
  <si>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</si>
  <si>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</si>
  <si>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</si>
  <si>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</si>
  <si>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</si>
  <si>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</si>
  <si>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</si>
  <si>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</si>
  <si>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</si>
  <si>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</si>
  <si>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</si>
  <si>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</si>
  <si>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</si>
  <si>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</si>
  <si>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</si>
  <si>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</si>
  <si>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</si>
  <si>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</si>
  <si>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</si>
  <si>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</si>
  <si>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</si>
  <si>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</si>
  <si>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</si>
  <si>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</si>
  <si>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</si>
  <si>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</si>
  <si>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</si>
  <si>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</si>
  <si>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</si>
  <si>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</si>
  <si>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</si>
  <si>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</si>
  <si>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</si>
  <si>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</si>
  <si>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</si>
  <si>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</si>
  <si>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</si>
  <si>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</si>
  <si>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</si>
  <si>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</si>
  <si>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</si>
  <si>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</si>
  <si>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</si>
  <si>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</si>
  <si>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</si>
  <si>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</si>
  <si>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</si>
  <si>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</si>
  <si>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</si>
  <si>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</si>
  <si>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</si>
  <si>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</si>
  <si>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</si>
  <si>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</si>
  <si>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</si>
  <si>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</si>
  <si>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</si>
  <si>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</si>
  <si>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</si>
  <si>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</si>
  <si>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</si>
  <si>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</si>
  <si>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</si>
  <si>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</si>
  <si>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</si>
  <si>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</si>
  <si>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</si>
  <si>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</si>
  <si>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</si>
  <si>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</si>
  <si>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</si>
  <si>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</si>
  <si>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</si>
  <si>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</si>
  <si>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</si>
  <si>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</si>
  <si>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</si>
  <si>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</si>
  <si>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</si>
  <si>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</si>
  <si>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</si>
  <si>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</si>
  <si>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</si>
  <si>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</si>
  <si>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</si>
  <si>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</si>
  <si>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</si>
  <si>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</si>
  <si>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</si>
  <si>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</si>
  <si>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</si>
  <si>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</si>
  <si>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</si>
  <si>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</si>
  <si>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</si>
  <si>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</si>
  <si>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</si>
  <si>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</si>
  <si>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</si>
  <si>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</si>
  <si>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</si>
  <si>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</si>
  <si>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</si>
  <si>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</si>
  <si>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</si>
  <si>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</si>
  <si>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</si>
  <si>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</si>
  <si>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</si>
  <si>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</si>
  <si>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</si>
  <si>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</si>
  <si>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</si>
  <si>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</si>
  <si>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</si>
  <si>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</si>
  <si>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</si>
  <si>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</si>
  <si>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</si>
  <si>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</si>
  <si>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</si>
  <si>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</si>
  <si>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</si>
  <si>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</si>
  <si>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</si>
  <si>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</si>
  <si>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</si>
  <si>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</si>
  <si>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</si>
  <si>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</si>
  <si>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</si>
  <si>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</si>
  <si>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</si>
  <si>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</si>
  <si>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</si>
  <si>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</si>
  <si>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</si>
  <si>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</si>
  <si>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</si>
  <si>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</si>
  <si>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</si>
  <si>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</si>
  <si>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</si>
  <si>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</si>
  <si>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</si>
  <si>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</si>
  <si>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</si>
  <si>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</si>
  <si>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</si>
  <si>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</si>
  <si>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</si>
  <si>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</si>
  <si>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</si>
  <si>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</si>
  <si>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</si>
  <si>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</si>
  <si>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</si>
  <si>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</si>
  <si>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</si>
  <si>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</si>
  <si>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</si>
  <si>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</si>
  <si>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</si>
  <si>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</si>
  <si>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</si>
  <si>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</si>
  <si>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</si>
  <si>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</si>
  <si>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</si>
  <si>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</si>
  <si>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</si>
  <si>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</si>
  <si>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</si>
  <si>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</si>
  <si>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</si>
  <si>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</si>
  <si>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</si>
  <si>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</si>
  <si>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</si>
  <si>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</si>
  <si>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</si>
  <si>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</si>
  <si>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</si>
  <si>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</si>
  <si>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</si>
  <si>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</si>
  <si>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</si>
  <si>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</si>
  <si>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</si>
  <si>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</si>
  <si>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</si>
  <si>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</si>
  <si>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</si>
  <si>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</si>
  <si>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</si>
  <si>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</si>
  <si>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</si>
  <si>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</si>
  <si>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</si>
  <si>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</si>
  <si>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</si>
  <si>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</si>
  <si>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</si>
  <si>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</si>
  <si>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</si>
  <si>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</si>
  <si>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</si>
  <si>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</si>
  <si>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</si>
  <si>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</si>
  <si>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</si>
  <si>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</si>
  <si>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</si>
  <si>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</si>
  <si>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</si>
  <si>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</si>
  <si>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</si>
  <si>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</si>
  <si>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</si>
  <si>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</si>
  <si>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</si>
  <si>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</si>
  <si>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</si>
  <si>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</si>
  <si>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</si>
  <si>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</si>
  <si>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</si>
  <si>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</si>
  <si>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</si>
  <si>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</si>
  <si>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</si>
  <si>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</si>
  <si>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</si>
  <si>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</si>
  <si>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</si>
  <si>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</si>
  <si>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</si>
  <si>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</si>
  <si>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</si>
  <si>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</si>
  <si>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</si>
  <si>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</si>
  <si>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</si>
  <si>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</si>
  <si>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</si>
  <si>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</si>
  <si>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</si>
  <si>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</si>
  <si>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</si>
  <si>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</si>
  <si>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</si>
  <si>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</si>
  <si>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</si>
  <si>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</si>
  <si>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</si>
  <si>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</si>
  <si>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</si>
  <si>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</si>
  <si>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</si>
  <si>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</si>
  <si>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</si>
  <si>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</si>
  <si>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</si>
  <si>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</si>
  <si>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</si>
  <si>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</si>
  <si>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</si>
  <si>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</si>
  <si>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</si>
  <si>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</si>
  <si>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</si>
  <si>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</si>
  <si>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</si>
  <si>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</si>
  <si>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</si>
  <si>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</si>
  <si>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</si>
  <si>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</si>
  <si>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</si>
  <si>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</si>
  <si>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</si>
  <si>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</si>
  <si>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</si>
  <si>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</si>
  <si>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</si>
  <si>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</si>
  <si>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</si>
  <si>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</si>
  <si>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</si>
  <si>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</si>
  <si>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</si>
  <si>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</si>
  <si>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</si>
  <si>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</si>
  <si>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</si>
  <si>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</si>
  <si>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</si>
  <si>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</si>
  <si>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</si>
  <si>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</si>
  <si>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</si>
  <si>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</si>
  <si>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</si>
  <si>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</si>
  <si>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</si>
  <si>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</si>
  <si>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</si>
  <si>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</si>
  <si>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</si>
  <si>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</si>
  <si>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</si>
  <si>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</si>
  <si>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</si>
  <si>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</si>
  <si>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</si>
  <si>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</si>
  <si>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</si>
  <si>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</si>
  <si>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</si>
  <si>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</si>
  <si>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</si>
  <si>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</si>
  <si>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</si>
  <si>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</si>
  <si>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</si>
  <si>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</si>
  <si>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</si>
  <si>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</si>
  <si>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</si>
  <si>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</si>
  <si>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</si>
  <si>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</si>
  <si>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</si>
  <si>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"API"</t>
  </si>
  <si>
    <t>De.API</t>
  </si>
  <si>
    <t>Métodos</t>
  </si>
  <si>
    <t>Macros</t>
  </si>
  <si>
    <t>é.selecionado.por</t>
  </si>
  <si>
    <t>"[ Elementos ]"</t>
  </si>
  <si>
    <t>"[ Tipos ]"</t>
  </si>
  <si>
    <t>"[ Materiais ]"</t>
  </si>
  <si>
    <t>"[ Ambientes ]"</t>
  </si>
  <si>
    <t>"[ Pavimentos ]"</t>
  </si>
  <si>
    <t>Função.Auxiliar</t>
  </si>
  <si>
    <t>Função.Global</t>
  </si>
  <si>
    <t>Função.Filtro</t>
  </si>
  <si>
    <t>Bloco.de.Código</t>
  </si>
  <si>
    <t>Códigos.Visuais</t>
  </si>
  <si>
    <t>Define uma Função Auxiliar (helper) numa aplicação</t>
  </si>
  <si>
    <t>Define uma Função Global numa aplicação</t>
  </si>
  <si>
    <t>Define uma Função Local numa aplicação</t>
  </si>
  <si>
    <t>Define uma Função para filtrar objetos numa aplicação</t>
  </si>
  <si>
    <t>Define um Código escrito em sistemas de programação visual</t>
  </si>
  <si>
    <t>Função.Local</t>
  </si>
  <si>
    <t>Define a Helper Role in an application</t>
  </si>
  <si>
    <t>Define a Global Role in an application</t>
  </si>
  <si>
    <t>Define a Local Role in an application</t>
  </si>
  <si>
    <t>Define a Function to filter objects in an application</t>
  </si>
  <si>
    <t>Defines a Code written in visual programming systems</t>
  </si>
  <si>
    <t>Defina un rol de ayudante en una aplicación</t>
  </si>
  <si>
    <t>Defina un rol global en una aplicación</t>
  </si>
  <si>
    <t>Defina un rol local en una aplicación</t>
  </si>
  <si>
    <t>Defina una función para filtrar objetos en una aplicación</t>
  </si>
  <si>
    <t>Define un código escrito en sistemas de programación visual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</si>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</sst>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660</v>
      </c>
    </row>
    <row r="2" spans="1:3" ht="7.35" customHeight="1" x14ac:dyDescent="0.2">
      <c r="A2" s="12" t="s">
        <v>270</v>
      </c>
      <c r="B2" s="12" t="s">
        <v>645</v>
      </c>
      <c r="C2" s="44" t="s">
        <v>661</v>
      </c>
    </row>
    <row r="3" spans="1:3" ht="7.35" customHeight="1" x14ac:dyDescent="0.2">
      <c r="A3" s="12" t="s">
        <v>271</v>
      </c>
      <c r="B3" s="12" t="s">
        <v>268</v>
      </c>
      <c r="C3" s="44" t="s">
        <v>661</v>
      </c>
    </row>
    <row r="4" spans="1:3" ht="7.35" customHeight="1" x14ac:dyDescent="0.2">
      <c r="A4" s="13" t="s">
        <v>254</v>
      </c>
      <c r="B4" s="13" t="s">
        <v>597</v>
      </c>
      <c r="C4" s="44" t="s">
        <v>661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661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661</v>
      </c>
    </row>
    <row r="7" spans="1:3" ht="7.35" customHeight="1" x14ac:dyDescent="0.2">
      <c r="A7" s="13" t="s">
        <v>257</v>
      </c>
      <c r="B7" s="13" t="s">
        <v>291</v>
      </c>
      <c r="C7" s="44" t="s">
        <v>661</v>
      </c>
    </row>
    <row r="8" spans="1:3" ht="7.35" customHeight="1" x14ac:dyDescent="0.2">
      <c r="A8" s="41" t="s">
        <v>258</v>
      </c>
      <c r="B8" s="41" t="s">
        <v>659</v>
      </c>
      <c r="C8" s="44" t="s">
        <v>661</v>
      </c>
    </row>
    <row r="9" spans="1:3" ht="7.35" customHeight="1" x14ac:dyDescent="0.2">
      <c r="A9" s="13" t="s">
        <v>272</v>
      </c>
      <c r="B9" s="13" t="s">
        <v>273</v>
      </c>
      <c r="C9" s="44" t="s">
        <v>661</v>
      </c>
    </row>
    <row r="10" spans="1:3" ht="7.35" customHeight="1" x14ac:dyDescent="0.2">
      <c r="A10" s="13" t="s">
        <v>274</v>
      </c>
      <c r="B10" s="13" t="s">
        <v>275</v>
      </c>
      <c r="C10" s="44" t="s">
        <v>661</v>
      </c>
    </row>
    <row r="11" spans="1:3" ht="7.35" customHeight="1" x14ac:dyDescent="0.2">
      <c r="A11" s="13" t="s">
        <v>276</v>
      </c>
      <c r="B11" s="13" t="s">
        <v>286</v>
      </c>
      <c r="C11" s="44" t="s">
        <v>661</v>
      </c>
    </row>
    <row r="12" spans="1:3" ht="7.35" customHeight="1" x14ac:dyDescent="0.2">
      <c r="A12" s="13" t="s">
        <v>259</v>
      </c>
      <c r="B12" s="13" t="s">
        <v>260</v>
      </c>
      <c r="C12" s="44" t="s">
        <v>661</v>
      </c>
    </row>
    <row r="13" spans="1:3" ht="7.35" customHeight="1" x14ac:dyDescent="0.2">
      <c r="A13" s="13" t="s">
        <v>277</v>
      </c>
      <c r="B13" s="13" t="s">
        <v>261</v>
      </c>
      <c r="C13" s="44" t="s">
        <v>661</v>
      </c>
    </row>
    <row r="14" spans="1:3" ht="7.35" customHeight="1" x14ac:dyDescent="0.2">
      <c r="A14" s="13" t="s">
        <v>278</v>
      </c>
      <c r="B14" s="13" t="s">
        <v>262</v>
      </c>
      <c r="C14" s="44" t="s">
        <v>661</v>
      </c>
    </row>
    <row r="15" spans="1:3" ht="7.35" customHeight="1" x14ac:dyDescent="0.2">
      <c r="A15" s="13" t="s">
        <v>279</v>
      </c>
      <c r="B15" s="13" t="s">
        <v>262</v>
      </c>
      <c r="C15" s="44" t="s">
        <v>661</v>
      </c>
    </row>
    <row r="16" spans="1:3" ht="7.35" customHeight="1" x14ac:dyDescent="0.2">
      <c r="A16" s="13" t="s">
        <v>280</v>
      </c>
      <c r="B16" s="13" t="s">
        <v>262</v>
      </c>
      <c r="C16" s="44" t="s">
        <v>661</v>
      </c>
    </row>
    <row r="17" spans="1:3" ht="7.35" customHeight="1" x14ac:dyDescent="0.2">
      <c r="A17" s="13" t="s">
        <v>263</v>
      </c>
      <c r="B17" s="13" t="s">
        <v>264</v>
      </c>
      <c r="C17" s="44" t="s">
        <v>661</v>
      </c>
    </row>
    <row r="18" spans="1:3" ht="7.35" customHeight="1" x14ac:dyDescent="0.2">
      <c r="A18" s="13" t="s">
        <v>281</v>
      </c>
      <c r="B18" s="14">
        <f ca="1">NOW()</f>
        <v>46268.688356250001</v>
      </c>
      <c r="C18" s="44" t="s">
        <v>661</v>
      </c>
    </row>
    <row r="19" spans="1:3" ht="7.35" customHeight="1" x14ac:dyDescent="0.2">
      <c r="A19" s="13" t="s">
        <v>671</v>
      </c>
      <c r="B19" s="14" t="s">
        <v>664</v>
      </c>
      <c r="C19" s="44" t="s">
        <v>661</v>
      </c>
    </row>
    <row r="20" spans="1:3" ht="7.35" customHeight="1" x14ac:dyDescent="0.2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35" customHeight="1" x14ac:dyDescent="0.2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35" customHeight="1" x14ac:dyDescent="0.2">
      <c r="A22" s="13" t="s">
        <v>269</v>
      </c>
      <c r="B22" s="13" t="s">
        <v>262</v>
      </c>
      <c r="C22" s="44" t="s">
        <v>661</v>
      </c>
    </row>
    <row r="23" spans="1:3" ht="7.35" customHeight="1" x14ac:dyDescent="0.2">
      <c r="A23" s="13" t="s">
        <v>282</v>
      </c>
      <c r="B23" s="14" t="s">
        <v>262</v>
      </c>
      <c r="C23" s="44" t="s">
        <v>661</v>
      </c>
    </row>
    <row r="24" spans="1:3" ht="7.35" customHeight="1" x14ac:dyDescent="0.2">
      <c r="A24" s="13" t="s">
        <v>287</v>
      </c>
      <c r="B24" s="15" t="s">
        <v>289</v>
      </c>
      <c r="C24" s="44" t="s">
        <v>661</v>
      </c>
    </row>
    <row r="25" spans="1:3" ht="7.35" customHeight="1" x14ac:dyDescent="0.2">
      <c r="A25" s="13" t="s">
        <v>288</v>
      </c>
      <c r="B25" s="15" t="s">
        <v>290</v>
      </c>
      <c r="C25" s="44" t="s">
        <v>662</v>
      </c>
    </row>
    <row r="26" spans="1:3" ht="7.35" customHeight="1" x14ac:dyDescent="0.2">
      <c r="A26" s="41" t="s">
        <v>657</v>
      </c>
      <c r="B26" s="42" t="s">
        <v>658</v>
      </c>
      <c r="C26" s="44" t="s">
        <v>663</v>
      </c>
    </row>
    <row r="27" spans="1:3" ht="8.25" customHeight="1" x14ac:dyDescent="0.2">
      <c r="A27" s="41" t="s">
        <v>890</v>
      </c>
      <c r="B27" s="58" t="s">
        <v>891</v>
      </c>
      <c r="C27" s="44" t="s">
        <v>661</v>
      </c>
    </row>
    <row r="28" spans="1:3" ht="8.25" customHeight="1" x14ac:dyDescent="0.2">
      <c r="A28" s="41" t="s">
        <v>892</v>
      </c>
      <c r="B28" s="59" t="s">
        <v>893</v>
      </c>
      <c r="C28" s="44" t="s">
        <v>661</v>
      </c>
    </row>
    <row r="29" spans="1:3" ht="8.25" customHeight="1" x14ac:dyDescent="0.2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15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15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15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15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15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15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15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15">
      <c r="A37" s="41" t="s">
        <v>910</v>
      </c>
      <c r="B37" s="60" t="s">
        <v>911</v>
      </c>
      <c r="C37" s="44" t="s">
        <v>661</v>
      </c>
    </row>
    <row r="38" spans="1:3" ht="9.9499999999999993" customHeight="1" x14ac:dyDescent="0.2">
      <c r="A38" s="13" t="s">
        <v>912</v>
      </c>
      <c r="B38" s="63" t="s">
        <v>913</v>
      </c>
      <c r="C38" s="44" t="s">
        <v>661</v>
      </c>
    </row>
    <row r="39" spans="1:3" s="65" customFormat="1" ht="9.6" customHeight="1" x14ac:dyDescent="0.15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D42"/>
  <sheetViews>
    <sheetView tabSelected="1" topLeftCell="W1" zoomScale="190" zoomScaleNormal="190" workbookViewId="0">
      <pane ySplit="1" topLeftCell="A2" activePane="bottomLeft" state="frozen"/>
      <selection pane="bottomLeft" activeCell="AD2" sqref="AD2"/>
    </sheetView>
  </sheetViews>
  <sheetFormatPr defaultRowHeight="7.5" customHeight="1" x14ac:dyDescent="0.2"/>
  <cols>
    <col min="1" max="1" width="2.5" customWidth="1"/>
    <col min="2" max="2" width="5.5" style="29" bestFit="1" customWidth="1"/>
    <col min="3" max="3" width="8.83203125" style="29" bestFit="1" customWidth="1"/>
    <col min="4" max="4" width="11.6640625" style="29" bestFit="1" customWidth="1"/>
    <col min="5" max="5" width="11.33203125" style="29" bestFit="1" customWidth="1"/>
    <col min="6" max="6" width="14.6640625" style="29" bestFit="1" customWidth="1"/>
    <col min="7" max="9" width="8.33203125" style="29" bestFit="1" customWidth="1"/>
    <col min="10" max="10" width="20" style="29" bestFit="1" customWidth="1"/>
    <col min="11" max="11" width="11.83203125" style="29" bestFit="1" customWidth="1"/>
    <col min="12" max="12" width="9" bestFit="1" customWidth="1"/>
    <col min="13" max="13" width="11.83203125" bestFit="1" customWidth="1"/>
    <col min="14" max="14" width="11.33203125" bestFit="1" customWidth="1"/>
    <col min="15" max="15" width="15" bestFit="1" customWidth="1"/>
    <col min="16" max="16" width="61.83203125" bestFit="1" customWidth="1"/>
    <col min="17" max="17" width="64.6640625" bestFit="1" customWidth="1"/>
    <col min="18" max="18" width="56.83203125" style="40" bestFit="1" customWidth="1"/>
    <col min="19" max="19" width="4.83203125" style="29" bestFit="1" customWidth="1"/>
    <col min="20" max="20" width="9" bestFit="1" customWidth="1"/>
    <col min="21" max="21" width="11.83203125" bestFit="1" customWidth="1"/>
    <col min="22" max="22" width="11.33203125" bestFit="1" customWidth="1"/>
    <col min="23" max="23" width="7.83203125" bestFit="1" customWidth="1"/>
    <col min="24" max="24" width="7.5" style="29" bestFit="1" customWidth="1"/>
    <col min="25" max="25" width="44.1640625" bestFit="1" customWidth="1"/>
    <col min="26" max="26" width="8.83203125" bestFit="1" customWidth="1"/>
    <col min="27" max="27" width="44.83203125" bestFit="1" customWidth="1"/>
    <col min="28" max="28" width="7.1640625" bestFit="1" customWidth="1"/>
    <col min="29" max="29" width="9.83203125" bestFit="1" customWidth="1"/>
    <col min="30" max="30" width="7.1640625" bestFit="1" customWidth="1"/>
  </cols>
  <sheetData>
    <row r="1" spans="1:30" ht="39.75" customHeight="1" x14ac:dyDescent="0.2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933</v>
      </c>
      <c r="AA1" s="18" t="s">
        <v>655</v>
      </c>
      <c r="AB1" s="36" t="s">
        <v>934</v>
      </c>
      <c r="AC1" s="18" t="s">
        <v>621</v>
      </c>
      <c r="AD1" s="36" t="s">
        <v>998</v>
      </c>
    </row>
    <row r="2" spans="1:30" ht="7.5" customHeight="1" x14ac:dyDescent="0.2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928</v>
      </c>
      <c r="Z2" s="68" t="s">
        <v>285</v>
      </c>
      <c r="AA2" s="39" t="s">
        <v>929</v>
      </c>
      <c r="AB2" s="68" t="s">
        <v>285</v>
      </c>
      <c r="AC2" s="39" t="s">
        <v>587</v>
      </c>
      <c r="AD2" s="68" t="s">
        <v>285</v>
      </c>
    </row>
    <row r="3" spans="1:30" ht="7.5" customHeight="1" x14ac:dyDescent="0.2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932</v>
      </c>
      <c r="Z3" s="68" t="s">
        <v>285</v>
      </c>
      <c r="AA3" s="39" t="s">
        <v>931</v>
      </c>
      <c r="AB3" s="68" t="s">
        <v>285</v>
      </c>
      <c r="AC3" s="39" t="s">
        <v>689</v>
      </c>
      <c r="AD3" s="68" t="s">
        <v>285</v>
      </c>
    </row>
    <row r="4" spans="1:30" ht="7.5" customHeight="1" x14ac:dyDescent="0.2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68" t="s">
        <v>285</v>
      </c>
      <c r="Z4" s="68" t="s">
        <v>285</v>
      </c>
      <c r="AA4" s="39" t="s">
        <v>924</v>
      </c>
      <c r="AB4" s="68" t="s">
        <v>285</v>
      </c>
      <c r="AC4" s="39" t="s">
        <v>688</v>
      </c>
      <c r="AD4" s="68" t="s">
        <v>285</v>
      </c>
    </row>
    <row r="5" spans="1:30" ht="7.5" customHeight="1" x14ac:dyDescent="0.2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68" t="s">
        <v>285</v>
      </c>
      <c r="AA5" s="39" t="s">
        <v>923</v>
      </c>
      <c r="AB5" s="68" t="s">
        <v>285</v>
      </c>
      <c r="AC5" s="39" t="s">
        <v>690</v>
      </c>
      <c r="AD5" s="68" t="s">
        <v>285</v>
      </c>
    </row>
    <row r="6" spans="1:30" ht="7.5" customHeight="1" x14ac:dyDescent="0.2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68" t="s">
        <v>285</v>
      </c>
      <c r="Z6" s="68" t="s">
        <v>285</v>
      </c>
      <c r="AA6" s="39" t="s">
        <v>924</v>
      </c>
      <c r="AB6" s="68" t="s">
        <v>285</v>
      </c>
      <c r="AC6" s="39" t="s">
        <v>691</v>
      </c>
      <c r="AD6" s="68" t="s">
        <v>285</v>
      </c>
    </row>
    <row r="7" spans="1:30" ht="7.5" customHeight="1" x14ac:dyDescent="0.2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68" t="s">
        <v>285</v>
      </c>
      <c r="Z7" s="68" t="s">
        <v>285</v>
      </c>
      <c r="AA7" s="68" t="s">
        <v>285</v>
      </c>
      <c r="AB7" s="68" t="s">
        <v>285</v>
      </c>
      <c r="AC7" s="39" t="s">
        <v>692</v>
      </c>
      <c r="AD7" s="68" t="s">
        <v>285</v>
      </c>
    </row>
    <row r="8" spans="1:30" ht="7.5" customHeight="1" x14ac:dyDescent="0.2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68" t="s">
        <v>285</v>
      </c>
      <c r="Z8" s="68" t="s">
        <v>285</v>
      </c>
      <c r="AA8" s="68" t="s">
        <v>285</v>
      </c>
      <c r="AB8" s="68" t="s">
        <v>285</v>
      </c>
      <c r="AC8" s="39" t="s">
        <v>693</v>
      </c>
      <c r="AD8" s="68" t="s">
        <v>285</v>
      </c>
    </row>
    <row r="9" spans="1:30" ht="7.5" customHeight="1" x14ac:dyDescent="0.2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68" t="s">
        <v>285</v>
      </c>
      <c r="Z9" s="68" t="s">
        <v>285</v>
      </c>
      <c r="AA9" s="68" t="s">
        <v>285</v>
      </c>
      <c r="AB9" s="68" t="s">
        <v>285</v>
      </c>
      <c r="AC9" s="39" t="s">
        <v>694</v>
      </c>
      <c r="AD9" s="68" t="s">
        <v>285</v>
      </c>
    </row>
    <row r="10" spans="1:30" ht="7.5" customHeight="1" x14ac:dyDescent="0.2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68" t="s">
        <v>285</v>
      </c>
      <c r="Z10" s="68" t="s">
        <v>285</v>
      </c>
      <c r="AA10" s="68" t="s">
        <v>285</v>
      </c>
      <c r="AB10" s="68" t="s">
        <v>285</v>
      </c>
      <c r="AC10" s="39" t="s">
        <v>695</v>
      </c>
      <c r="AD10" s="68" t="s">
        <v>285</v>
      </c>
    </row>
    <row r="11" spans="1:30" ht="7.5" customHeight="1" x14ac:dyDescent="0.2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68" t="s">
        <v>285</v>
      </c>
      <c r="Z11" s="68" t="s">
        <v>285</v>
      </c>
      <c r="AA11" s="68" t="s">
        <v>285</v>
      </c>
      <c r="AB11" s="68" t="s">
        <v>285</v>
      </c>
      <c r="AC11" s="39" t="s">
        <v>696</v>
      </c>
      <c r="AD11" s="68" t="s">
        <v>285</v>
      </c>
    </row>
    <row r="12" spans="1:30" ht="7.5" customHeight="1" x14ac:dyDescent="0.2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925</v>
      </c>
      <c r="Z12" s="68" t="s">
        <v>285</v>
      </c>
      <c r="AA12" s="39" t="s">
        <v>930</v>
      </c>
      <c r="AB12" s="68" t="s">
        <v>285</v>
      </c>
      <c r="AC12" s="39" t="s">
        <v>697</v>
      </c>
      <c r="AD12" s="68" t="s">
        <v>285</v>
      </c>
    </row>
    <row r="13" spans="1:30" ht="7.5" customHeight="1" x14ac:dyDescent="0.2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925</v>
      </c>
      <c r="Z13" s="68" t="s">
        <v>285</v>
      </c>
      <c r="AA13" s="39" t="s">
        <v>930</v>
      </c>
      <c r="AB13" s="68" t="s">
        <v>285</v>
      </c>
      <c r="AC13" s="39" t="s">
        <v>698</v>
      </c>
      <c r="AD13" s="68" t="s">
        <v>285</v>
      </c>
    </row>
    <row r="14" spans="1:30" ht="7.5" customHeight="1" x14ac:dyDescent="0.2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926</v>
      </c>
      <c r="Z14" s="68" t="s">
        <v>285</v>
      </c>
      <c r="AA14" s="67" t="s">
        <v>927</v>
      </c>
      <c r="AB14" s="68" t="s">
        <v>285</v>
      </c>
      <c r="AC14" s="39" t="s">
        <v>699</v>
      </c>
      <c r="AD14" s="68" t="s">
        <v>285</v>
      </c>
    </row>
    <row r="15" spans="1:30" ht="7.5" customHeight="1" x14ac:dyDescent="0.2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42" si="12">CONCATENATE("Key-ABNT-",A15)</f>
        <v>Key-ABNT-15</v>
      </c>
      <c r="Y15" s="39" t="s">
        <v>928</v>
      </c>
      <c r="Z15" s="68" t="s">
        <v>285</v>
      </c>
      <c r="AA15" s="39" t="s">
        <v>929</v>
      </c>
      <c r="AB15" s="68" t="s">
        <v>285</v>
      </c>
      <c r="AC15" s="37" t="s">
        <v>769</v>
      </c>
      <c r="AD15" s="68" t="s">
        <v>285</v>
      </c>
    </row>
    <row r="16" spans="1:30" ht="7.5" customHeight="1" x14ac:dyDescent="0.2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928</v>
      </c>
      <c r="Z16" s="68" t="s">
        <v>285</v>
      </c>
      <c r="AA16" s="39" t="s">
        <v>929</v>
      </c>
      <c r="AB16" s="68" t="s">
        <v>285</v>
      </c>
      <c r="AC16" s="37" t="s">
        <v>769</v>
      </c>
      <c r="AD16" s="68" t="s">
        <v>285</v>
      </c>
    </row>
    <row r="17" spans="1:30" ht="7.5" customHeight="1" x14ac:dyDescent="0.2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928</v>
      </c>
      <c r="Z17" s="68" t="s">
        <v>285</v>
      </c>
      <c r="AA17" s="39" t="s">
        <v>929</v>
      </c>
      <c r="AB17" s="68" t="s">
        <v>285</v>
      </c>
      <c r="AC17" s="37" t="s">
        <v>770</v>
      </c>
      <c r="AD17" s="68" t="s">
        <v>285</v>
      </c>
    </row>
    <row r="18" spans="1:30" ht="7.5" customHeight="1" x14ac:dyDescent="0.2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928</v>
      </c>
      <c r="Z18" s="68" t="s">
        <v>285</v>
      </c>
      <c r="AA18" s="39" t="s">
        <v>929</v>
      </c>
      <c r="AB18" s="68" t="s">
        <v>285</v>
      </c>
      <c r="AC18" s="37" t="s">
        <v>771</v>
      </c>
      <c r="AD18" s="68" t="s">
        <v>285</v>
      </c>
    </row>
    <row r="19" spans="1:30" ht="7.5" customHeight="1" x14ac:dyDescent="0.2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928</v>
      </c>
      <c r="Z19" s="68" t="s">
        <v>285</v>
      </c>
      <c r="AA19" s="39" t="s">
        <v>929</v>
      </c>
      <c r="AB19" s="68" t="s">
        <v>285</v>
      </c>
      <c r="AC19" s="37" t="s">
        <v>772</v>
      </c>
      <c r="AD19" s="68" t="s">
        <v>285</v>
      </c>
    </row>
    <row r="20" spans="1:30" ht="7.5" customHeight="1" x14ac:dyDescent="0.2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935</v>
      </c>
      <c r="S20" s="39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928</v>
      </c>
      <c r="Z20" s="68" t="s">
        <v>285</v>
      </c>
      <c r="AA20" s="39" t="s">
        <v>929</v>
      </c>
      <c r="AB20" s="68" t="s">
        <v>285</v>
      </c>
      <c r="AC20" s="37" t="s">
        <v>789</v>
      </c>
      <c r="AD20" s="68" t="s">
        <v>285</v>
      </c>
    </row>
    <row r="21" spans="1:30" ht="7.5" customHeight="1" x14ac:dyDescent="0.2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936</v>
      </c>
      <c r="S21" s="39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928</v>
      </c>
      <c r="Z21" s="68" t="s">
        <v>285</v>
      </c>
      <c r="AA21" s="39" t="s">
        <v>929</v>
      </c>
      <c r="AB21" s="68" t="s">
        <v>285</v>
      </c>
      <c r="AC21" s="37" t="s">
        <v>773</v>
      </c>
      <c r="AD21" s="68" t="s">
        <v>285</v>
      </c>
    </row>
    <row r="22" spans="1:30" ht="7.5" customHeight="1" x14ac:dyDescent="0.2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937</v>
      </c>
      <c r="S22" s="39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928</v>
      </c>
      <c r="Z22" s="68" t="s">
        <v>285</v>
      </c>
      <c r="AA22" s="39" t="s">
        <v>929</v>
      </c>
      <c r="AB22" s="68" t="s">
        <v>285</v>
      </c>
      <c r="AC22" s="37" t="s">
        <v>774</v>
      </c>
      <c r="AD22" s="68" t="s">
        <v>285</v>
      </c>
    </row>
    <row r="23" spans="1:30" ht="7.5" customHeight="1" x14ac:dyDescent="0.2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938</v>
      </c>
      <c r="S23" s="39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928</v>
      </c>
      <c r="Z23" s="68" t="s">
        <v>285</v>
      </c>
      <c r="AA23" s="39" t="s">
        <v>929</v>
      </c>
      <c r="AB23" s="68" t="s">
        <v>285</v>
      </c>
      <c r="AC23" s="37" t="s">
        <v>775</v>
      </c>
      <c r="AD23" s="68" t="s">
        <v>285</v>
      </c>
    </row>
    <row r="24" spans="1:30" ht="7.5" customHeight="1" x14ac:dyDescent="0.2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939</v>
      </c>
      <c r="S24" s="39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928</v>
      </c>
      <c r="Z24" s="68" t="s">
        <v>285</v>
      </c>
      <c r="AA24" s="39" t="s">
        <v>929</v>
      </c>
      <c r="AB24" s="68" t="s">
        <v>285</v>
      </c>
      <c r="AC24" s="37" t="s">
        <v>776</v>
      </c>
      <c r="AD24" s="68" t="s">
        <v>285</v>
      </c>
    </row>
    <row r="25" spans="1:30" ht="7.5" customHeight="1" x14ac:dyDescent="0.2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928</v>
      </c>
      <c r="Z25" s="68" t="s">
        <v>285</v>
      </c>
      <c r="AA25" s="39" t="s">
        <v>929</v>
      </c>
      <c r="AB25" s="68" t="s">
        <v>285</v>
      </c>
      <c r="AC25" s="37" t="s">
        <v>777</v>
      </c>
      <c r="AD25" s="68" t="s">
        <v>285</v>
      </c>
    </row>
    <row r="26" spans="1:30" ht="7.5" customHeight="1" x14ac:dyDescent="0.2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940</v>
      </c>
      <c r="S26" s="39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928</v>
      </c>
      <c r="Z26" s="68" t="s">
        <v>285</v>
      </c>
      <c r="AA26" s="39" t="s">
        <v>929</v>
      </c>
      <c r="AB26" s="68" t="s">
        <v>285</v>
      </c>
      <c r="AC26" s="37" t="s">
        <v>778</v>
      </c>
      <c r="AD26" s="68" t="s">
        <v>285</v>
      </c>
    </row>
    <row r="27" spans="1:30" ht="7.5" customHeight="1" x14ac:dyDescent="0.2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941</v>
      </c>
      <c r="S27" s="39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928</v>
      </c>
      <c r="Z27" s="68" t="s">
        <v>285</v>
      </c>
      <c r="AA27" s="39" t="s">
        <v>929</v>
      </c>
      <c r="AB27" s="68" t="s">
        <v>285</v>
      </c>
      <c r="AC27" s="37" t="s">
        <v>779</v>
      </c>
      <c r="AD27" s="68" t="s">
        <v>285</v>
      </c>
    </row>
    <row r="28" spans="1:30" ht="7.5" customHeight="1" x14ac:dyDescent="0.2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942</v>
      </c>
      <c r="S28" s="39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928</v>
      </c>
      <c r="Z28" s="68" t="s">
        <v>285</v>
      </c>
      <c r="AA28" s="39" t="s">
        <v>929</v>
      </c>
      <c r="AB28" s="68" t="s">
        <v>285</v>
      </c>
      <c r="AC28" s="37" t="s">
        <v>780</v>
      </c>
      <c r="AD28" s="68" t="s">
        <v>285</v>
      </c>
    </row>
    <row r="29" spans="1:30" ht="7.5" customHeight="1" x14ac:dyDescent="0.2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943</v>
      </c>
      <c r="S29" s="39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928</v>
      </c>
      <c r="Z29" s="68" t="s">
        <v>285</v>
      </c>
      <c r="AA29" s="39" t="s">
        <v>929</v>
      </c>
      <c r="AB29" s="68" t="s">
        <v>285</v>
      </c>
      <c r="AC29" s="37" t="s">
        <v>781</v>
      </c>
      <c r="AD29" s="68" t="s">
        <v>285</v>
      </c>
    </row>
    <row r="30" spans="1:30" ht="7.5" customHeight="1" x14ac:dyDescent="0.2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944</v>
      </c>
      <c r="S30" s="39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928</v>
      </c>
      <c r="Z30" s="68" t="s">
        <v>285</v>
      </c>
      <c r="AA30" s="39" t="s">
        <v>929</v>
      </c>
      <c r="AB30" s="68" t="s">
        <v>285</v>
      </c>
      <c r="AC30" s="37" t="s">
        <v>768</v>
      </c>
      <c r="AD30" s="68" t="s">
        <v>285</v>
      </c>
    </row>
    <row r="31" spans="1:30" ht="7.5" customHeight="1" x14ac:dyDescent="0.2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945</v>
      </c>
      <c r="S31" s="39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928</v>
      </c>
      <c r="Z31" s="68" t="s">
        <v>285</v>
      </c>
      <c r="AA31" s="39" t="s">
        <v>929</v>
      </c>
      <c r="AB31" s="68" t="s">
        <v>285</v>
      </c>
      <c r="AC31" s="37" t="s">
        <v>782</v>
      </c>
      <c r="AD31" s="68" t="s">
        <v>285</v>
      </c>
    </row>
    <row r="32" spans="1:30" ht="7.5" customHeight="1" x14ac:dyDescent="0.2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946</v>
      </c>
      <c r="S32" s="39" t="s">
        <v>285</v>
      </c>
      <c r="T32" s="37" t="str">
        <f t="shared" ref="T32:V39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928</v>
      </c>
      <c r="Z32" s="68" t="s">
        <v>285</v>
      </c>
      <c r="AA32" s="39" t="s">
        <v>929</v>
      </c>
      <c r="AB32" s="68" t="s">
        <v>285</v>
      </c>
      <c r="AC32" s="37" t="s">
        <v>783</v>
      </c>
      <c r="AD32" s="68" t="s">
        <v>285</v>
      </c>
    </row>
    <row r="33" spans="1:30" ht="7.5" customHeight="1" x14ac:dyDescent="0.2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947</v>
      </c>
      <c r="S33" s="39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928</v>
      </c>
      <c r="Z33" s="68" t="s">
        <v>285</v>
      </c>
      <c r="AA33" s="39" t="s">
        <v>929</v>
      </c>
      <c r="AB33" s="68" t="s">
        <v>285</v>
      </c>
      <c r="AC33" s="37" t="s">
        <v>784</v>
      </c>
      <c r="AD33" s="68" t="s">
        <v>285</v>
      </c>
    </row>
    <row r="34" spans="1:30" ht="7.5" customHeight="1" x14ac:dyDescent="0.2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948</v>
      </c>
      <c r="S34" s="39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928</v>
      </c>
      <c r="Z34" s="68" t="s">
        <v>285</v>
      </c>
      <c r="AA34" s="39" t="s">
        <v>929</v>
      </c>
      <c r="AB34" s="68" t="s">
        <v>285</v>
      </c>
      <c r="AC34" s="37" t="s">
        <v>785</v>
      </c>
      <c r="AD34" s="68" t="s">
        <v>285</v>
      </c>
    </row>
    <row r="35" spans="1:30" ht="7.5" customHeight="1" x14ac:dyDescent="0.2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949</v>
      </c>
      <c r="S35" s="39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928</v>
      </c>
      <c r="Z35" s="68" t="s">
        <v>285</v>
      </c>
      <c r="AA35" s="39" t="s">
        <v>929</v>
      </c>
      <c r="AB35" s="68" t="s">
        <v>285</v>
      </c>
      <c r="AC35" s="37" t="s">
        <v>786</v>
      </c>
      <c r="AD35" s="68" t="s">
        <v>285</v>
      </c>
    </row>
    <row r="36" spans="1:30" ht="7.5" customHeight="1" x14ac:dyDescent="0.2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950</v>
      </c>
      <c r="S36" s="39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928</v>
      </c>
      <c r="Z36" s="68" t="s">
        <v>285</v>
      </c>
      <c r="AA36" s="39" t="s">
        <v>929</v>
      </c>
      <c r="AB36" s="68" t="s">
        <v>285</v>
      </c>
      <c r="AC36" s="37" t="s">
        <v>787</v>
      </c>
      <c r="AD36" s="68" t="s">
        <v>285</v>
      </c>
    </row>
    <row r="37" spans="1:30" ht="7.5" customHeight="1" x14ac:dyDescent="0.2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951</v>
      </c>
      <c r="S37" s="39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928</v>
      </c>
      <c r="Z37" s="68" t="s">
        <v>285</v>
      </c>
      <c r="AA37" s="39" t="s">
        <v>929</v>
      </c>
      <c r="AB37" s="68" t="s">
        <v>285</v>
      </c>
      <c r="AC37" s="37" t="s">
        <v>788</v>
      </c>
      <c r="AD37" s="68" t="s">
        <v>285</v>
      </c>
    </row>
    <row r="38" spans="1:30" s="34" customFormat="1" ht="6.75" customHeight="1" x14ac:dyDescent="0.2">
      <c r="A38" s="45">
        <v>38</v>
      </c>
      <c r="B38" s="46" t="s">
        <v>952</v>
      </c>
      <c r="C38" s="28" t="s">
        <v>968</v>
      </c>
      <c r="D38" s="28" t="s">
        <v>970</v>
      </c>
      <c r="E38" s="28" t="s">
        <v>969</v>
      </c>
      <c r="F38" s="28" t="s">
        <v>977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9" si="19">SUBSTITUTE(CONCATENATE("", C38), ".", " ")</f>
        <v>De API</v>
      </c>
      <c r="M38" s="48" t="str">
        <f t="shared" si="19"/>
        <v>Macros</v>
      </c>
      <c r="N38" s="48" t="str">
        <f t="shared" si="19"/>
        <v>Métodos</v>
      </c>
      <c r="O38" s="48" t="str">
        <f t="shared" si="19"/>
        <v>Função Auxiliar</v>
      </c>
      <c r="P38" s="39" t="s">
        <v>982</v>
      </c>
      <c r="Q38" s="39" t="s">
        <v>993</v>
      </c>
      <c r="R38" s="39" t="s">
        <v>988</v>
      </c>
      <c r="S38" s="39" t="s">
        <v>285</v>
      </c>
      <c r="T38" s="39" t="str">
        <f t="shared" si="18"/>
        <v>De API</v>
      </c>
      <c r="U38" s="39" t="str">
        <f t="shared" si="18"/>
        <v>Macros</v>
      </c>
      <c r="V38" s="37" t="str">
        <f t="shared" si="18"/>
        <v>Métodos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  <c r="AD38" s="68" t="s">
        <v>285</v>
      </c>
    </row>
    <row r="39" spans="1:30" s="34" customFormat="1" ht="6.75" customHeight="1" x14ac:dyDescent="0.2">
      <c r="A39" s="45">
        <v>39</v>
      </c>
      <c r="B39" s="46" t="s">
        <v>952</v>
      </c>
      <c r="C39" s="28" t="s">
        <v>968</v>
      </c>
      <c r="D39" s="28" t="s">
        <v>970</v>
      </c>
      <c r="E39" s="28" t="s">
        <v>969</v>
      </c>
      <c r="F39" s="28" t="s">
        <v>978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8" t="str">
        <f t="shared" si="19"/>
        <v>De API</v>
      </c>
      <c r="M39" s="48" t="str">
        <f t="shared" si="19"/>
        <v>Macros</v>
      </c>
      <c r="N39" s="48" t="str">
        <f t="shared" si="19"/>
        <v>Métodos</v>
      </c>
      <c r="O39" s="48" t="str">
        <f t="shared" si="19"/>
        <v>Função Global</v>
      </c>
      <c r="P39" s="39" t="s">
        <v>983</v>
      </c>
      <c r="Q39" s="39" t="s">
        <v>994</v>
      </c>
      <c r="R39" s="39" t="s">
        <v>989</v>
      </c>
      <c r="S39" s="39" t="s">
        <v>285</v>
      </c>
      <c r="T39" s="39" t="str">
        <f t="shared" si="18"/>
        <v>De API</v>
      </c>
      <c r="U39" s="39" t="str">
        <f t="shared" si="18"/>
        <v>Macros</v>
      </c>
      <c r="V39" s="37" t="str">
        <f t="shared" si="18"/>
        <v>Métodos</v>
      </c>
      <c r="W39" s="39" t="s">
        <v>643</v>
      </c>
      <c r="X39" s="56" t="str">
        <f t="shared" si="12"/>
        <v>Key-ABNT-39</v>
      </c>
      <c r="Y39" s="68" t="s">
        <v>285</v>
      </c>
      <c r="Z39" s="68" t="s">
        <v>285</v>
      </c>
      <c r="AA39" s="68" t="s">
        <v>285</v>
      </c>
      <c r="AB39" s="68" t="s">
        <v>285</v>
      </c>
      <c r="AC39" s="68" t="s">
        <v>285</v>
      </c>
      <c r="AD39" s="68" t="s">
        <v>285</v>
      </c>
    </row>
    <row r="40" spans="1:30" s="34" customFormat="1" ht="6.75" customHeight="1" x14ac:dyDescent="0.2">
      <c r="A40" s="45">
        <v>40</v>
      </c>
      <c r="B40" s="46" t="s">
        <v>952</v>
      </c>
      <c r="C40" s="28" t="s">
        <v>968</v>
      </c>
      <c r="D40" s="28" t="s">
        <v>970</v>
      </c>
      <c r="E40" s="28" t="s">
        <v>969</v>
      </c>
      <c r="F40" s="28" t="s">
        <v>987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8" t="str">
        <f t="shared" ref="L40" si="20">SUBSTITUTE(CONCATENATE("", C40), ".", " ")</f>
        <v>De API</v>
      </c>
      <c r="M40" s="48" t="str">
        <f t="shared" ref="M40" si="21">SUBSTITUTE(CONCATENATE("", D40), ".", " ")</f>
        <v>Macros</v>
      </c>
      <c r="N40" s="48" t="str">
        <f t="shared" ref="N40" si="22">SUBSTITUTE(CONCATENATE("", E40), ".", " ")</f>
        <v>Métodos</v>
      </c>
      <c r="O40" s="48" t="str">
        <f t="shared" ref="O40" si="23">SUBSTITUTE(CONCATENATE("", F40), ".", " ")</f>
        <v>Função Local</v>
      </c>
      <c r="P40" s="39" t="s">
        <v>984</v>
      </c>
      <c r="Q40" s="39" t="s">
        <v>995</v>
      </c>
      <c r="R40" s="39" t="s">
        <v>990</v>
      </c>
      <c r="S40" s="39" t="s">
        <v>285</v>
      </c>
      <c r="T40" s="39" t="str">
        <f t="shared" ref="T40" si="24">SUBSTITUTE(C40, ".", " ")</f>
        <v>De API</v>
      </c>
      <c r="U40" s="39" t="str">
        <f t="shared" ref="U40" si="25">SUBSTITUTE(D40, ".", " ")</f>
        <v>Macros</v>
      </c>
      <c r="V40" s="37" t="str">
        <f t="shared" ref="V40" si="26">SUBSTITUTE(E40, ".", " ")</f>
        <v>Métodos</v>
      </c>
      <c r="W40" s="39" t="s">
        <v>643</v>
      </c>
      <c r="X40" s="56" t="str">
        <f t="shared" si="12"/>
        <v>Key-ABNT-40</v>
      </c>
      <c r="Y40" s="68" t="s">
        <v>285</v>
      </c>
      <c r="Z40" s="68" t="s">
        <v>285</v>
      </c>
      <c r="AA40" s="68" t="s">
        <v>285</v>
      </c>
      <c r="AB40" s="68" t="s">
        <v>285</v>
      </c>
      <c r="AC40" s="68" t="s">
        <v>285</v>
      </c>
      <c r="AD40" s="68" t="s">
        <v>285</v>
      </c>
    </row>
    <row r="41" spans="1:30" s="34" customFormat="1" ht="6.75" customHeight="1" x14ac:dyDescent="0.2">
      <c r="A41" s="45">
        <v>41</v>
      </c>
      <c r="B41" s="46" t="s">
        <v>952</v>
      </c>
      <c r="C41" s="28" t="s">
        <v>968</v>
      </c>
      <c r="D41" s="28" t="s">
        <v>970</v>
      </c>
      <c r="E41" s="28" t="s">
        <v>969</v>
      </c>
      <c r="F41" s="28" t="s">
        <v>979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8" t="str">
        <f t="shared" ref="L41" si="27">SUBSTITUTE(CONCATENATE("", C41), ".", " ")</f>
        <v>De API</v>
      </c>
      <c r="M41" s="48" t="str">
        <f t="shared" ref="M41" si="28">SUBSTITUTE(CONCATENATE("", D41), ".", " ")</f>
        <v>Macros</v>
      </c>
      <c r="N41" s="48" t="str">
        <f t="shared" ref="N41" si="29">SUBSTITUTE(CONCATENATE("", E41), ".", " ")</f>
        <v>Métodos</v>
      </c>
      <c r="O41" s="48" t="str">
        <f t="shared" ref="O41" si="30">SUBSTITUTE(CONCATENATE("", F41), ".", " ")</f>
        <v>Função Filtro</v>
      </c>
      <c r="P41" s="39" t="s">
        <v>985</v>
      </c>
      <c r="Q41" s="39" t="s">
        <v>996</v>
      </c>
      <c r="R41" s="39" t="s">
        <v>991</v>
      </c>
      <c r="S41" s="39" t="s">
        <v>285</v>
      </c>
      <c r="T41" s="39" t="str">
        <f t="shared" ref="T41" si="31">SUBSTITUTE(C41, ".", " ")</f>
        <v>De API</v>
      </c>
      <c r="U41" s="39" t="str">
        <f t="shared" ref="U41" si="32">SUBSTITUTE(D41, ".", " ")</f>
        <v>Macros</v>
      </c>
      <c r="V41" s="37" t="str">
        <f t="shared" ref="V41" si="33">SUBSTITUTE(E41, ".", " ")</f>
        <v>Métodos</v>
      </c>
      <c r="W41" s="39" t="s">
        <v>643</v>
      </c>
      <c r="X41" s="56" t="str">
        <f t="shared" si="12"/>
        <v>Key-ABNT-41</v>
      </c>
      <c r="Y41" s="68" t="s">
        <v>285</v>
      </c>
      <c r="Z41" s="68" t="s">
        <v>285</v>
      </c>
      <c r="AA41" s="68" t="s">
        <v>285</v>
      </c>
      <c r="AB41" s="68" t="s">
        <v>285</v>
      </c>
      <c r="AC41" s="68" t="s">
        <v>285</v>
      </c>
      <c r="AD41" s="68" t="s">
        <v>285</v>
      </c>
    </row>
    <row r="42" spans="1:30" s="34" customFormat="1" ht="6.75" customHeight="1" x14ac:dyDescent="0.2">
      <c r="A42" s="45">
        <v>42</v>
      </c>
      <c r="B42" s="46" t="s">
        <v>952</v>
      </c>
      <c r="C42" s="28" t="s">
        <v>968</v>
      </c>
      <c r="D42" s="28" t="s">
        <v>970</v>
      </c>
      <c r="E42" s="28" t="s">
        <v>981</v>
      </c>
      <c r="F42" s="28" t="s">
        <v>980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8" t="str">
        <f t="shared" ref="L42" si="34">SUBSTITUTE(CONCATENATE("", C42), ".", " ")</f>
        <v>De API</v>
      </c>
      <c r="M42" s="48" t="str">
        <f t="shared" ref="M42" si="35">SUBSTITUTE(CONCATENATE("", D42), ".", " ")</f>
        <v>Macros</v>
      </c>
      <c r="N42" s="48" t="str">
        <f t="shared" ref="N42" si="36">SUBSTITUTE(CONCATENATE("", E42), ".", " ")</f>
        <v>Códigos Visuais</v>
      </c>
      <c r="O42" s="48" t="str">
        <f t="shared" ref="O42" si="37">SUBSTITUTE(CONCATENATE("", F42), ".", " ")</f>
        <v>Bloco de Código</v>
      </c>
      <c r="P42" s="39" t="s">
        <v>986</v>
      </c>
      <c r="Q42" s="39" t="s">
        <v>997</v>
      </c>
      <c r="R42" s="39" t="s">
        <v>992</v>
      </c>
      <c r="S42" s="39" t="s">
        <v>285</v>
      </c>
      <c r="T42" s="39" t="str">
        <f t="shared" ref="T42" si="38">SUBSTITUTE(C42, ".", " ")</f>
        <v>De API</v>
      </c>
      <c r="U42" s="39" t="str">
        <f t="shared" ref="U42" si="39">SUBSTITUTE(D42, ".", " ")</f>
        <v>Macros</v>
      </c>
      <c r="V42" s="37" t="str">
        <f t="shared" ref="V42" si="40">SUBSTITUTE(E42, ".", " ")</f>
        <v>Códigos Visuais</v>
      </c>
      <c r="W42" s="39" t="s">
        <v>643</v>
      </c>
      <c r="X42" s="56" t="str">
        <f t="shared" si="12"/>
        <v>Key-ABNT-42</v>
      </c>
      <c r="Y42" s="68" t="s">
        <v>285</v>
      </c>
      <c r="Z42" s="68" t="s">
        <v>285</v>
      </c>
      <c r="AA42" s="68" t="s">
        <v>285</v>
      </c>
      <c r="AB42" s="68" t="s">
        <v>285</v>
      </c>
      <c r="AC42" s="68" t="s">
        <v>285</v>
      </c>
      <c r="AD42" s="68" t="s">
        <v>285</v>
      </c>
    </row>
  </sheetData>
  <conditionalFormatting sqref="A2:B42">
    <cfRule type="cellIs" dxfId="22" priority="1" operator="equal">
      <formula>"null"</formula>
    </cfRule>
  </conditionalFormatting>
  <conditionalFormatting sqref="E42:F42">
    <cfRule type="duplicateValues" dxfId="21" priority="2"/>
  </conditionalFormatting>
  <conditionalFormatting sqref="F2:F14">
    <cfRule type="duplicateValues" dxfId="20" priority="21"/>
  </conditionalFormatting>
  <conditionalFormatting sqref="F38:F41">
    <cfRule type="duplicateValues" dxfId="19" priority="9"/>
  </conditionalFormatting>
  <conditionalFormatting sqref="R1:R37 R43:R1048576">
    <cfRule type="cellIs" dxfId="18" priority="7" operator="equal">
      <formula>"null"</formula>
    </cfRule>
  </conditionalFormatting>
  <conditionalFormatting sqref="Y2 AA2">
    <cfRule type="cellIs" dxfId="17" priority="18" operator="equal">
      <formula>"null"</formula>
    </cfRule>
  </conditionalFormatting>
  <conditionalFormatting sqref="Y15:Y37 AA15:AA37">
    <cfRule type="cellIs" dxfId="16" priority="2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644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zoomScale="175" zoomScaleNormal="175" workbookViewId="0">
      <pane ySplit="1" topLeftCell="A2" activePane="bottomLeft" state="frozen"/>
      <selection pane="bottomLeft" activeCell="C302" sqref="C302"/>
    </sheetView>
  </sheetViews>
  <sheetFormatPr defaultColWidth="11.5" defaultRowHeight="6.75" customHeight="1" x14ac:dyDescent="0.2"/>
  <cols>
    <col min="1" max="1" width="3.6640625" style="1" customWidth="1"/>
    <col min="2" max="2" width="11.6640625" style="1" bestFit="1" customWidth="1"/>
    <col min="3" max="3" width="16.83203125" style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43.1640625" style="34" customWidth="1"/>
    <col min="16" max="16" width="8.33203125" style="34" customWidth="1"/>
    <col min="17" max="17" width="12.6640625" style="34" bestFit="1" customWidth="1"/>
    <col min="18" max="18" width="7.5" style="34" customWidth="1"/>
    <col min="19" max="19" width="26.83203125" style="34" customWidth="1"/>
    <col min="20" max="20" width="5.6640625" style="34" customWidth="1"/>
    <col min="21" max="21" width="18.33203125" style="34" customWidth="1"/>
    <col min="22" max="22" width="6.83203125" style="34" customWidth="1"/>
    <col min="23" max="23" width="26" style="34" customWidth="1"/>
    <col min="24" max="24" width="9.83203125" style="34" customWidth="1"/>
    <col min="25" max="25" width="7.6640625" style="34" customWidth="1"/>
    <col min="26" max="26" width="3.1640625" style="1" bestFit="1" customWidth="1"/>
    <col min="27" max="27" width="3.66406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16384" width="11.5" style="1"/>
  </cols>
  <sheetData>
    <row r="1" spans="1:33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971</v>
      </c>
      <c r="Y4" s="51" t="s">
        <v>958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971</v>
      </c>
      <c r="Y5" s="51" t="s">
        <v>958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971</v>
      </c>
      <c r="Y6" s="51" t="s">
        <v>958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971</v>
      </c>
      <c r="Y7" s="51" t="s">
        <v>958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971</v>
      </c>
      <c r="Y8" s="51" t="s">
        <v>958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971</v>
      </c>
      <c r="Y9" s="51" t="s">
        <v>958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971</v>
      </c>
      <c r="Y10" s="51" t="s">
        <v>958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971</v>
      </c>
      <c r="Y11" s="51" t="s">
        <v>958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971</v>
      </c>
      <c r="Y12" s="51" t="s">
        <v>958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971</v>
      </c>
      <c r="Y13" s="51" t="s">
        <v>958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971</v>
      </c>
      <c r="Y14" s="51" t="s">
        <v>958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971</v>
      </c>
      <c r="Y15" s="51" t="s">
        <v>958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971</v>
      </c>
      <c r="Y16" s="51" t="s">
        <v>958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971</v>
      </c>
      <c r="Y17" s="51" t="s">
        <v>958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971</v>
      </c>
      <c r="Y18" s="51" t="s">
        <v>958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971</v>
      </c>
      <c r="Y19" s="51" t="s">
        <v>958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971</v>
      </c>
      <c r="Y20" s="51" t="s">
        <v>958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971</v>
      </c>
      <c r="Y21" s="51" t="s">
        <v>958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971</v>
      </c>
      <c r="Y22" s="51" t="s">
        <v>958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971</v>
      </c>
      <c r="Y23" s="51" t="s">
        <v>958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971</v>
      </c>
      <c r="Y24" s="51" t="s">
        <v>958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971</v>
      </c>
      <c r="Y25" s="51" t="s">
        <v>958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971</v>
      </c>
      <c r="Y26" s="51" t="s">
        <v>958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971</v>
      </c>
      <c r="Y27" s="51" t="s">
        <v>958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971</v>
      </c>
      <c r="Y28" s="51" t="s">
        <v>958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971</v>
      </c>
      <c r="Y29" s="51" t="s">
        <v>958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971</v>
      </c>
      <c r="Y30" s="51" t="s">
        <v>958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971</v>
      </c>
      <c r="Y31" s="51" t="s">
        <v>958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971</v>
      </c>
      <c r="Y32" s="51" t="s">
        <v>958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971</v>
      </c>
      <c r="Y33" s="51" t="s">
        <v>958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971</v>
      </c>
      <c r="Y34" s="51" t="s">
        <v>958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971</v>
      </c>
      <c r="Y35" s="51" t="s">
        <v>958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971</v>
      </c>
      <c r="Y36" s="51" t="s">
        <v>958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971</v>
      </c>
      <c r="Y37" s="51" t="s">
        <v>958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971</v>
      </c>
      <c r="Y38" s="51" t="s">
        <v>958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971</v>
      </c>
      <c r="Y39" s="51" t="s">
        <v>958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971</v>
      </c>
      <c r="Y40" s="51" t="s">
        <v>958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971</v>
      </c>
      <c r="Y41" s="51" t="s">
        <v>958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971</v>
      </c>
      <c r="Y42" s="51" t="s">
        <v>958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971</v>
      </c>
      <c r="Y43" s="51" t="s">
        <v>958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971</v>
      </c>
      <c r="Y44" s="51" t="s">
        <v>958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971</v>
      </c>
      <c r="Y45" s="51" t="s">
        <v>958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971</v>
      </c>
      <c r="Y46" s="51" t="s">
        <v>958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971</v>
      </c>
      <c r="Y47" s="51" t="s">
        <v>958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971</v>
      </c>
      <c r="Y48" s="51" t="s">
        <v>958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971</v>
      </c>
      <c r="Y49" s="51" t="s">
        <v>958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971</v>
      </c>
      <c r="Y50" s="51" t="s">
        <v>958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971</v>
      </c>
      <c r="Y51" s="51" t="s">
        <v>958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971</v>
      </c>
      <c r="Y52" s="51" t="s">
        <v>958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971</v>
      </c>
      <c r="Y53" s="51" t="s">
        <v>958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971</v>
      </c>
      <c r="Y54" s="51" t="s">
        <v>958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971</v>
      </c>
      <c r="Y55" s="51" t="s">
        <v>958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971</v>
      </c>
      <c r="Y56" s="51" t="s">
        <v>958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971</v>
      </c>
      <c r="Y57" s="51" t="s">
        <v>958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971</v>
      </c>
      <c r="Y58" s="51" t="s">
        <v>958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971</v>
      </c>
      <c r="Y59" s="51" t="s">
        <v>958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971</v>
      </c>
      <c r="Y60" s="51" t="s">
        <v>958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971</v>
      </c>
      <c r="Y61" s="51" t="s">
        <v>958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971</v>
      </c>
      <c r="Y62" s="51" t="s">
        <v>958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971</v>
      </c>
      <c r="Y63" s="51" t="s">
        <v>958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971</v>
      </c>
      <c r="Y64" s="51" t="s">
        <v>958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971</v>
      </c>
      <c r="Y65" s="51" t="s">
        <v>958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971</v>
      </c>
      <c r="Y66" s="51" t="s">
        <v>958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971</v>
      </c>
      <c r="Y67" s="51" t="s">
        <v>958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971</v>
      </c>
      <c r="Y68" s="51" t="s">
        <v>958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971</v>
      </c>
      <c r="Y69" s="51" t="s">
        <v>958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971</v>
      </c>
      <c r="Y70" s="51" t="s">
        <v>958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971</v>
      </c>
      <c r="Y71" s="51" t="s">
        <v>958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971</v>
      </c>
      <c r="Y72" s="51" t="s">
        <v>958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971</v>
      </c>
      <c r="Y73" s="51" t="s">
        <v>958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971</v>
      </c>
      <c r="Y74" s="51" t="s">
        <v>958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971</v>
      </c>
      <c r="Y75" s="51" t="s">
        <v>958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971</v>
      </c>
      <c r="Y76" s="51" t="s">
        <v>958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971</v>
      </c>
      <c r="Y77" s="51" t="s">
        <v>958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971</v>
      </c>
      <c r="Y78" s="51" t="s">
        <v>958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971</v>
      </c>
      <c r="Y79" s="51" t="s">
        <v>958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971</v>
      </c>
      <c r="Y80" s="51" t="s">
        <v>958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971</v>
      </c>
      <c r="Y81" s="51" t="s">
        <v>958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971</v>
      </c>
      <c r="Y82" s="51" t="s">
        <v>958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971</v>
      </c>
      <c r="Y83" s="51" t="s">
        <v>958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971</v>
      </c>
      <c r="Y84" s="51" t="s">
        <v>958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971</v>
      </c>
      <c r="Y85" s="51" t="s">
        <v>958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971</v>
      </c>
      <c r="Y86" s="51" t="s">
        <v>958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971</v>
      </c>
      <c r="Y87" s="51" t="s">
        <v>958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971</v>
      </c>
      <c r="Y88" s="51" t="s">
        <v>958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971</v>
      </c>
      <c r="Y89" s="51" t="s">
        <v>958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971</v>
      </c>
      <c r="Y90" s="51" t="s">
        <v>958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971</v>
      </c>
      <c r="Y91" s="51" t="s">
        <v>958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971</v>
      </c>
      <c r="Y92" s="51" t="s">
        <v>958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971</v>
      </c>
      <c r="Y93" s="51" t="s">
        <v>958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971</v>
      </c>
      <c r="Y94" s="51" t="s">
        <v>958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971</v>
      </c>
      <c r="Y95" s="51" t="s">
        <v>958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971</v>
      </c>
      <c r="Y96" s="51" t="s">
        <v>958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971</v>
      </c>
      <c r="Y97" s="51" t="s">
        <v>958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971</v>
      </c>
      <c r="Y98" s="51" t="s">
        <v>958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971</v>
      </c>
      <c r="Y99" s="51" t="s">
        <v>958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971</v>
      </c>
      <c r="Y100" s="51" t="s">
        <v>958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971</v>
      </c>
      <c r="Y101" s="51" t="s">
        <v>958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971</v>
      </c>
      <c r="Y102" s="51" t="s">
        <v>958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971</v>
      </c>
      <c r="Y103" s="51" t="s">
        <v>958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971</v>
      </c>
      <c r="Y104" s="51" t="s">
        <v>958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971</v>
      </c>
      <c r="Y105" s="51" t="s">
        <v>958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971</v>
      </c>
      <c r="Y106" s="51" t="s">
        <v>958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971</v>
      </c>
      <c r="Y107" s="51" t="s">
        <v>958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971</v>
      </c>
      <c r="Y108" s="51" t="s">
        <v>958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971</v>
      </c>
      <c r="Y109" s="51" t="s">
        <v>958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971</v>
      </c>
      <c r="Y110" s="51" t="s">
        <v>958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971</v>
      </c>
      <c r="Y111" s="51" t="s">
        <v>958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971</v>
      </c>
      <c r="Y112" s="51" t="s">
        <v>958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971</v>
      </c>
      <c r="Y113" s="51" t="s">
        <v>958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971</v>
      </c>
      <c r="Y114" s="51" t="s">
        <v>958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971</v>
      </c>
      <c r="Y115" s="51" t="s">
        <v>958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971</v>
      </c>
      <c r="Y116" s="51" t="s">
        <v>958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971</v>
      </c>
      <c r="Y117" s="51" t="s">
        <v>958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971</v>
      </c>
      <c r="Y118" s="51" t="s">
        <v>958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971</v>
      </c>
      <c r="Y119" s="51" t="s">
        <v>958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971</v>
      </c>
      <c r="Y120" s="51" t="s">
        <v>958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971</v>
      </c>
      <c r="Y121" s="51" t="s">
        <v>958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971</v>
      </c>
      <c r="Y122" s="51" t="s">
        <v>958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971</v>
      </c>
      <c r="Y123" s="51" t="s">
        <v>958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971</v>
      </c>
      <c r="Y124" s="51" t="s">
        <v>958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971</v>
      </c>
      <c r="Y125" s="51" t="s">
        <v>958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971</v>
      </c>
      <c r="Y126" s="51" t="s">
        <v>958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971</v>
      </c>
      <c r="Y127" s="51" t="s">
        <v>958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971</v>
      </c>
      <c r="Y128" s="51" t="s">
        <v>958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971</v>
      </c>
      <c r="Y129" s="51" t="s">
        <v>958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971</v>
      </c>
      <c r="Y130" s="51" t="s">
        <v>958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971</v>
      </c>
      <c r="Y131" s="51" t="s">
        <v>958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971</v>
      </c>
      <c r="Y132" s="51" t="s">
        <v>958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971</v>
      </c>
      <c r="Y133" s="51" t="s">
        <v>958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971</v>
      </c>
      <c r="Y134" s="51" t="s">
        <v>958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971</v>
      </c>
      <c r="Y135" s="51" t="s">
        <v>958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971</v>
      </c>
      <c r="Y136" s="51" t="s">
        <v>958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971</v>
      </c>
      <c r="Y137" s="51" t="s">
        <v>958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971</v>
      </c>
      <c r="Y138" s="51" t="s">
        <v>958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971</v>
      </c>
      <c r="Y139" s="51" t="s">
        <v>958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971</v>
      </c>
      <c r="Y140" s="51" t="s">
        <v>958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971</v>
      </c>
      <c r="Y141" s="51" t="s">
        <v>958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971</v>
      </c>
      <c r="Y142" s="51" t="s">
        <v>958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971</v>
      </c>
      <c r="Y143" s="51" t="s">
        <v>958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971</v>
      </c>
      <c r="Y144" s="51" t="s">
        <v>958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971</v>
      </c>
      <c r="Y145" s="51" t="s">
        <v>958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971</v>
      </c>
      <c r="Y146" s="51" t="s">
        <v>958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971</v>
      </c>
      <c r="Y147" s="51" t="s">
        <v>958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971</v>
      </c>
      <c r="Y148" s="51" t="s">
        <v>958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971</v>
      </c>
      <c r="Y149" s="51" t="s">
        <v>958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971</v>
      </c>
      <c r="Y150" s="51" t="s">
        <v>958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971</v>
      </c>
      <c r="Y151" s="51" t="s">
        <v>958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971</v>
      </c>
      <c r="Y152" s="51" t="s">
        <v>958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971</v>
      </c>
      <c r="Y153" s="51" t="s">
        <v>958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971</v>
      </c>
      <c r="Y154" s="51" t="s">
        <v>958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971</v>
      </c>
      <c r="Y155" s="51" t="s">
        <v>958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971</v>
      </c>
      <c r="Y156" s="51" t="s">
        <v>958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971</v>
      </c>
      <c r="Y157" s="51" t="s">
        <v>958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971</v>
      </c>
      <c r="Y158" s="51" t="s">
        <v>958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971</v>
      </c>
      <c r="Y159" s="51" t="s">
        <v>958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971</v>
      </c>
      <c r="Y160" s="51" t="s">
        <v>958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971</v>
      </c>
      <c r="Y161" s="51" t="s">
        <v>958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971</v>
      </c>
      <c r="Y162" s="51" t="s">
        <v>958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971</v>
      </c>
      <c r="Y163" s="51" t="s">
        <v>958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971</v>
      </c>
      <c r="Y164" s="51" t="s">
        <v>958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971</v>
      </c>
      <c r="Y165" s="51" t="s">
        <v>958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971</v>
      </c>
      <c r="Y166" s="51" t="s">
        <v>958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971</v>
      </c>
      <c r="Y167" s="51" t="s">
        <v>958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971</v>
      </c>
      <c r="Y168" s="51" t="s">
        <v>958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971</v>
      </c>
      <c r="Y169" s="51" t="s">
        <v>958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971</v>
      </c>
      <c r="Y170" s="51" t="s">
        <v>958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971</v>
      </c>
      <c r="Y171" s="51" t="s">
        <v>958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971</v>
      </c>
      <c r="Y172" s="51" t="s">
        <v>958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971</v>
      </c>
      <c r="Y173" s="51" t="s">
        <v>958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971</v>
      </c>
      <c r="Y174" s="51" t="s">
        <v>958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971</v>
      </c>
      <c r="Y175" s="51" t="s">
        <v>958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971</v>
      </c>
      <c r="Y176" s="51" t="s">
        <v>958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971</v>
      </c>
      <c r="Y177" s="51" t="s">
        <v>958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971</v>
      </c>
      <c r="Y178" s="51" t="s">
        <v>958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971</v>
      </c>
      <c r="Y179" s="51" t="s">
        <v>958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971</v>
      </c>
      <c r="Y180" s="51" t="s">
        <v>958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971</v>
      </c>
      <c r="Y181" s="51" t="s">
        <v>958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971</v>
      </c>
      <c r="Y182" s="51" t="s">
        <v>958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971</v>
      </c>
      <c r="Y183" s="51" t="s">
        <v>958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971</v>
      </c>
      <c r="Y184" s="51" t="s">
        <v>958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971</v>
      </c>
      <c r="Y185" s="51" t="s">
        <v>958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971</v>
      </c>
      <c r="Y186" s="51" t="s">
        <v>958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971</v>
      </c>
      <c r="Y187" s="51" t="s">
        <v>958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971</v>
      </c>
      <c r="Y188" s="51" t="s">
        <v>958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971</v>
      </c>
      <c r="Y189" s="51" t="s">
        <v>958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971</v>
      </c>
      <c r="Y190" s="51" t="s">
        <v>958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971</v>
      </c>
      <c r="Y191" s="51" t="s">
        <v>958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971</v>
      </c>
      <c r="Y192" s="51" t="s">
        <v>958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971</v>
      </c>
      <c r="Y193" s="51" t="s">
        <v>958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971</v>
      </c>
      <c r="Y194" s="51" t="s">
        <v>958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971</v>
      </c>
      <c r="Y195" s="51" t="s">
        <v>958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971</v>
      </c>
      <c r="Y196" s="51" t="s">
        <v>958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971</v>
      </c>
      <c r="Y197" s="51" t="s">
        <v>958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971</v>
      </c>
      <c r="Y198" s="51" t="s">
        <v>958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971</v>
      </c>
      <c r="Y199" s="51" t="s">
        <v>958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971</v>
      </c>
      <c r="Y200" s="51" t="s">
        <v>958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971</v>
      </c>
      <c r="Y201" s="51" t="s">
        <v>958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971</v>
      </c>
      <c r="Y202" s="51" t="s">
        <v>958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971</v>
      </c>
      <c r="Y203" s="51" t="s">
        <v>958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971</v>
      </c>
      <c r="Y204" s="51" t="s">
        <v>958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971</v>
      </c>
      <c r="Y205" s="51" t="s">
        <v>958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971</v>
      </c>
      <c r="Y206" s="51" t="s">
        <v>958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971</v>
      </c>
      <c r="Y207" s="51" t="s">
        <v>958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971</v>
      </c>
      <c r="Y208" s="51" t="s">
        <v>958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971</v>
      </c>
      <c r="Y209" s="51" t="s">
        <v>958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971</v>
      </c>
      <c r="Y210" s="51" t="s">
        <v>958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971</v>
      </c>
      <c r="Y211" s="51" t="s">
        <v>958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971</v>
      </c>
      <c r="Y212" s="51" t="s">
        <v>958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971</v>
      </c>
      <c r="Y213" s="51" t="s">
        <v>958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971</v>
      </c>
      <c r="Y214" s="51" t="s">
        <v>958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971</v>
      </c>
      <c r="Y215" s="51" t="s">
        <v>958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971</v>
      </c>
      <c r="Y216" s="51" t="s">
        <v>958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971</v>
      </c>
      <c r="Y217" s="51" t="s">
        <v>958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971</v>
      </c>
      <c r="Y218" s="51" t="s">
        <v>958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971</v>
      </c>
      <c r="Y219" s="51" t="s">
        <v>958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971</v>
      </c>
      <c r="Y220" s="51" t="s">
        <v>958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971</v>
      </c>
      <c r="Y221" s="51" t="s">
        <v>958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971</v>
      </c>
      <c r="Y222" s="51" t="s">
        <v>958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971</v>
      </c>
      <c r="Y223" s="51" t="s">
        <v>958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971</v>
      </c>
      <c r="Y224" s="51" t="s">
        <v>958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971</v>
      </c>
      <c r="Y225" s="51" t="s">
        <v>958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971</v>
      </c>
      <c r="Y226" s="51" t="s">
        <v>958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971</v>
      </c>
      <c r="Y227" s="51" t="s">
        <v>958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971</v>
      </c>
      <c r="Y228" s="51" t="s">
        <v>958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971</v>
      </c>
      <c r="Y229" s="51" t="s">
        <v>958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971</v>
      </c>
      <c r="Y230" s="51" t="s">
        <v>958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971</v>
      </c>
      <c r="Y231" s="51" t="s">
        <v>958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971</v>
      </c>
      <c r="Y232" s="51" t="s">
        <v>958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971</v>
      </c>
      <c r="Y233" s="51" t="s">
        <v>958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971</v>
      </c>
      <c r="Y234" s="51" t="s">
        <v>958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971</v>
      </c>
      <c r="Y235" s="51" t="s">
        <v>958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971</v>
      </c>
      <c r="Y236" s="51" t="s">
        <v>958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971</v>
      </c>
      <c r="Y237" s="51" t="s">
        <v>958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971</v>
      </c>
      <c r="Y238" s="51" t="s">
        <v>958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971</v>
      </c>
      <c r="Y239" s="51" t="s">
        <v>958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971</v>
      </c>
      <c r="Y240" s="51" t="s">
        <v>958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971</v>
      </c>
      <c r="Y241" s="51" t="s">
        <v>958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971</v>
      </c>
      <c r="Y242" s="51" t="s">
        <v>958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971</v>
      </c>
      <c r="Y243" s="51" t="s">
        <v>958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971</v>
      </c>
      <c r="Y244" s="51" t="s">
        <v>958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971</v>
      </c>
      <c r="Y245" s="51" t="s">
        <v>958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971</v>
      </c>
      <c r="Y246" s="51" t="s">
        <v>958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971</v>
      </c>
      <c r="Y247" s="51" t="s">
        <v>958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971</v>
      </c>
      <c r="Y248" s="51" t="s">
        <v>958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971</v>
      </c>
      <c r="Y249" s="51" t="s">
        <v>958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971</v>
      </c>
      <c r="Y250" s="51" t="s">
        <v>958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971</v>
      </c>
      <c r="Y251" s="51" t="s">
        <v>958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971</v>
      </c>
      <c r="Y252" s="51" t="s">
        <v>958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971</v>
      </c>
      <c r="Y253" s="51" t="s">
        <v>958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971</v>
      </c>
      <c r="Y254" s="51" t="s">
        <v>958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971</v>
      </c>
      <c r="Y255" s="51" t="s">
        <v>958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971</v>
      </c>
      <c r="Y256" s="51" t="s">
        <v>958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971</v>
      </c>
      <c r="Y257" s="51" t="s">
        <v>958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971</v>
      </c>
      <c r="Y258" s="51" t="s">
        <v>958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971</v>
      </c>
      <c r="Y259" s="51" t="s">
        <v>958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971</v>
      </c>
      <c r="Y260" s="51" t="s">
        <v>958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971</v>
      </c>
      <c r="Y261" s="51" t="s">
        <v>958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971</v>
      </c>
      <c r="Y262" s="51" t="s">
        <v>958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971</v>
      </c>
      <c r="Y263" s="51" t="s">
        <v>958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971</v>
      </c>
      <c r="Y264" s="51" t="s">
        <v>958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971</v>
      </c>
      <c r="Y265" s="51" t="s">
        <v>958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971</v>
      </c>
      <c r="Y266" s="51" t="s">
        <v>958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971</v>
      </c>
      <c r="Y267" s="51" t="s">
        <v>958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971</v>
      </c>
      <c r="Y268" s="51" t="s">
        <v>958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971</v>
      </c>
      <c r="Y269" s="51" t="s">
        <v>958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971</v>
      </c>
      <c r="Y270" s="51" t="s">
        <v>958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971</v>
      </c>
      <c r="Y271" s="51" t="s">
        <v>958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971</v>
      </c>
      <c r="Y272" s="51" t="s">
        <v>958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971</v>
      </c>
      <c r="Y273" s="51" t="s">
        <v>958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971</v>
      </c>
      <c r="Y274" s="51" t="s">
        <v>958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971</v>
      </c>
      <c r="Y275" s="51" t="s">
        <v>958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971</v>
      </c>
      <c r="Y276" s="51" t="s">
        <v>958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971</v>
      </c>
      <c r="Y277" s="51" t="s">
        <v>958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971</v>
      </c>
      <c r="Y278" s="51" t="s">
        <v>958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971</v>
      </c>
      <c r="Y279" s="51" t="s">
        <v>958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971</v>
      </c>
      <c r="Y280" s="51" t="s">
        <v>958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971</v>
      </c>
      <c r="Y281" s="51" t="s">
        <v>958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971</v>
      </c>
      <c r="Y282" s="51" t="s">
        <v>958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971</v>
      </c>
      <c r="Y283" s="51" t="s">
        <v>958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971</v>
      </c>
      <c r="Y284" s="51" t="s">
        <v>958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971</v>
      </c>
      <c r="Y285" s="51" t="s">
        <v>958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971</v>
      </c>
      <c r="Y286" s="51" t="s">
        <v>958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971</v>
      </c>
      <c r="Y287" s="51" t="s">
        <v>958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971</v>
      </c>
      <c r="Y288" s="51" t="s">
        <v>958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971</v>
      </c>
      <c r="Y289" s="51" t="s">
        <v>958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971</v>
      </c>
      <c r="Y290" s="51" t="s">
        <v>958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971</v>
      </c>
      <c r="Y291" s="51" t="s">
        <v>958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971</v>
      </c>
      <c r="Y292" s="51" t="s">
        <v>958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971</v>
      </c>
      <c r="Y293" s="51" t="s">
        <v>958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971</v>
      </c>
      <c r="Y294" s="51" t="s">
        <v>958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971</v>
      </c>
      <c r="Y295" s="51" t="s">
        <v>958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971</v>
      </c>
      <c r="Y296" s="51" t="s">
        <v>958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971</v>
      </c>
      <c r="Y297" s="51" t="s">
        <v>958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971</v>
      </c>
      <c r="Y298" s="51" t="s">
        <v>958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971</v>
      </c>
      <c r="Y299" s="51" t="s">
        <v>958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">
      <c r="A300" s="2">
        <v>300</v>
      </c>
      <c r="B300" s="3" t="s">
        <v>954</v>
      </c>
      <c r="C300" s="28" t="s">
        <v>979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967</v>
      </c>
      <c r="L300" s="32" t="s">
        <v>653</v>
      </c>
      <c r="M300" s="33" t="s">
        <v>960</v>
      </c>
      <c r="N300" s="35" t="s">
        <v>251</v>
      </c>
      <c r="O300" s="33" t="s">
        <v>963</v>
      </c>
      <c r="P300" s="69" t="str">
        <f t="shared" ref="P300:P304" si="0">IF(Q300="null", "null", "método.revit")</f>
        <v>método.revit</v>
      </c>
      <c r="Q300" s="70" t="s">
        <v>975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">
      <c r="A301" s="2">
        <v>301</v>
      </c>
      <c r="B301" s="3" t="s">
        <v>955</v>
      </c>
      <c r="C301" s="28" t="s">
        <v>979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967</v>
      </c>
      <c r="L301" s="32" t="s">
        <v>653</v>
      </c>
      <c r="M301" s="33" t="s">
        <v>959</v>
      </c>
      <c r="N301" s="35" t="s">
        <v>251</v>
      </c>
      <c r="O301" s="33" t="s">
        <v>964</v>
      </c>
      <c r="P301" s="69" t="str">
        <f t="shared" si="0"/>
        <v>método.revit</v>
      </c>
      <c r="Q301" s="70" t="s">
        <v>976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">
      <c r="A302" s="2">
        <v>302</v>
      </c>
      <c r="B302" s="3" t="s">
        <v>957</v>
      </c>
      <c r="C302" s="28" t="s">
        <v>979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967</v>
      </c>
      <c r="L302" s="32" t="s">
        <v>653</v>
      </c>
      <c r="M302" s="33" t="s">
        <v>961</v>
      </c>
      <c r="N302" s="35" t="s">
        <v>251</v>
      </c>
      <c r="O302" s="33" t="s">
        <v>965</v>
      </c>
      <c r="P302" s="69" t="str">
        <f t="shared" si="0"/>
        <v>método.revit</v>
      </c>
      <c r="Q302" s="70" t="s">
        <v>972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">
      <c r="A303" s="2">
        <v>303</v>
      </c>
      <c r="B303" s="3" t="s">
        <v>956</v>
      </c>
      <c r="C303" s="28" t="s">
        <v>979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967</v>
      </c>
      <c r="L303" s="32" t="s">
        <v>653</v>
      </c>
      <c r="M303" s="33" t="s">
        <v>962</v>
      </c>
      <c r="N303" s="35" t="s">
        <v>251</v>
      </c>
      <c r="O303" s="33" t="s">
        <v>966</v>
      </c>
      <c r="P303" s="69" t="str">
        <f t="shared" si="0"/>
        <v>método.revit</v>
      </c>
      <c r="Q303" s="70" t="s">
        <v>973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">
      <c r="A304" s="2">
        <v>304</v>
      </c>
      <c r="B304" s="3" t="s">
        <v>958</v>
      </c>
      <c r="C304" s="28" t="s">
        <v>979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967</v>
      </c>
      <c r="L304" s="32" t="s">
        <v>653</v>
      </c>
      <c r="M304" s="33" t="s">
        <v>850</v>
      </c>
      <c r="N304" s="35" t="s">
        <v>251</v>
      </c>
      <c r="O304" s="33" t="s">
        <v>953</v>
      </c>
      <c r="P304" s="69" t="str">
        <f t="shared" si="0"/>
        <v>método.revit</v>
      </c>
      <c r="Q304" s="70" t="s">
        <v>974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13" priority="30"/>
    <cfRule type="duplicateValues" dxfId="12" priority="31"/>
  </conditionalFormatting>
  <conditionalFormatting sqref="B300:B304">
    <cfRule type="duplicateValues" dxfId="11" priority="13"/>
    <cfRule type="duplicateValues" dxfId="10" priority="14"/>
  </conditionalFormatting>
  <conditionalFormatting sqref="I5">
    <cfRule type="cellIs" dxfId="9" priority="33" operator="equal">
      <formula>"null"</formula>
    </cfRule>
  </conditionalFormatting>
  <conditionalFormatting sqref="P2:W5">
    <cfRule type="cellIs" dxfId="8" priority="29" operator="equal">
      <formula>"null"</formula>
    </cfRule>
  </conditionalFormatting>
  <conditionalFormatting sqref="R300:W304">
    <cfRule type="cellIs" dxfId="7" priority="12" operator="equal">
      <formula>"null"</formula>
    </cfRule>
  </conditionalFormatting>
  <conditionalFormatting sqref="X1:Y1048576">
    <cfRule type="cellIs" dxfId="6" priority="2" operator="equal">
      <formula>"null"</formula>
    </cfRule>
  </conditionalFormatting>
  <conditionalFormatting sqref="Z1">
    <cfRule type="cellIs" dxfId="5" priority="10" operator="equal">
      <formula>"null"</formula>
    </cfRule>
  </conditionalFormatting>
  <conditionalFormatting sqref="Z1:AG1">
    <cfRule type="cellIs" dxfId="4" priority="11" operator="equal">
      <formula>"null"</formula>
    </cfRule>
  </conditionalFormatting>
  <conditionalFormatting sqref="Z2:AG304">
    <cfRule type="cellIs" dxfId="3" priority="3" operator="equal">
      <formula>"null"</formula>
    </cfRule>
  </conditionalFormatting>
  <conditionalFormatting sqref="AB1">
    <cfRule type="cellIs" dxfId="2" priority="9" operator="equal">
      <formula>"null"</formula>
    </cfRule>
  </conditionalFormatting>
  <conditionalFormatting sqref="AD1">
    <cfRule type="cellIs" dxfId="1" priority="8" operator="equal">
      <formula>"null"</formula>
    </cfRule>
  </conditionalFormatting>
  <conditionalFormatting sqref="AF1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2026-09-03T19:31:23Z</dcterms:modified>
</cp:coreProperties>
</file>