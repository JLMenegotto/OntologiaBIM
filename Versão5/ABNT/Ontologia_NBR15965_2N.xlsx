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9C3EC98-90B8-4049-94DD-D79BDCCF9392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U23" i="4" l="1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B18" i="8"/>
  <c r="B6" i="8"/>
  <c r="B5" i="8"/>
  <c r="B20" i="8"/>
  <c r="AA16" i="4"/>
  <c r="Q20" i="4"/>
  <c r="Q16" i="4"/>
  <c r="Q21" i="4"/>
  <c r="Q22" i="4"/>
  <c r="AA20" i="4"/>
  <c r="AA18" i="4"/>
  <c r="AA15" i="4"/>
  <c r="AA19" i="4"/>
  <c r="AA22" i="4"/>
  <c r="Q15" i="4"/>
  <c r="Q23" i="4"/>
  <c r="Q19" i="4"/>
  <c r="Q18" i="4"/>
  <c r="AA21" i="4"/>
  <c r="AA17" i="4"/>
  <c r="Q17" i="4"/>
  <c r="AA23" i="4"/>
  <c r="B21" i="8" l="1"/>
</calcChain>
</file>

<file path=xl/sharedStrings.xml><?xml version="1.0" encoding="utf-8"?>
<sst xmlns="http://schemas.openxmlformats.org/spreadsheetml/2006/main" count="4329" uniqueCount="568">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</sst>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6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1" dataDxfId="59" headerRowBorderDxfId="60" tableBorderDxfId="58" totalsRowBorderDxfId="57">
  <tableColumns count="25">
    <tableColumn id="1" xr3:uid="{D841A366-4823-4EF9-B009-219AA94AF50A}" name="1" headerRowDxfId="56" dataDxfId="55"/>
    <tableColumn id="2" xr3:uid="{41E717E1-E3DE-44C1-91C4-719DAB59A464}" name="Indivíduo" headerRowDxfId="54" dataDxfId="53"/>
    <tableColumn id="3" xr3:uid="{38346B1D-47C6-4B44-A19C-766D16435669}" name="Classe" headerRowDxfId="52" dataDxfId="51"/>
    <tableColumn id="5" xr3:uid="{27FF4C79-5131-4593-84DE-98F435DB6954}" name="Coluna2" headerRowDxfId="50" dataDxfId="49"/>
    <tableColumn id="4" xr3:uid="{B4C1140F-50EB-4951-8734-6338EB3CF628}" name="Coluna1" headerRowDxfId="48" dataDxfId="47"/>
    <tableColumn id="11" xr3:uid="{1EE4C35C-9E89-4C7C-8F68-2AC866434D95}" name="Coluna8" headerRowDxfId="46" dataDxfId="45"/>
    <tableColumn id="10" xr3:uid="{0C28831F-E05A-4812-BB49-6E3DB059FDDA}" name="Coluna7" headerRowDxfId="44" dataDxfId="43"/>
    <tableColumn id="9" xr3:uid="{C46F6396-5D54-4379-8FE7-47754ED408FB}" name="Coluna6" headerRowDxfId="42" dataDxfId="41"/>
    <tableColumn id="14" xr3:uid="{7255F88A-C196-4C7D-BC78-487E43C6076E}" name="Coluna9" headerRowDxfId="40" dataDxfId="39"/>
    <tableColumn id="15" xr3:uid="{CB39996D-E39C-41DF-9024-09188503F3A9}" name="Coluna10" headerRowDxfId="38" dataDxfId="37"/>
    <tableColumn id="8" xr3:uid="{DC6BCDF7-14DD-4B0D-951F-937897AADF11}" name="Coluna5" headerRowDxfId="36" dataDxfId="35"/>
    <tableColumn id="25" xr3:uid="{6E36A2EC-C3DA-4DF1-80AB-262ECBFDA8D3}" name="Coluna20" headerRowDxfId="34" dataDxfId="33"/>
    <tableColumn id="24" xr3:uid="{7DA1B28C-8D87-49B1-8B12-94BDA4E3634B}" name="Coluna19" headerRowDxfId="32" dataDxfId="31"/>
    <tableColumn id="12" xr3:uid="{72731FBF-D3F4-42FD-AF7E-09CD79716DE3}" name="Fato (11)" headerRowDxfId="30" dataDxfId="29"/>
    <tableColumn id="13" xr3:uid="{40ED8FBD-39D6-4C0F-867B-9AA8C9C09316}" name="Valor8" headerRowDxfId="28" dataDxfId="27"/>
    <tableColumn id="6" xr3:uid="{D7E37E62-C3F1-48D0-9ECE-1603C43E1947}" name="Coluna3" headerRowDxfId="26" dataDxfId="25"/>
    <tableColumn id="7" xr3:uid="{8EAEA0F2-9F55-4FEE-86F2-D1912AEFC7F4}" name="Coluna4" headerRowDxfId="24" dataDxfId="23"/>
    <tableColumn id="16" xr3:uid="{CB767617-3A28-42EC-8E47-CE6204F6D856}" name="Coluna11" headerRowDxfId="22" dataDxfId="21"/>
    <tableColumn id="17" xr3:uid="{E29ADF84-36FF-41F7-9847-17BC340BAE5F}" name="Coluna12" headerRowDxfId="20" dataDxfId="19"/>
    <tableColumn id="18" xr3:uid="{B5ADD4A7-EE28-45D9-B6FF-C285C2CD6E37}" name="Coluna13" headerRowDxfId="18" dataDxfId="17"/>
    <tableColumn id="19" xr3:uid="{7FEDF53D-D312-4CF1-8EB3-4A56B77DEAA1}" name="Coluna14" headerRowDxfId="16" dataDxfId="15"/>
    <tableColumn id="20" xr3:uid="{44C51568-5619-4D1B-B5B4-F2CF79CAB094}" name="Coluna15" headerRowDxfId="14" dataDxfId="13"/>
    <tableColumn id="21" xr3:uid="{2A7C2A78-BAF9-429F-B898-EF931D80D830}" name="Coluna16" headerRowDxfId="12" dataDxfId="11"/>
    <tableColumn id="22" xr3:uid="{3BB87186-A8C3-4EE2-9555-ACB7C40B9882}" name="Coluna17" headerRowDxfId="10" dataDxfId="9"/>
    <tableColumn id="23" xr3:uid="{C574DFC8-E441-4BB1-A97D-83D5A9C08508}" name="Coluna18" headerRowDxfId="8" dataDxfId="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3"/>
  <cols>
    <col min="1" max="1" width="9.69921875" style="43" bestFit="1" customWidth="1"/>
    <col min="2" max="2" width="65.69921875" style="43" bestFit="1" customWidth="1"/>
    <col min="3" max="3" width="4.5" style="43" bestFit="1" customWidth="1"/>
    <col min="4" max="16384" width="11" style="43"/>
  </cols>
  <sheetData>
    <row r="1" spans="1:3" ht="19" customHeight="1" x14ac:dyDescent="0.3">
      <c r="A1" s="1" t="s">
        <v>4</v>
      </c>
      <c r="B1" s="1" t="s">
        <v>3</v>
      </c>
      <c r="C1" s="41" t="s">
        <v>403</v>
      </c>
    </row>
    <row r="2" spans="1:3" ht="7.4" customHeight="1" x14ac:dyDescent="0.3">
      <c r="A2" s="3" t="s">
        <v>168</v>
      </c>
      <c r="B2" s="3" t="s">
        <v>396</v>
      </c>
      <c r="C2" s="42" t="s">
        <v>404</v>
      </c>
    </row>
    <row r="3" spans="1:3" ht="7.4" customHeight="1" x14ac:dyDescent="0.3">
      <c r="A3" s="3" t="s">
        <v>169</v>
      </c>
      <c r="B3" s="3" t="s">
        <v>166</v>
      </c>
      <c r="C3" s="42" t="s">
        <v>404</v>
      </c>
    </row>
    <row r="4" spans="1:3" ht="7.4" customHeight="1" x14ac:dyDescent="0.3">
      <c r="A4" s="4" t="s">
        <v>5</v>
      </c>
      <c r="B4" s="4" t="s">
        <v>348</v>
      </c>
      <c r="C4" s="42" t="s">
        <v>404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2" t="s">
        <v>404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2" t="s">
        <v>404</v>
      </c>
    </row>
    <row r="7" spans="1:3" ht="7.4" customHeight="1" x14ac:dyDescent="0.3">
      <c r="A7" s="4" t="s">
        <v>8</v>
      </c>
      <c r="B7" s="4" t="s">
        <v>183</v>
      </c>
      <c r="C7" s="42" t="s">
        <v>404</v>
      </c>
    </row>
    <row r="8" spans="1:3" ht="7.4" customHeight="1" x14ac:dyDescent="0.3">
      <c r="A8" s="39" t="s">
        <v>9</v>
      </c>
      <c r="B8" s="39" t="s">
        <v>402</v>
      </c>
      <c r="C8" s="42" t="s">
        <v>404</v>
      </c>
    </row>
    <row r="9" spans="1:3" ht="7.4" customHeight="1" x14ac:dyDescent="0.3">
      <c r="A9" s="4" t="s">
        <v>170</v>
      </c>
      <c r="B9" s="4" t="s">
        <v>171</v>
      </c>
      <c r="C9" s="42" t="s">
        <v>404</v>
      </c>
    </row>
    <row r="10" spans="1:3" ht="7.4" customHeight="1" x14ac:dyDescent="0.3">
      <c r="A10" s="4" t="s">
        <v>172</v>
      </c>
      <c r="B10" s="4" t="s">
        <v>15</v>
      </c>
      <c r="C10" s="42" t="s">
        <v>404</v>
      </c>
    </row>
    <row r="11" spans="1:3" ht="7.4" customHeight="1" x14ac:dyDescent="0.3">
      <c r="A11" s="4" t="s">
        <v>173</v>
      </c>
      <c r="B11" s="4" t="s">
        <v>182</v>
      </c>
      <c r="C11" s="42" t="s">
        <v>404</v>
      </c>
    </row>
    <row r="12" spans="1:3" ht="7.4" customHeight="1" x14ac:dyDescent="0.3">
      <c r="A12" s="4" t="s">
        <v>10</v>
      </c>
      <c r="B12" s="4" t="s">
        <v>16</v>
      </c>
      <c r="C12" s="42" t="s">
        <v>404</v>
      </c>
    </row>
    <row r="13" spans="1:3" ht="7.4" customHeight="1" x14ac:dyDescent="0.3">
      <c r="A13" s="4" t="s">
        <v>174</v>
      </c>
      <c r="B13" s="4" t="s">
        <v>18</v>
      </c>
      <c r="C13" s="42" t="s">
        <v>404</v>
      </c>
    </row>
    <row r="14" spans="1:3" ht="7.4" customHeight="1" x14ac:dyDescent="0.3">
      <c r="A14" s="4" t="s">
        <v>175</v>
      </c>
      <c r="B14" s="4" t="s">
        <v>11</v>
      </c>
      <c r="C14" s="42" t="s">
        <v>404</v>
      </c>
    </row>
    <row r="15" spans="1:3" ht="7.4" customHeight="1" x14ac:dyDescent="0.3">
      <c r="A15" s="4" t="s">
        <v>176</v>
      </c>
      <c r="B15" s="4" t="s">
        <v>11</v>
      </c>
      <c r="C15" s="42" t="s">
        <v>404</v>
      </c>
    </row>
    <row r="16" spans="1:3" ht="7.4" customHeight="1" x14ac:dyDescent="0.3">
      <c r="A16" s="4" t="s">
        <v>177</v>
      </c>
      <c r="B16" s="4" t="s">
        <v>11</v>
      </c>
      <c r="C16" s="42" t="s">
        <v>404</v>
      </c>
    </row>
    <row r="17" spans="1:3" ht="7.4" customHeight="1" x14ac:dyDescent="0.3">
      <c r="A17" s="4" t="s">
        <v>12</v>
      </c>
      <c r="B17" s="4" t="s">
        <v>13</v>
      </c>
      <c r="C17" s="42" t="s">
        <v>404</v>
      </c>
    </row>
    <row r="18" spans="1:3" ht="7.4" customHeight="1" x14ac:dyDescent="0.3">
      <c r="A18" s="4" t="s">
        <v>178</v>
      </c>
      <c r="B18" s="5">
        <f ca="1">NOW()</f>
        <v>46249.323550694447</v>
      </c>
      <c r="C18" s="42" t="s">
        <v>404</v>
      </c>
    </row>
    <row r="19" spans="1:3" ht="7.4" customHeight="1" x14ac:dyDescent="0.3">
      <c r="A19" s="4" t="s">
        <v>415</v>
      </c>
      <c r="B19" s="5" t="s">
        <v>410</v>
      </c>
      <c r="C19" s="42" t="s">
        <v>404</v>
      </c>
    </row>
    <row r="20" spans="1:3" ht="7.4" customHeight="1" x14ac:dyDescent="0.3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4" customHeight="1" x14ac:dyDescent="0.3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4" customHeight="1" x14ac:dyDescent="0.3">
      <c r="A22" s="4" t="s">
        <v>167</v>
      </c>
      <c r="B22" s="4" t="s">
        <v>11</v>
      </c>
      <c r="C22" s="42" t="s">
        <v>404</v>
      </c>
    </row>
    <row r="23" spans="1:3" ht="7.4" customHeight="1" x14ac:dyDescent="0.3">
      <c r="A23" s="4" t="s">
        <v>179</v>
      </c>
      <c r="B23" s="4" t="s">
        <v>11</v>
      </c>
      <c r="C23" s="42" t="s">
        <v>404</v>
      </c>
    </row>
    <row r="24" spans="1:3" ht="7.4" customHeight="1" x14ac:dyDescent="0.3">
      <c r="A24" s="4" t="s">
        <v>184</v>
      </c>
      <c r="B24" s="4" t="s">
        <v>185</v>
      </c>
      <c r="C24" s="42" t="s">
        <v>404</v>
      </c>
    </row>
    <row r="25" spans="1:3" ht="7.4" customHeight="1" x14ac:dyDescent="0.3">
      <c r="A25" s="4" t="s">
        <v>186</v>
      </c>
      <c r="B25" s="4" t="s">
        <v>187</v>
      </c>
      <c r="C25" s="42" t="s">
        <v>405</v>
      </c>
    </row>
    <row r="26" spans="1:3" ht="7.4" customHeight="1" x14ac:dyDescent="0.3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3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3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3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2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2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2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2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2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2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2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2">
      <c r="A37" s="39" t="s">
        <v>547</v>
      </c>
      <c r="B37" s="62" t="s">
        <v>548</v>
      </c>
      <c r="C37" s="42" t="s">
        <v>404</v>
      </c>
    </row>
    <row r="38" spans="1:3" customFormat="1" ht="10" customHeight="1" x14ac:dyDescent="0.3">
      <c r="A38" s="4" t="s">
        <v>549</v>
      </c>
      <c r="B38" s="65" t="s">
        <v>550</v>
      </c>
      <c r="C38" s="42" t="s">
        <v>404</v>
      </c>
    </row>
    <row r="39" spans="1:3" s="67" customFormat="1" ht="9.65" customHeight="1" x14ac:dyDescent="0.2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3"/>
  <sheetViews>
    <sheetView tabSelected="1" zoomScale="190" zoomScaleNormal="190" workbookViewId="0">
      <pane ySplit="1" topLeftCell="A2" activePane="bottomLeft" state="frozen"/>
      <selection pane="bottomLeft"/>
    </sheetView>
  </sheetViews>
  <sheetFormatPr defaultRowHeight="6.75" customHeight="1" x14ac:dyDescent="0.3"/>
  <cols>
    <col min="1" max="1" width="1.8984375" bestFit="1" customWidth="1"/>
    <col min="2" max="2" width="5.5" style="34" bestFit="1" customWidth="1"/>
    <col min="3" max="3" width="6.09765625" style="34" bestFit="1" customWidth="1"/>
    <col min="4" max="4" width="7.8984375" style="34" bestFit="1" customWidth="1"/>
    <col min="5" max="5" width="5.796875" style="34" bestFit="1" customWidth="1"/>
    <col min="6" max="6" width="11.5" style="34" bestFit="1" customWidth="1"/>
    <col min="7" max="11" width="8.3984375" style="34" bestFit="1" customWidth="1"/>
    <col min="12" max="12" width="6.5" bestFit="1" customWidth="1"/>
    <col min="13" max="13" width="7.8984375" bestFit="1" customWidth="1"/>
    <col min="14" max="14" width="6.5" bestFit="1" customWidth="1"/>
    <col min="15" max="15" width="11.5" bestFit="1" customWidth="1"/>
    <col min="16" max="16" width="62.296875" bestFit="1" customWidth="1"/>
    <col min="17" max="17" width="64.69921875" bestFit="1" customWidth="1"/>
    <col min="18" max="18" width="4.796875" style="34" bestFit="1" customWidth="1"/>
    <col min="19" max="19" width="6.09765625" bestFit="1" customWidth="1"/>
    <col min="20" max="20" width="7.8984375" bestFit="1" customWidth="1"/>
    <col min="21" max="21" width="5.796875" bestFit="1" customWidth="1"/>
    <col min="22" max="22" width="7.796875" bestFit="1" customWidth="1"/>
    <col min="23" max="23" width="7.5" style="34" bestFit="1" customWidth="1"/>
    <col min="24" max="24" width="45.69921875" bestFit="1" customWidth="1"/>
    <col min="25" max="25" width="36.09765625" bestFit="1" customWidth="1"/>
    <col min="26" max="26" width="6.69921875" bestFit="1" customWidth="1"/>
    <col min="27" max="27" width="57" bestFit="1" customWidth="1"/>
  </cols>
  <sheetData>
    <row r="1" spans="1:27" ht="37.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4" t="s">
        <v>393</v>
      </c>
      <c r="S1" s="24" t="s">
        <v>351</v>
      </c>
      <c r="T1" s="24" t="s">
        <v>370</v>
      </c>
      <c r="U1" s="24" t="s">
        <v>353</v>
      </c>
      <c r="V1" s="24" t="s">
        <v>352</v>
      </c>
      <c r="W1" s="59" t="s">
        <v>371</v>
      </c>
      <c r="X1" s="24" t="s">
        <v>397</v>
      </c>
      <c r="Y1" s="24" t="s">
        <v>398</v>
      </c>
      <c r="Z1" s="24" t="s">
        <v>372</v>
      </c>
      <c r="AA1" s="37" t="s">
        <v>399</v>
      </c>
    </row>
    <row r="2" spans="1:27" ht="7.5" customHeight="1" x14ac:dyDescent="0.3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38" t="s">
        <v>181</v>
      </c>
      <c r="S2" s="52" t="str">
        <f t="shared" ref="S2:U14" si="2">SUBSTITUTE(C2, "_", " ")</f>
        <v>Normativos</v>
      </c>
      <c r="T2" s="52" t="str">
        <f t="shared" si="2"/>
        <v>ABNT</v>
      </c>
      <c r="U2" s="51" t="str">
        <f t="shared" si="2"/>
        <v>NBR.Parte</v>
      </c>
      <c r="V2" s="38" t="s">
        <v>419</v>
      </c>
      <c r="W2" s="58" t="str">
        <f t="shared" ref="W2:W14" si="3">CONCATENATE("Key-ABNT-",A2)</f>
        <v>Key-ABNT-2</v>
      </c>
      <c r="X2" s="38" t="s">
        <v>563</v>
      </c>
      <c r="Y2" s="38" t="s">
        <v>564</v>
      </c>
      <c r="Z2" s="38" t="s">
        <v>420</v>
      </c>
      <c r="AA2" s="53" t="s">
        <v>490</v>
      </c>
    </row>
    <row r="3" spans="1:27" ht="7.5" customHeight="1" x14ac:dyDescent="0.3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38" t="s">
        <v>181</v>
      </c>
      <c r="S3" s="52" t="str">
        <f t="shared" si="2"/>
        <v>Normativos</v>
      </c>
      <c r="T3" s="52" t="str">
        <f t="shared" si="2"/>
        <v>ABNT</v>
      </c>
      <c r="U3" s="51" t="str">
        <f t="shared" si="2"/>
        <v>NBR.Parte</v>
      </c>
      <c r="V3" s="38" t="s">
        <v>419</v>
      </c>
      <c r="W3" s="58" t="str">
        <f t="shared" si="3"/>
        <v>Key-ABNT-3</v>
      </c>
      <c r="X3" s="38" t="s">
        <v>565</v>
      </c>
      <c r="Y3" s="38" t="s">
        <v>566</v>
      </c>
      <c r="Z3" s="38" t="s">
        <v>421</v>
      </c>
      <c r="AA3" s="53" t="s">
        <v>493</v>
      </c>
    </row>
    <row r="4" spans="1:27" ht="7.5" customHeight="1" x14ac:dyDescent="0.3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38" t="s">
        <v>181</v>
      </c>
      <c r="S4" s="52" t="str">
        <f t="shared" si="2"/>
        <v>Normativos</v>
      </c>
      <c r="T4" s="52" t="str">
        <f t="shared" si="2"/>
        <v>ABNT</v>
      </c>
      <c r="U4" s="51" t="str">
        <f t="shared" si="2"/>
        <v>NBR.Parte</v>
      </c>
      <c r="V4" s="38" t="s">
        <v>419</v>
      </c>
      <c r="W4" s="58" t="str">
        <f t="shared" si="3"/>
        <v>Key-ABNT-4</v>
      </c>
      <c r="X4" s="38" t="s">
        <v>556</v>
      </c>
      <c r="Y4" s="38" t="s">
        <v>557</v>
      </c>
      <c r="Z4" s="38" t="s">
        <v>422</v>
      </c>
      <c r="AA4" s="53" t="s">
        <v>496</v>
      </c>
    </row>
    <row r="5" spans="1:27" ht="7.5" customHeight="1" x14ac:dyDescent="0.3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38" t="s">
        <v>181</v>
      </c>
      <c r="S5" s="52" t="str">
        <f t="shared" si="2"/>
        <v>Normativos</v>
      </c>
      <c r="T5" s="52" t="str">
        <f t="shared" si="2"/>
        <v>ABNT</v>
      </c>
      <c r="U5" s="51" t="str">
        <f t="shared" si="2"/>
        <v>NBR.Parte</v>
      </c>
      <c r="V5" s="38" t="s">
        <v>419</v>
      </c>
      <c r="W5" s="58" t="str">
        <f t="shared" si="3"/>
        <v>Key-ABNT-5</v>
      </c>
      <c r="X5" s="38" t="s">
        <v>558</v>
      </c>
      <c r="Y5" s="38" t="s">
        <v>559</v>
      </c>
      <c r="Z5" s="38" t="s">
        <v>423</v>
      </c>
      <c r="AA5" s="53" t="s">
        <v>499</v>
      </c>
    </row>
    <row r="6" spans="1:27" ht="7.5" customHeight="1" x14ac:dyDescent="0.3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38" t="s">
        <v>181</v>
      </c>
      <c r="S6" s="52" t="str">
        <f t="shared" si="2"/>
        <v>Normativos</v>
      </c>
      <c r="T6" s="52" t="str">
        <f t="shared" si="2"/>
        <v>ABNT</v>
      </c>
      <c r="U6" s="51" t="str">
        <f t="shared" si="2"/>
        <v>NBR.Parte</v>
      </c>
      <c r="V6" s="38" t="s">
        <v>419</v>
      </c>
      <c r="W6" s="58" t="str">
        <f t="shared" si="3"/>
        <v>Key-ABNT-6</v>
      </c>
      <c r="X6" s="38" t="s">
        <v>556</v>
      </c>
      <c r="Y6" s="38" t="s">
        <v>557</v>
      </c>
      <c r="Z6" s="38" t="s">
        <v>424</v>
      </c>
      <c r="AA6" s="53" t="s">
        <v>502</v>
      </c>
    </row>
    <row r="7" spans="1:27" ht="7.5" customHeight="1" x14ac:dyDescent="0.3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38" t="s">
        <v>181</v>
      </c>
      <c r="S7" s="52" t="str">
        <f t="shared" si="2"/>
        <v>Normativos</v>
      </c>
      <c r="T7" s="52" t="str">
        <f t="shared" si="2"/>
        <v>ABNT</v>
      </c>
      <c r="U7" s="51" t="str">
        <f t="shared" si="2"/>
        <v>NBR.Parte</v>
      </c>
      <c r="V7" s="38" t="s">
        <v>419</v>
      </c>
      <c r="W7" s="58" t="str">
        <f t="shared" si="3"/>
        <v>Key-ABNT-7</v>
      </c>
      <c r="X7" s="38" t="s">
        <v>556</v>
      </c>
      <c r="Y7" s="38" t="s">
        <v>556</v>
      </c>
      <c r="Z7" s="38" t="s">
        <v>425</v>
      </c>
      <c r="AA7" s="53" t="s">
        <v>505</v>
      </c>
    </row>
    <row r="8" spans="1:27" ht="7.5" customHeight="1" x14ac:dyDescent="0.3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38" t="s">
        <v>181</v>
      </c>
      <c r="S8" s="52" t="str">
        <f t="shared" si="2"/>
        <v>Normativos</v>
      </c>
      <c r="T8" s="52" t="str">
        <f t="shared" si="2"/>
        <v>ABNT</v>
      </c>
      <c r="U8" s="51" t="str">
        <f t="shared" si="2"/>
        <v>NBR.Parte</v>
      </c>
      <c r="V8" s="38" t="s">
        <v>419</v>
      </c>
      <c r="W8" s="58" t="str">
        <f t="shared" si="3"/>
        <v>Key-ABNT-8</v>
      </c>
      <c r="X8" s="38" t="s">
        <v>556</v>
      </c>
      <c r="Y8" s="38" t="s">
        <v>556</v>
      </c>
      <c r="Z8" s="38" t="s">
        <v>342</v>
      </c>
      <c r="AA8" s="53" t="s">
        <v>508</v>
      </c>
    </row>
    <row r="9" spans="1:27" ht="7.5" customHeight="1" x14ac:dyDescent="0.3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38" t="s">
        <v>181</v>
      </c>
      <c r="S9" s="52" t="str">
        <f t="shared" si="2"/>
        <v>Normativos</v>
      </c>
      <c r="T9" s="52" t="str">
        <f t="shared" si="2"/>
        <v>ABNT</v>
      </c>
      <c r="U9" s="51" t="str">
        <f t="shared" si="2"/>
        <v>NBR.Parte</v>
      </c>
      <c r="V9" s="38" t="s">
        <v>419</v>
      </c>
      <c r="W9" s="58" t="str">
        <f t="shared" si="3"/>
        <v>Key-ABNT-9</v>
      </c>
      <c r="X9" s="38" t="s">
        <v>556</v>
      </c>
      <c r="Y9" s="38" t="s">
        <v>556</v>
      </c>
      <c r="Z9" s="38" t="s">
        <v>426</v>
      </c>
      <c r="AA9" s="53" t="s">
        <v>511</v>
      </c>
    </row>
    <row r="10" spans="1:27" ht="7.5" customHeight="1" x14ac:dyDescent="0.3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38" t="s">
        <v>181</v>
      </c>
      <c r="S10" s="52" t="str">
        <f t="shared" si="2"/>
        <v>Normativos</v>
      </c>
      <c r="T10" s="52" t="str">
        <f t="shared" si="2"/>
        <v>ABNT</v>
      </c>
      <c r="U10" s="51" t="str">
        <f t="shared" si="2"/>
        <v>NBR.Parte</v>
      </c>
      <c r="V10" s="38" t="s">
        <v>419</v>
      </c>
      <c r="W10" s="58" t="str">
        <f t="shared" si="3"/>
        <v>Key-ABNT-10</v>
      </c>
      <c r="X10" s="38" t="s">
        <v>556</v>
      </c>
      <c r="Y10" s="38" t="s">
        <v>556</v>
      </c>
      <c r="Z10" s="38" t="s">
        <v>427</v>
      </c>
      <c r="AA10" s="53" t="s">
        <v>514</v>
      </c>
    </row>
    <row r="11" spans="1:27" ht="7.5" customHeight="1" x14ac:dyDescent="0.3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38" t="s">
        <v>181</v>
      </c>
      <c r="S11" s="52" t="str">
        <f t="shared" si="2"/>
        <v>Normativos</v>
      </c>
      <c r="T11" s="52" t="str">
        <f t="shared" si="2"/>
        <v>ABNT</v>
      </c>
      <c r="U11" s="51" t="str">
        <f t="shared" si="2"/>
        <v>NBR.Parte</v>
      </c>
      <c r="V11" s="38" t="s">
        <v>419</v>
      </c>
      <c r="W11" s="58" t="str">
        <f t="shared" si="3"/>
        <v>Key-ABNT-11</v>
      </c>
      <c r="X11" s="38" t="s">
        <v>556</v>
      </c>
      <c r="Y11" s="38" t="s">
        <v>556</v>
      </c>
      <c r="Z11" s="38" t="s">
        <v>428</v>
      </c>
      <c r="AA11" s="53" t="s">
        <v>517</v>
      </c>
    </row>
    <row r="12" spans="1:27" ht="7.5" customHeight="1" x14ac:dyDescent="0.3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38" t="s">
        <v>181</v>
      </c>
      <c r="S12" s="52" t="str">
        <f t="shared" si="2"/>
        <v>Normativos</v>
      </c>
      <c r="T12" s="52" t="str">
        <f t="shared" si="2"/>
        <v>ABNT</v>
      </c>
      <c r="U12" s="51" t="str">
        <f t="shared" si="2"/>
        <v>NBR.Parte</v>
      </c>
      <c r="V12" s="38" t="s">
        <v>419</v>
      </c>
      <c r="W12" s="58" t="str">
        <f t="shared" si="3"/>
        <v>Key-ABNT-12</v>
      </c>
      <c r="X12" s="38" t="s">
        <v>560</v>
      </c>
      <c r="Y12" s="38" t="s">
        <v>567</v>
      </c>
      <c r="Z12" s="38" t="s">
        <v>429</v>
      </c>
      <c r="AA12" s="53" t="s">
        <v>520</v>
      </c>
    </row>
    <row r="13" spans="1:27" ht="7.5" customHeight="1" x14ac:dyDescent="0.3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38" t="s">
        <v>181</v>
      </c>
      <c r="S13" s="52" t="str">
        <f t="shared" si="2"/>
        <v>Normativos</v>
      </c>
      <c r="T13" s="52" t="str">
        <f t="shared" si="2"/>
        <v>ABNT</v>
      </c>
      <c r="U13" s="51" t="str">
        <f t="shared" si="2"/>
        <v>NBR.Parte</v>
      </c>
      <c r="V13" s="38" t="s">
        <v>419</v>
      </c>
      <c r="W13" s="58" t="str">
        <f t="shared" si="3"/>
        <v>Key-ABNT-13</v>
      </c>
      <c r="X13" s="38" t="s">
        <v>560</v>
      </c>
      <c r="Y13" s="38" t="s">
        <v>567</v>
      </c>
      <c r="Z13" s="38" t="s">
        <v>430</v>
      </c>
      <c r="AA13" s="53" t="s">
        <v>523</v>
      </c>
    </row>
    <row r="14" spans="1:27" ht="7.5" customHeight="1" x14ac:dyDescent="0.3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38" t="s">
        <v>181</v>
      </c>
      <c r="S14" s="52" t="str">
        <f t="shared" si="2"/>
        <v>Normativos</v>
      </c>
      <c r="T14" s="52" t="str">
        <f t="shared" si="2"/>
        <v>ABNT</v>
      </c>
      <c r="U14" s="51" t="str">
        <f t="shared" si="2"/>
        <v>NBR.Parte</v>
      </c>
      <c r="V14" s="38" t="s">
        <v>419</v>
      </c>
      <c r="W14" s="58" t="str">
        <f t="shared" si="3"/>
        <v>Key-ABNT-14</v>
      </c>
      <c r="X14" s="68" t="s">
        <v>561</v>
      </c>
      <c r="Y14" s="69" t="s">
        <v>562</v>
      </c>
      <c r="Z14" s="38" t="s">
        <v>431</v>
      </c>
      <c r="AA14" s="53" t="s">
        <v>526</v>
      </c>
    </row>
    <row r="15" spans="1:27" ht="6.9" customHeight="1" x14ac:dyDescent="0.3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tr">
        <f>_xlfn.TRANSLATE(P15,"pt","es")</f>
        <v>Emprendedores</v>
      </c>
      <c r="R15" s="38" t="s">
        <v>181</v>
      </c>
      <c r="S15" s="52" t="str">
        <f t="shared" ref="S15:U17" si="6">SUBSTITUTE(C15, "_", " ")</f>
        <v>Normativos</v>
      </c>
      <c r="T15" s="52" t="str">
        <f t="shared" si="6"/>
        <v>NBR.Temáticas</v>
      </c>
      <c r="U15" s="51" t="str">
        <f t="shared" si="6"/>
        <v>NBR.N.RH</v>
      </c>
      <c r="V15" s="38" t="s">
        <v>419</v>
      </c>
      <c r="W15" s="58" t="str">
        <f t="shared" ref="W15:W23" si="7">CONCATENATE("Key-ABNT-",A15)</f>
        <v>Key-ABNT-15</v>
      </c>
      <c r="X15" s="38" t="s">
        <v>556</v>
      </c>
      <c r="Y15" s="38" t="s">
        <v>556</v>
      </c>
      <c r="Z15" s="53" t="s">
        <v>477</v>
      </c>
      <c r="AA15" s="53" t="str">
        <f>_xlfn.TRANSLATE(P15,"pt","en")</f>
        <v>Entrepreneurs</v>
      </c>
    </row>
    <row r="16" spans="1:27" ht="6.9" customHeight="1" x14ac:dyDescent="0.3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tr">
        <f t="shared" ref="Q16:Q23" si="8">_xlfn.TRANSLATE(P16,"pt","es")</f>
        <v>Diseñadores</v>
      </c>
      <c r="R16" s="38" t="s">
        <v>181</v>
      </c>
      <c r="S16" s="52" t="str">
        <f t="shared" si="6"/>
        <v>Normativos</v>
      </c>
      <c r="T16" s="52" t="str">
        <f t="shared" si="6"/>
        <v>NBR.Temáticas</v>
      </c>
      <c r="U16" s="51" t="str">
        <f t="shared" si="6"/>
        <v>NBR.N.RH</v>
      </c>
      <c r="V16" s="38" t="s">
        <v>419</v>
      </c>
      <c r="W16" s="58" t="str">
        <f t="shared" si="7"/>
        <v>Key-ABNT-16</v>
      </c>
      <c r="X16" s="38" t="s">
        <v>556</v>
      </c>
      <c r="Y16" s="38" t="s">
        <v>556</v>
      </c>
      <c r="Z16" s="53" t="s">
        <v>478</v>
      </c>
      <c r="AA16" s="53" t="str">
        <f t="shared" ref="AA16:AA23" si="9">_xlfn.TRANSLATE(P16,"pt","en")</f>
        <v>Designers</v>
      </c>
    </row>
    <row r="17" spans="1:27" ht="6.9" customHeight="1" x14ac:dyDescent="0.3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tr">
        <f t="shared" si="8"/>
        <v>Entrenadores</v>
      </c>
      <c r="R17" s="38" t="s">
        <v>181</v>
      </c>
      <c r="S17" s="52" t="str">
        <f t="shared" si="6"/>
        <v>Normativos</v>
      </c>
      <c r="T17" s="52" t="str">
        <f t="shared" si="6"/>
        <v>NBR.Temáticas</v>
      </c>
      <c r="U17" s="51" t="str">
        <f t="shared" si="6"/>
        <v>NBR.N.RH</v>
      </c>
      <c r="V17" s="38" t="s">
        <v>419</v>
      </c>
      <c r="W17" s="58" t="str">
        <f t="shared" si="7"/>
        <v>Key-ABNT-17</v>
      </c>
      <c r="X17" s="38" t="s">
        <v>556</v>
      </c>
      <c r="Y17" s="38" t="s">
        <v>556</v>
      </c>
      <c r="Z17" s="53" t="s">
        <v>479</v>
      </c>
      <c r="AA17" s="53" t="str">
        <f t="shared" si="9"/>
        <v>Managers</v>
      </c>
    </row>
    <row r="18" spans="1:27" ht="6.9" customHeight="1" x14ac:dyDescent="0.3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tr">
        <f t="shared" si="8"/>
        <v>Constructores y contratistas</v>
      </c>
      <c r="R18" s="38" t="s">
        <v>181</v>
      </c>
      <c r="S18" s="52" t="str">
        <f t="shared" ref="S18:U23" si="10">SUBSTITUTE(C18, "_", " ")</f>
        <v>Normativos</v>
      </c>
      <c r="T18" s="52" t="str">
        <f t="shared" si="10"/>
        <v>NBR.Temáticas</v>
      </c>
      <c r="U18" s="51" t="str">
        <f t="shared" si="10"/>
        <v>NBR.N.RH</v>
      </c>
      <c r="V18" s="38" t="s">
        <v>419</v>
      </c>
      <c r="W18" s="58" t="str">
        <f t="shared" si="7"/>
        <v>Key-ABNT-18</v>
      </c>
      <c r="X18" s="38" t="s">
        <v>556</v>
      </c>
      <c r="Y18" s="38" t="s">
        <v>556</v>
      </c>
      <c r="Z18" s="53" t="s">
        <v>480</v>
      </c>
      <c r="AA18" s="53" t="str">
        <f t="shared" si="9"/>
        <v>Builders and Contractors</v>
      </c>
    </row>
    <row r="19" spans="1:27" ht="6.9" customHeight="1" x14ac:dyDescent="0.3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tr">
        <f t="shared" si="8"/>
        <v>Inspectores de construcción</v>
      </c>
      <c r="R19" s="38" t="s">
        <v>181</v>
      </c>
      <c r="S19" s="52" t="str">
        <f t="shared" si="10"/>
        <v>Normativos</v>
      </c>
      <c r="T19" s="52" t="str">
        <f t="shared" si="10"/>
        <v>NBR.Temáticas</v>
      </c>
      <c r="U19" s="51" t="str">
        <f t="shared" si="10"/>
        <v>NBR.N.RH</v>
      </c>
      <c r="V19" s="38" t="s">
        <v>419</v>
      </c>
      <c r="W19" s="58" t="str">
        <f t="shared" si="7"/>
        <v>Key-ABNT-19</v>
      </c>
      <c r="X19" s="38" t="s">
        <v>556</v>
      </c>
      <c r="Y19" s="38" t="s">
        <v>556</v>
      </c>
      <c r="Z19" s="53" t="s">
        <v>481</v>
      </c>
      <c r="AA19" s="53" t="str">
        <f t="shared" si="9"/>
        <v>Construction inspectors</v>
      </c>
    </row>
    <row r="20" spans="1:27" ht="6.9" customHeight="1" x14ac:dyDescent="0.3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tr">
        <f t="shared" si="8"/>
        <v>Aficionados</v>
      </c>
      <c r="R20" s="38" t="s">
        <v>181</v>
      </c>
      <c r="S20" s="52" t="str">
        <f t="shared" si="10"/>
        <v>Normativos</v>
      </c>
      <c r="T20" s="52" t="str">
        <f t="shared" si="10"/>
        <v>NBR.Temáticas</v>
      </c>
      <c r="U20" s="51" t="str">
        <f t="shared" si="10"/>
        <v>NBR.N.RH</v>
      </c>
      <c r="V20" s="38" t="s">
        <v>419</v>
      </c>
      <c r="W20" s="58" t="str">
        <f t="shared" si="7"/>
        <v>Key-ABNT-20</v>
      </c>
      <c r="X20" s="38" t="s">
        <v>556</v>
      </c>
      <c r="Y20" s="38" t="s">
        <v>556</v>
      </c>
      <c r="Z20" s="53" t="s">
        <v>482</v>
      </c>
      <c r="AA20" s="53" t="str">
        <f t="shared" si="9"/>
        <v>Supporters</v>
      </c>
    </row>
    <row r="21" spans="1:27" ht="6.9" customHeight="1" x14ac:dyDescent="0.3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tr">
        <f t="shared" si="8"/>
        <v>Profesionales del marketing</v>
      </c>
      <c r="R21" s="38" t="s">
        <v>181</v>
      </c>
      <c r="S21" s="52" t="str">
        <f t="shared" si="10"/>
        <v>Normativos</v>
      </c>
      <c r="T21" s="52" t="str">
        <f t="shared" si="10"/>
        <v>NBR.Temáticas</v>
      </c>
      <c r="U21" s="51" t="str">
        <f t="shared" si="10"/>
        <v>NBR.N.RH</v>
      </c>
      <c r="V21" s="38" t="s">
        <v>419</v>
      </c>
      <c r="W21" s="58" t="str">
        <f t="shared" si="7"/>
        <v>Key-ABNT-21</v>
      </c>
      <c r="X21" s="38" t="s">
        <v>556</v>
      </c>
      <c r="Y21" s="38" t="s">
        <v>556</v>
      </c>
      <c r="Z21" s="53" t="s">
        <v>483</v>
      </c>
      <c r="AA21" s="53" t="str">
        <f t="shared" si="9"/>
        <v>Marketers</v>
      </c>
    </row>
    <row r="22" spans="1:27" ht="6.9" customHeight="1" x14ac:dyDescent="0.3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tr">
        <f t="shared" si="8"/>
        <v>Subcontratado</v>
      </c>
      <c r="R22" s="38" t="s">
        <v>181</v>
      </c>
      <c r="S22" s="52" t="str">
        <f t="shared" si="10"/>
        <v>Normativos</v>
      </c>
      <c r="T22" s="52" t="str">
        <f t="shared" si="10"/>
        <v>NBR.Temáticas</v>
      </c>
      <c r="U22" s="51" t="str">
        <f t="shared" si="10"/>
        <v>NBR.N.RH</v>
      </c>
      <c r="V22" s="38" t="s">
        <v>419</v>
      </c>
      <c r="W22" s="58" t="str">
        <f t="shared" si="7"/>
        <v>Key-ABNT-22</v>
      </c>
      <c r="X22" s="38" t="s">
        <v>556</v>
      </c>
      <c r="Y22" s="38" t="s">
        <v>556</v>
      </c>
      <c r="Z22" s="53" t="s">
        <v>484</v>
      </c>
      <c r="AA22" s="53" t="str">
        <f t="shared" si="9"/>
        <v>Outsourced</v>
      </c>
    </row>
    <row r="23" spans="1:27" ht="6.9" customHeight="1" x14ac:dyDescent="0.3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tr">
        <f t="shared" si="8"/>
        <v>Empresas y Grupos Participantes</v>
      </c>
      <c r="R23" s="38" t="s">
        <v>181</v>
      </c>
      <c r="S23" s="52" t="str">
        <f t="shared" si="10"/>
        <v>Normativos</v>
      </c>
      <c r="T23" s="52" t="str">
        <f t="shared" si="10"/>
        <v>NBR.Temáticas</v>
      </c>
      <c r="U23" s="51" t="str">
        <f t="shared" si="10"/>
        <v>NBR.N.RH</v>
      </c>
      <c r="V23" s="38" t="s">
        <v>419</v>
      </c>
      <c r="W23" s="58" t="str">
        <f t="shared" si="7"/>
        <v>Key-ABNT-23</v>
      </c>
      <c r="X23" s="38" t="s">
        <v>556</v>
      </c>
      <c r="Y23" s="38" t="s">
        <v>556</v>
      </c>
      <c r="Z23" s="53" t="s">
        <v>485</v>
      </c>
      <c r="AA23" s="53" t="str">
        <f t="shared" si="9"/>
        <v>Participating Companies and Groups</v>
      </c>
    </row>
  </sheetData>
  <conditionalFormatting sqref="F2:F14">
    <cfRule type="duplicateValues" dxfId="6" priority="4"/>
  </conditionalFormatting>
  <conditionalFormatting sqref="X2:Y2">
    <cfRule type="cellIs" dxfId="5" priority="1" operator="equal">
      <formula>"null"</formula>
    </cfRule>
  </conditionalFormatting>
  <conditionalFormatting sqref="AA1:AA23 A2:B23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3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0">
        <v>1</v>
      </c>
      <c r="B1" s="31" t="s">
        <v>394</v>
      </c>
      <c r="C1" s="31" t="s">
        <v>395</v>
      </c>
    </row>
    <row r="2" spans="1:3" x14ac:dyDescent="0.3">
      <c r="A2" s="21">
        <v>2</v>
      </c>
      <c r="B2" s="32" t="s">
        <v>181</v>
      </c>
      <c r="C2" s="32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zoomScale="175" zoomScaleNormal="175" workbookViewId="0">
      <pane ySplit="1" topLeftCell="A2" activePane="bottomLeft" state="frozen"/>
      <selection pane="bottomLeft" activeCell="C12" sqref="C12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796875" style="2" customWidth="1"/>
    <col min="4" max="4" width="10.19921875" style="2" bestFit="1" customWidth="1"/>
    <col min="5" max="5" width="7.69921875" style="2" bestFit="1" customWidth="1"/>
    <col min="6" max="6" width="7.296875" style="48" customWidth="1"/>
    <col min="7" max="7" width="10" style="48" customWidth="1"/>
    <col min="8" max="9" width="7.296875" style="48" customWidth="1"/>
    <col min="10" max="10" width="4.296875" style="48" customWidth="1"/>
    <col min="11" max="11" width="14" style="48" bestFit="1" customWidth="1"/>
    <col min="12" max="12" width="7.5" style="48" bestFit="1" customWidth="1"/>
    <col min="13" max="13" width="29.19921875" style="48" customWidth="1"/>
    <col min="14" max="14" width="7" style="48" bestFit="1" customWidth="1"/>
    <col min="15" max="15" width="43.796875" style="2" bestFit="1" customWidth="1"/>
    <col min="16" max="16" width="8.69921875" style="48" customWidth="1"/>
    <col min="17" max="17" width="5" style="48" customWidth="1"/>
    <col min="18" max="18" width="5.5" style="48" customWidth="1"/>
    <col min="19" max="25" width="5" style="48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5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5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5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5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5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5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5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5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5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2026-08-15T10:45:59Z</dcterms:modified>
</cp:coreProperties>
</file>