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HIDS\"/>
    </mc:Choice>
  </mc:AlternateContent>
  <xr:revisionPtr revIDLastSave="0" documentId="13_ncr:1_{85B2DCE1-548C-4F34-B99A-358A9A635FEB}" xr6:coauthVersionLast="47" xr6:coauthVersionMax="47" xr10:uidLastSave="{00000000-0000-0000-0000-000000000000}"/>
  <bookViews>
    <workbookView xWindow="-103" yWindow="-103" windowWidth="22149" windowHeight="13200" tabRatio="520" activeTab="3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7" l="1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2" i="17"/>
  <c r="U6" i="17"/>
  <c r="T6" i="17"/>
  <c r="S6" i="17"/>
  <c r="O6" i="17"/>
  <c r="N6" i="17"/>
  <c r="M6" i="17"/>
  <c r="L6" i="17"/>
  <c r="U5" i="17"/>
  <c r="T5" i="17"/>
  <c r="S5" i="17"/>
  <c r="O5" i="17"/>
  <c r="N5" i="17"/>
  <c r="M5" i="17"/>
  <c r="L5" i="17"/>
  <c r="U4" i="17"/>
  <c r="T4" i="17"/>
  <c r="S4" i="17"/>
  <c r="O4" i="17"/>
  <c r="N4" i="17"/>
  <c r="M4" i="17"/>
  <c r="L4" i="17"/>
  <c r="U3" i="17"/>
  <c r="T3" i="17"/>
  <c r="S3" i="17"/>
  <c r="O3" i="17"/>
  <c r="N3" i="17"/>
  <c r="M3" i="17"/>
  <c r="L3" i="17"/>
  <c r="U2" i="17"/>
  <c r="T2" i="17"/>
  <c r="S2" i="17"/>
  <c r="O2" i="17"/>
  <c r="N2" i="17"/>
  <c r="M2" i="17"/>
  <c r="L2" i="17"/>
  <c r="AA6" i="17"/>
  <c r="AA3" i="17"/>
  <c r="AA4" i="17"/>
  <c r="AA5" i="17"/>
  <c r="AA2" i="17"/>
  <c r="O7" i="17" l="1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U16" i="17"/>
  <c r="N16" i="17"/>
  <c r="M16" i="17"/>
  <c r="L16" i="17"/>
  <c r="U15" i="17"/>
  <c r="N15" i="17"/>
  <c r="M15" i="17"/>
  <c r="L15" i="17"/>
  <c r="Q15" i="17"/>
  <c r="AA15" i="17"/>
  <c r="U14" i="17" l="1"/>
  <c r="N14" i="17"/>
  <c r="M14" i="17"/>
  <c r="L14" i="17"/>
  <c r="U31" i="17"/>
  <c r="N31" i="17"/>
  <c r="M31" i="17"/>
  <c r="L31" i="17"/>
  <c r="U32" i="17"/>
  <c r="N32" i="17"/>
  <c r="M32" i="17"/>
  <c r="L32" i="17"/>
  <c r="U30" i="17"/>
  <c r="N30" i="17"/>
  <c r="M30" i="17"/>
  <c r="L30" i="17"/>
  <c r="U29" i="17"/>
  <c r="N29" i="17"/>
  <c r="M29" i="17"/>
  <c r="L29" i="17"/>
  <c r="U28" i="17"/>
  <c r="N28" i="17"/>
  <c r="M28" i="17"/>
  <c r="L28" i="17"/>
  <c r="U27" i="17"/>
  <c r="N27" i="17"/>
  <c r="M27" i="17"/>
  <c r="L27" i="17"/>
  <c r="L33" i="17"/>
  <c r="M33" i="17"/>
  <c r="N33" i="17"/>
  <c r="U33" i="17"/>
  <c r="L34" i="17"/>
  <c r="M34" i="17"/>
  <c r="N34" i="17"/>
  <c r="U34" i="17"/>
  <c r="L35" i="17"/>
  <c r="M35" i="17"/>
  <c r="N35" i="17"/>
  <c r="U35" i="17"/>
  <c r="L36" i="17"/>
  <c r="M36" i="17"/>
  <c r="N36" i="17"/>
  <c r="U36" i="17"/>
  <c r="L37" i="17"/>
  <c r="M37" i="17"/>
  <c r="N37" i="17"/>
  <c r="U37" i="17"/>
  <c r="U17" i="17"/>
  <c r="N17" i="17"/>
  <c r="M17" i="17"/>
  <c r="L17" i="17"/>
  <c r="U13" i="17"/>
  <c r="N13" i="17"/>
  <c r="M13" i="17"/>
  <c r="L13" i="17"/>
  <c r="U12" i="17"/>
  <c r="N12" i="17"/>
  <c r="M12" i="17"/>
  <c r="L12" i="17"/>
  <c r="U11" i="17"/>
  <c r="N11" i="17"/>
  <c r="M11" i="17"/>
  <c r="L11" i="17"/>
  <c r="U10" i="17"/>
  <c r="N10" i="17"/>
  <c r="M10" i="17"/>
  <c r="L10" i="17"/>
  <c r="U45" i="17"/>
  <c r="N45" i="17"/>
  <c r="M45" i="17"/>
  <c r="L45" i="17"/>
  <c r="U9" i="17"/>
  <c r="N9" i="17"/>
  <c r="M9" i="17"/>
  <c r="L9" i="17"/>
  <c r="U8" i="17"/>
  <c r="N8" i="17"/>
  <c r="M8" i="17"/>
  <c r="L8" i="17"/>
  <c r="U7" i="17"/>
  <c r="N7" i="17"/>
  <c r="M7" i="17"/>
  <c r="L7" i="17"/>
  <c r="U26" i="17"/>
  <c r="N26" i="17"/>
  <c r="M26" i="17"/>
  <c r="L26" i="17"/>
  <c r="U25" i="17"/>
  <c r="N25" i="17"/>
  <c r="M25" i="17"/>
  <c r="L25" i="17"/>
  <c r="U24" i="17"/>
  <c r="N24" i="17"/>
  <c r="M24" i="17"/>
  <c r="L24" i="17"/>
  <c r="U23" i="17"/>
  <c r="N23" i="17"/>
  <c r="M23" i="17"/>
  <c r="L23" i="17"/>
  <c r="U22" i="17"/>
  <c r="N22" i="17"/>
  <c r="M22" i="17"/>
  <c r="L22" i="17"/>
  <c r="U21" i="17"/>
  <c r="N21" i="17"/>
  <c r="M21" i="17"/>
  <c r="L21" i="17"/>
  <c r="U20" i="17"/>
  <c r="N20" i="17"/>
  <c r="M20" i="17"/>
  <c r="L20" i="17"/>
  <c r="U19" i="17"/>
  <c r="N19" i="17"/>
  <c r="M19" i="17"/>
  <c r="L19" i="17"/>
  <c r="U18" i="17"/>
  <c r="N18" i="17"/>
  <c r="M18" i="17"/>
  <c r="L18" i="17"/>
  <c r="AA8" i="17"/>
  <c r="AA29" i="17"/>
  <c r="AA18" i="17"/>
  <c r="AA10" i="17"/>
  <c r="AA37" i="17"/>
  <c r="AA40" i="17"/>
  <c r="AA13" i="17"/>
  <c r="AA42" i="17"/>
  <c r="AA39" i="17"/>
  <c r="Q14" i="17"/>
  <c r="Q30" i="17"/>
  <c r="Q19" i="17"/>
  <c r="AA25" i="17"/>
  <c r="AA20" i="17"/>
  <c r="Q11" i="17"/>
  <c r="AA23" i="17"/>
  <c r="AA12" i="17"/>
  <c r="AA33" i="17"/>
  <c r="AA43" i="17"/>
  <c r="Q18" i="17"/>
  <c r="AA11" i="17"/>
  <c r="AA7" i="17"/>
  <c r="AA24" i="17"/>
  <c r="AA19" i="17"/>
  <c r="Q12" i="17"/>
  <c r="AA45" i="17"/>
  <c r="Q28" i="17"/>
  <c r="AA35" i="17"/>
  <c r="AA31" i="17"/>
  <c r="Q32" i="17"/>
  <c r="AA36" i="17"/>
  <c r="AA22" i="17"/>
  <c r="AA30" i="17"/>
  <c r="AA26" i="17"/>
  <c r="Q20" i="17"/>
  <c r="Q21" i="17"/>
  <c r="Q25" i="17"/>
  <c r="Q17" i="17"/>
  <c r="AA38" i="17"/>
  <c r="AA28" i="17"/>
  <c r="AA32" i="17"/>
  <c r="AA17" i="17"/>
  <c r="AA21" i="17"/>
  <c r="Q13" i="17"/>
  <c r="AA44" i="17"/>
  <c r="AA41" i="17"/>
  <c r="AA34" i="17"/>
  <c r="AA27" i="17"/>
  <c r="AA9" i="17"/>
  <c r="AA14" i="17"/>
  <c r="Q24" i="17"/>
  <c r="U43" i="17" l="1"/>
  <c r="N43" i="17"/>
  <c r="M43" i="17"/>
  <c r="L43" i="17"/>
  <c r="U39" i="17"/>
  <c r="N39" i="17"/>
  <c r="M39" i="17"/>
  <c r="L39" i="17"/>
  <c r="U41" i="17"/>
  <c r="N41" i="17"/>
  <c r="M41" i="17"/>
  <c r="L41" i="17"/>
  <c r="U42" i="17"/>
  <c r="N42" i="17"/>
  <c r="M42" i="17"/>
  <c r="L42" i="17"/>
  <c r="U44" i="17"/>
  <c r="N44" i="17"/>
  <c r="M44" i="17"/>
  <c r="L44" i="17"/>
  <c r="U40" i="17"/>
  <c r="N40" i="17"/>
  <c r="M40" i="17"/>
  <c r="L40" i="17"/>
  <c r="U38" i="17"/>
  <c r="N38" i="17"/>
  <c r="M38" i="17"/>
  <c r="L38" i="17"/>
  <c r="B24" i="13" l="1"/>
  <c r="B18" i="13" l="1"/>
  <c r="B6" i="13"/>
  <c r="B5" i="1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<sst xmlns="http://schemas.openxmlformats.org/spreadsheetml/2006/main" count="1323" uniqueCount="279">
  <si>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</si>
  <si>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</si>
  <si>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</si>
  <si>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</si>
  <si>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</si>
  <si>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</si>
  <si>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</si>
  <si>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</si>
  <si>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</si>
  <si>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</si>
  <si>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</si>
  <si>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</si>
  <si>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</si>
  <si>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</si>
  <si>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</si>
  <si>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</si>
  <si>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</si>
  <si>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</si>
  <si>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</si>
  <si>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</si>
  <si>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</si>
  <si>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</si>
  <si>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</si>
  <si>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</si>
  <si>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</si>
  <si>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</si>
  <si>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</si>
  <si>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</si>
  <si>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</si>
  <si>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</si>
  <si>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</si>
  <si>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</si>
  <si>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</si>
  <si>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</si>
  <si>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</si>
  <si>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</si>
  <si>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</si>
  <si>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</si>
  <si>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</si>
  <si>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</si>
  <si>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</si>
  <si>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</si>
  <si>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</si>
  <si>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</si>
  <si>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Projeto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</si>
  <si>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</si>
  <si>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</si>
  <si>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</si>
  <si>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</si>
  <si>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</si>
  <si>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</si>
  <si>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</si>
  <si>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</si>
  <si>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</si>
  <si>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</si>
  <si>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</si>
  <si>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</si>
  <si>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</si>
  <si>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</si>
  <si>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</si>
  <si>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</si>
  <si>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</si>
  <si>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</si>
  <si>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</si>
  <si>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</si>
  <si>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</si>
  <si>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</si>
  <si>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</si>
  <si>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</si>
  <si>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</si>
  <si>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</si>
  <si>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</si>
  <si>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</si>
  <si>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</si>
  <si>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</si>
  <si>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</si>
  <si>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</si>
  <si>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</si>
  <si>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</si>
  <si>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</si>
  <si>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</si>
  <si>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</si>
  <si>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</si>
  <si>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</si>
  <si>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Contêiner</t>
  </si>
  <si>
    <t>Informação</t>
  </si>
  <si>
    <t>Define un contenedor de información de acuerdo con la norma NBR 19650-1.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</si>
  <si>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</si>
  <si>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</si>
  <si>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</si>
  <si>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</si>
  <si>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</si>
  <si>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</si>
  <si>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</si>
  <si>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</si>
  <si>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</si>
  <si>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</si>
  <si>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</si>
  <si>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</si>
  <si>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</si>
  <si>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</si>
  <si>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código.abnt</t>
  </si>
  <si>
    <t>"Nome da empresa vendedora do produto."</t>
  </si>
  <si>
    <t>classe.ifc</t>
  </si>
  <si>
    <t>categoria.revit</t>
  </si>
  <si>
    <t>Coletor.Predial</t>
  </si>
  <si>
    <t>Coletor.Andar</t>
  </si>
  <si>
    <t>Tubo.de.Queda</t>
  </si>
  <si>
    <t>Caixa.de.Inspeção</t>
  </si>
  <si>
    <t>Poço.de.Visita</t>
  </si>
  <si>
    <t>Caixa.de.Gordura</t>
  </si>
  <si>
    <t>Caixa.de.Areia</t>
  </si>
  <si>
    <t>Caixa.Sifonada</t>
  </si>
  <si>
    <t>[ IfcPipeSegment , IfcPipeFitting ]</t>
  </si>
  <si>
    <t>[ OST_PipingSystem , OST_PipeSegments , OST_PipeFitting , OST_PipeCurves , OST_PipeConnections , OST_PipeFittingInsulation ]</t>
  </si>
  <si>
    <t>Ventilação.Esgoto</t>
  </si>
  <si>
    <t>Coletor Sifonado como um ralo sifonado</t>
  </si>
  <si>
    <t>Coletor Local como um ralo seco ou Válvula de Lavatório</t>
  </si>
  <si>
    <t xml:space="preserve">Ramal de coleta horizontal do andar </t>
  </si>
  <si>
    <t>Ramal de coleta horizonta do prédio</t>
  </si>
  <si>
    <t>Tubo vertical de queda</t>
  </si>
  <si>
    <t>Sifões</t>
  </si>
  <si>
    <t>Caixas de Areia</t>
  </si>
  <si>
    <t>Caixas de Gordura</t>
  </si>
  <si>
    <t>Caixas de Inspeção</t>
  </si>
  <si>
    <t>Caixas Sifonadas</t>
  </si>
  <si>
    <t>Poços de Visita</t>
  </si>
  <si>
    <t>Colector local como válvula de drenaje seco o de cuenca</t>
  </si>
  <si>
    <t>Colector sifonado como drenaje sifonado</t>
  </si>
  <si>
    <t>Sifones</t>
  </si>
  <si>
    <t>Cajas de arena</t>
  </si>
  <si>
    <t>Trampas de grasa</t>
  </si>
  <si>
    <t>Cajas de sifón</t>
  </si>
  <si>
    <t>Pozo de visita</t>
  </si>
  <si>
    <t>[ 3E.42.04 ]</t>
  </si>
  <si>
    <t>"Tigre"</t>
  </si>
  <si>
    <t>"[ 3E.42.04 ]"</t>
  </si>
  <si>
    <t>é.pertencente.a</t>
  </si>
  <si>
    <t>"Sistema de Esgoto da coluna 1 do Predio"</t>
  </si>
  <si>
    <t>"Indivíduo Conteiner Superior que representa Informações contidas no Projeto Específico 01"</t>
  </si>
  <si>
    <t>Sistema.Predial</t>
  </si>
  <si>
    <t>Sistema.Sanitário</t>
  </si>
  <si>
    <t>Sistema.Hidráulico</t>
  </si>
  <si>
    <t>Tubulação.Reuso</t>
  </si>
  <si>
    <t>Cisterna.Superior</t>
  </si>
  <si>
    <t>Cisterna.Inferior</t>
  </si>
  <si>
    <t>Boiler</t>
  </si>
  <si>
    <t>Caldeira</t>
  </si>
  <si>
    <t>Tubulação.AQ</t>
  </si>
  <si>
    <t>Tubulação.AF</t>
  </si>
  <si>
    <t>Cisterna Superior</t>
  </si>
  <si>
    <t>Cisterna Inferior</t>
  </si>
  <si>
    <t>Aquecedor.de.Agua</t>
  </si>
  <si>
    <t>Aquecedor de água</t>
  </si>
  <si>
    <t>Tubulação de Água Fria</t>
  </si>
  <si>
    <t>Tubulação de Água Quente</t>
  </si>
  <si>
    <t>Tubulação de Água de Reuso</t>
  </si>
  <si>
    <t>Tubería de agua de reuso</t>
  </si>
  <si>
    <t>Calefón</t>
  </si>
  <si>
    <t>Cisterna Intermediária</t>
  </si>
  <si>
    <t>Sistema de Esgoto Predial</t>
  </si>
  <si>
    <t>Sistema de Água Quente Predial</t>
  </si>
  <si>
    <t>Sistema de Água Fria Predial</t>
  </si>
  <si>
    <t>Ventilação de Esgoto</t>
  </si>
  <si>
    <t>Sistema de Desague Predial</t>
  </si>
  <si>
    <t>Sistema de Água Caliente Predial</t>
  </si>
  <si>
    <t>Ventilación de Esgoto</t>
  </si>
  <si>
    <t>Tubulações</t>
  </si>
  <si>
    <t>Hidrossanitária</t>
  </si>
  <si>
    <t>Instalações</t>
  </si>
  <si>
    <t>Sistema.ESG</t>
  </si>
  <si>
    <t>[ 3E.38.02 ]</t>
  </si>
  <si>
    <t>Acessório.Sanitário</t>
  </si>
  <si>
    <t>Accesorio del sistema de desagüe como soportes, ganchos, pedestales, etc.</t>
  </si>
  <si>
    <t>"Instância de Ralo sifonado que pertence ao sistema ESG_01 pode ser individualizado pelo ID de Revit ou pelo indentificador IfcGlobalId de IFC"</t>
  </si>
  <si>
    <t>"Instância de Tubulação que pertence ao sistema AF01 pode ser individualizado pelo ID de Revit ou pelo indentificador IfcGlobalId de IFC"</t>
  </si>
  <si>
    <t>Ralo.Sifonado</t>
  </si>
  <si>
    <t>Ralo.Seco</t>
  </si>
  <si>
    <t>Chuveiro</t>
  </si>
  <si>
    <t>Torneira</t>
  </si>
  <si>
    <t>Misturador</t>
  </si>
  <si>
    <t>Válvula</t>
  </si>
  <si>
    <t>Registro</t>
  </si>
  <si>
    <t>Lavatório</t>
  </si>
  <si>
    <t>Bidet</t>
  </si>
  <si>
    <t>Vaso.Sanitário</t>
  </si>
  <si>
    <t>Cuba.Sanitária</t>
  </si>
  <si>
    <t>Pia.Sanitária</t>
  </si>
  <si>
    <t>Banheira</t>
  </si>
  <si>
    <t>Ducha</t>
  </si>
  <si>
    <t>Ducha manual</t>
  </si>
  <si>
    <t>Canilla</t>
  </si>
  <si>
    <t>Vaso Sanitário</t>
  </si>
  <si>
    <t>Pia Sanitária</t>
  </si>
  <si>
    <t>Cuba Sanitária</t>
  </si>
  <si>
    <t>Inodoro</t>
  </si>
  <si>
    <t>Tanque</t>
  </si>
  <si>
    <t>Bacha Sanitaria</t>
  </si>
  <si>
    <t>[ OST_PlumbingFixtures ]</t>
  </si>
  <si>
    <t>[ IfcSanitaryTerminal ]</t>
  </si>
  <si>
    <t>[ IfcValve ]</t>
  </si>
  <si>
    <t>[ IfcTank ]</t>
  </si>
  <si>
    <t>[ IfcBoiler ]</t>
  </si>
  <si>
    <t>[ IfcEnergyConversionDevice ]</t>
  </si>
  <si>
    <t>"Instância de Tubulação que pertence ao sistema AQ01 pode ser individualizado pelo ID de Revit ou pelo indentificador IfcGlobalId de IFC"</t>
  </si>
  <si>
    <t>"[ IfcPipeSegment , IfcPipeFitting ]"</t>
  </si>
  <si>
    <t>[ OST_PipingSystem ]</t>
  </si>
  <si>
    <t>"[ 3E.38.02 ]"</t>
  </si>
  <si>
    <t>"Indivíduo Conteiner que representa um sistema de Esgoto do projeto"</t>
  </si>
  <si>
    <t>"Indivíduo Conteiner que representa um sistema de Hidráulica do projeto"</t>
  </si>
  <si>
    <t>Ralo_ID_453908</t>
  </si>
  <si>
    <t>Ralo_ID_453909</t>
  </si>
  <si>
    <t>Tubo_ID_334250</t>
  </si>
  <si>
    <t>Tubo_ID_334251</t>
  </si>
  <si>
    <t>Tubo_ID_334252</t>
  </si>
  <si>
    <t>Tubo_ID_334253</t>
  </si>
  <si>
    <t>Tubo_ID_334254</t>
  </si>
  <si>
    <t>Tubo_ID_334255</t>
  </si>
  <si>
    <t>Tubo_ID_334256</t>
  </si>
  <si>
    <t>Tubo_ID_334257</t>
  </si>
  <si>
    <t>Tubo_ID_334258</t>
  </si>
  <si>
    <t>Tubo_ID_334259</t>
  </si>
  <si>
    <t>Tubo_ID_334260</t>
  </si>
  <si>
    <t>Tubo_ID_334261</t>
  </si>
  <si>
    <t>Objetos_de_Hidrossanitária</t>
  </si>
  <si>
    <t>Formalizar elementos do projeto BIM. Objetos específicos de Hidráulica e Esgoto Sanitário</t>
  </si>
  <si>
    <t>Formalizar elementos de proyecto BIM. Objetos específicos de Hidráulica e Desagües sanitarios</t>
  </si>
  <si>
    <t>Objetos de Sistemas de Hidráulica e Esgoto Sanitário</t>
  </si>
  <si>
    <t>Sis_ESG_01</t>
  </si>
  <si>
    <t>Sis_AFR_01</t>
  </si>
  <si>
    <t>Sistema.HidroSanitário</t>
  </si>
  <si>
    <t>Fecho.Hidráulico</t>
  </si>
  <si>
    <t>Acessório.Hidraúlico</t>
  </si>
  <si>
    <t>Tubulação.Agua.Fria</t>
  </si>
  <si>
    <t>Tubulação.Agua.Quente</t>
  </si>
  <si>
    <t>Peças.Sanitárias</t>
  </si>
  <si>
    <t>Esgoto.Coletores</t>
  </si>
  <si>
    <t>Esgoto.Visitas</t>
  </si>
  <si>
    <t>Esgoto.Acessórios</t>
  </si>
  <si>
    <t>Peças.Hidráulicas</t>
  </si>
  <si>
    <t>Sistema.AFR</t>
  </si>
  <si>
    <t>Sistema.AQT</t>
  </si>
  <si>
    <t>Sis_AQT_01</t>
  </si>
  <si>
    <t>Acessório do sistema de agua como suportes, ganchos, pedestais, etc.</t>
  </si>
  <si>
    <t>Acessório do sistema de esgoto sanitário como suportes, ganchos, pedestais, etc.</t>
  </si>
  <si>
    <t>[ IfcDistributionSystemDOMESTICCOLDWATER ]</t>
  </si>
  <si>
    <t>[ IfcDistributionSystemDOMESTICHOTWATER ]</t>
  </si>
  <si>
    <t>[ IfcDistributionSystemDRAINAGE ]</t>
  </si>
  <si>
    <t>"[ OST_PipingSystem ]"</t>
  </si>
  <si>
    <t>"[ OST_PipeSegments , OST_PipeFitting ]"</t>
  </si>
  <si>
    <t>Cisterna.Intermediária</t>
  </si>
  <si>
    <t>[ IfcFlowMeter ]</t>
  </si>
  <si>
    <t>Elementos.Hidráulica</t>
  </si>
  <si>
    <t>Medidor.de.Água</t>
  </si>
  <si>
    <t>Medidores de Água</t>
  </si>
  <si>
    <t>Medidores de agua</t>
  </si>
  <si>
    <t>Water Meters</t>
  </si>
  <si>
    <t>[ IfcDiscreteAccessory ]</t>
  </si>
  <si>
    <t>[ OST_PipeAccessory ]</t>
  </si>
  <si>
    <t>Cajas de inspección</t>
  </si>
  <si>
    <t>Ramal colector horizontal de un piso del edifício</t>
  </si>
  <si>
    <t>Ramal colector horizontal del edificio</t>
  </si>
  <si>
    <t>Tubo colector vertical</t>
  </si>
  <si>
    <t>[ OST_PipeFitting ]</t>
  </si>
  <si>
    <t>Definida</t>
  </si>
  <si>
    <t>Define um contêiner de informação de acordo à norma NBR 19650-1. Definição do Projeto.</t>
  </si>
  <si>
    <t>Requerida</t>
  </si>
  <si>
    <t>No.Projeto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</si>
  <si>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</si>
  <si>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</si>
  <si>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</si>
  <si>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</si>
  <si>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</si>
  <si>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</si>
  <si>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</si>
  <si>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</si>
  <si>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</si>
  <si>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quem.fabricou</t>
  </si>
  <si>
    <t>quem.forneceu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</si>
</sst>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23" borderId="4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4" sqref="B4"/>
    </sheetView>
  </sheetViews>
  <sheetFormatPr defaultColWidth="9.15234375" defaultRowHeight="9.75" customHeight="1" x14ac:dyDescent="0.4"/>
  <cols>
    <col min="1" max="1" width="8.69140625" style="62" customWidth="1"/>
    <col min="2" max="2" width="40.07421875" style="62" customWidth="1"/>
    <col min="3" max="3" width="3.4609375" style="45" bestFit="1" customWidth="1"/>
    <col min="4" max="16384" width="9.15234375" style="62"/>
  </cols>
  <sheetData>
    <row r="1" spans="1:3" ht="20.25" customHeight="1" x14ac:dyDescent="0.4">
      <c r="A1" s="12" t="s">
        <v>45</v>
      </c>
      <c r="B1" s="12" t="s">
        <v>46</v>
      </c>
      <c r="C1" s="43" t="s">
        <v>93</v>
      </c>
    </row>
    <row r="2" spans="1:3" ht="9" customHeight="1" x14ac:dyDescent="0.4">
      <c r="A2" s="13" t="s">
        <v>47</v>
      </c>
      <c r="B2" s="13" t="s">
        <v>48</v>
      </c>
      <c r="C2" s="44" t="s">
        <v>94</v>
      </c>
    </row>
    <row r="3" spans="1:3" ht="9" customHeight="1" x14ac:dyDescent="0.4">
      <c r="A3" s="13" t="s">
        <v>49</v>
      </c>
      <c r="B3" s="13" t="s">
        <v>224</v>
      </c>
      <c r="C3" s="44" t="s">
        <v>94</v>
      </c>
    </row>
    <row r="4" spans="1:3" ht="9" customHeight="1" x14ac:dyDescent="0.4">
      <c r="A4" s="14" t="s">
        <v>50</v>
      </c>
      <c r="B4" s="14" t="s">
        <v>32</v>
      </c>
      <c r="C4" s="44" t="s">
        <v>94</v>
      </c>
    </row>
    <row r="5" spans="1:3" ht="9" customHeight="1" x14ac:dyDescent="0.4">
      <c r="A5" s="14" t="s">
        <v>51</v>
      </c>
      <c r="B5" s="14" t="str">
        <f>_xlfn.CONCAT(B4,"Prop")</f>
        <v>BIMProp</v>
      </c>
      <c r="C5" s="44" t="s">
        <v>94</v>
      </c>
    </row>
    <row r="6" spans="1:3" ht="9" customHeight="1" x14ac:dyDescent="0.4">
      <c r="A6" s="14" t="s">
        <v>52</v>
      </c>
      <c r="B6" s="14" t="str">
        <f>_xlfn.CONCAT(B4,"Data")</f>
        <v>BIMData</v>
      </c>
      <c r="C6" s="44" t="s">
        <v>94</v>
      </c>
    </row>
    <row r="7" spans="1:3" ht="9" customHeight="1" x14ac:dyDescent="0.4">
      <c r="A7" s="14" t="s">
        <v>53</v>
      </c>
      <c r="B7" s="14" t="s">
        <v>54</v>
      </c>
      <c r="C7" s="44" t="s">
        <v>94</v>
      </c>
    </row>
    <row r="8" spans="1:3" s="42" customFormat="1" ht="9" customHeight="1" x14ac:dyDescent="0.4">
      <c r="A8" s="41" t="s">
        <v>55</v>
      </c>
      <c r="B8" s="41" t="s">
        <v>91</v>
      </c>
      <c r="C8" s="44" t="s">
        <v>94</v>
      </c>
    </row>
    <row r="9" spans="1:3" ht="9" customHeight="1" x14ac:dyDescent="0.4">
      <c r="A9" s="14" t="s">
        <v>56</v>
      </c>
      <c r="B9" s="14" t="s">
        <v>57</v>
      </c>
      <c r="C9" s="44" t="s">
        <v>94</v>
      </c>
    </row>
    <row r="10" spans="1:3" ht="9" customHeight="1" x14ac:dyDescent="0.4">
      <c r="A10" s="14" t="s">
        <v>58</v>
      </c>
      <c r="B10" s="14" t="s">
        <v>59</v>
      </c>
      <c r="C10" s="44" t="s">
        <v>94</v>
      </c>
    </row>
    <row r="11" spans="1:3" ht="9" customHeight="1" x14ac:dyDescent="0.4">
      <c r="A11" s="14" t="s">
        <v>60</v>
      </c>
      <c r="B11" s="14" t="s">
        <v>59</v>
      </c>
      <c r="C11" s="44" t="s">
        <v>94</v>
      </c>
    </row>
    <row r="12" spans="1:3" ht="9" customHeight="1" x14ac:dyDescent="0.4">
      <c r="A12" s="14" t="s">
        <v>61</v>
      </c>
      <c r="B12" s="14" t="s">
        <v>59</v>
      </c>
      <c r="C12" s="44" t="s">
        <v>94</v>
      </c>
    </row>
    <row r="13" spans="1:3" ht="9" customHeight="1" x14ac:dyDescent="0.4">
      <c r="A13" s="14" t="s">
        <v>62</v>
      </c>
      <c r="B13" s="14" t="s">
        <v>59</v>
      </c>
      <c r="C13" s="44" t="s">
        <v>94</v>
      </c>
    </row>
    <row r="14" spans="1:3" ht="9" customHeight="1" x14ac:dyDescent="0.4">
      <c r="A14" s="14" t="s">
        <v>63</v>
      </c>
      <c r="B14" s="14" t="s">
        <v>59</v>
      </c>
      <c r="C14" s="44" t="s">
        <v>94</v>
      </c>
    </row>
    <row r="15" spans="1:3" ht="9" customHeight="1" x14ac:dyDescent="0.4">
      <c r="A15" s="14" t="s">
        <v>64</v>
      </c>
      <c r="B15" s="14" t="s">
        <v>59</v>
      </c>
      <c r="C15" s="44" t="s">
        <v>94</v>
      </c>
    </row>
    <row r="16" spans="1:3" ht="9" customHeight="1" x14ac:dyDescent="0.4">
      <c r="A16" s="14" t="s">
        <v>65</v>
      </c>
      <c r="B16" s="14" t="s">
        <v>59</v>
      </c>
      <c r="C16" s="44" t="s">
        <v>94</v>
      </c>
    </row>
    <row r="17" spans="1:3" ht="9" customHeight="1" x14ac:dyDescent="0.4">
      <c r="A17" s="14" t="s">
        <v>66</v>
      </c>
      <c r="B17" s="14" t="s">
        <v>227</v>
      </c>
      <c r="C17" s="44" t="s">
        <v>94</v>
      </c>
    </row>
    <row r="18" spans="1:3" ht="9" customHeight="1" x14ac:dyDescent="0.4">
      <c r="A18" s="14" t="s">
        <v>67</v>
      </c>
      <c r="B18" s="15">
        <f ca="1">NOW()</f>
        <v>46214.37796863426</v>
      </c>
      <c r="C18" s="44" t="s">
        <v>94</v>
      </c>
    </row>
    <row r="19" spans="1:3" ht="9" customHeight="1" x14ac:dyDescent="0.4">
      <c r="A19" s="14" t="s">
        <v>68</v>
      </c>
      <c r="B19" s="15" t="s">
        <v>69</v>
      </c>
      <c r="C19" s="44" t="s">
        <v>94</v>
      </c>
    </row>
    <row r="20" spans="1:3" ht="9" customHeight="1" x14ac:dyDescent="0.4">
      <c r="A20" s="14" t="s">
        <v>70</v>
      </c>
      <c r="B20" s="14" t="s">
        <v>59</v>
      </c>
      <c r="C20" s="44" t="s">
        <v>94</v>
      </c>
    </row>
    <row r="21" spans="1:3" ht="9" customHeight="1" x14ac:dyDescent="0.4">
      <c r="A21" s="14" t="s">
        <v>71</v>
      </c>
      <c r="B21" s="14" t="s">
        <v>59</v>
      </c>
      <c r="C21" s="44" t="s">
        <v>94</v>
      </c>
    </row>
    <row r="22" spans="1:3" ht="9" customHeight="1" x14ac:dyDescent="0.4">
      <c r="A22" s="14" t="s">
        <v>72</v>
      </c>
      <c r="B22" s="16" t="s">
        <v>225</v>
      </c>
      <c r="C22" s="44" t="s">
        <v>94</v>
      </c>
    </row>
    <row r="23" spans="1:3" ht="9" customHeight="1" x14ac:dyDescent="0.4">
      <c r="A23" s="14" t="s">
        <v>73</v>
      </c>
      <c r="B23" s="16" t="s">
        <v>226</v>
      </c>
      <c r="C23" s="44" t="s">
        <v>95</v>
      </c>
    </row>
    <row r="24" spans="1:3" s="42" customFormat="1" ht="9" customHeight="1" x14ac:dyDescent="0.4">
      <c r="A24" s="14" t="s">
        <v>92</v>
      </c>
      <c r="B24" s="16" t="str">
        <f>_xlfn.TRANSLATE(B22,"pt","en")</f>
        <v>Formalize elements of the BIM project. Specific Objects of Hydraulics and Sanitary Sewer</v>
      </c>
      <c r="C24" s="44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45"/>
  <sheetViews>
    <sheetView zoomScale="205" zoomScaleNormal="205" workbookViewId="0">
      <pane ySplit="1" topLeftCell="A2" activePane="bottomLeft" state="frozen"/>
      <selection activeCell="A179" sqref="A179:XFD190"/>
      <selection pane="bottomLeft" activeCell="V5" sqref="V5"/>
    </sheetView>
  </sheetViews>
  <sheetFormatPr defaultColWidth="9.15234375" defaultRowHeight="6.65" customHeight="1" x14ac:dyDescent="0.4"/>
  <cols>
    <col min="1" max="1" width="3.84375" bestFit="1" customWidth="1"/>
    <col min="2" max="2" width="4.3828125" bestFit="1" customWidth="1"/>
    <col min="3" max="3" width="8.84375" customWidth="1"/>
    <col min="4" max="4" width="10.3046875" customWidth="1"/>
    <col min="5" max="5" width="10.15234375" customWidth="1"/>
    <col min="6" max="6" width="9.84375" style="46" customWidth="1"/>
    <col min="7" max="11" width="6.3046875" style="36" customWidth="1"/>
    <col min="12" max="12" width="7.4609375" customWidth="1"/>
    <col min="13" max="13" width="10.15234375" customWidth="1"/>
    <col min="14" max="14" width="11" customWidth="1"/>
    <col min="15" max="15" width="10.3828125" customWidth="1"/>
    <col min="16" max="16" width="32.07421875" customWidth="1"/>
    <col min="17" max="17" width="30.53515625" customWidth="1"/>
    <col min="18" max="18" width="3.84375" bestFit="1" customWidth="1"/>
    <col min="19" max="19" width="6.921875" customWidth="1"/>
    <col min="20" max="20" width="5.69140625" customWidth="1"/>
    <col min="21" max="21" width="10.53515625" customWidth="1"/>
    <col min="22" max="22" width="5.61328125" customWidth="1"/>
    <col min="23" max="23" width="6.3046875" style="60" customWidth="1"/>
    <col min="24" max="24" width="52.3046875" style="60" customWidth="1"/>
    <col min="25" max="25" width="19.23046875" style="61" customWidth="1"/>
    <col min="26" max="26" width="5.61328125" style="36" customWidth="1"/>
    <col min="27" max="27" width="31.15234375" bestFit="1" customWidth="1"/>
  </cols>
  <sheetData>
    <row r="1" spans="1:27" ht="55.5" customHeight="1" x14ac:dyDescent="0.4">
      <c r="A1" s="48" t="s">
        <v>97</v>
      </c>
      <c r="B1" s="49" t="s">
        <v>42</v>
      </c>
      <c r="C1" s="49" t="s">
        <v>40</v>
      </c>
      <c r="D1" s="49" t="s">
        <v>41</v>
      </c>
      <c r="E1" s="49" t="s">
        <v>39</v>
      </c>
      <c r="F1" s="49" t="s">
        <v>36</v>
      </c>
      <c r="G1" s="50" t="s">
        <v>0</v>
      </c>
      <c r="H1" s="50" t="s">
        <v>1</v>
      </c>
      <c r="I1" s="50" t="s">
        <v>2</v>
      </c>
      <c r="J1" s="50" t="s">
        <v>3</v>
      </c>
      <c r="K1" s="50" t="s">
        <v>4</v>
      </c>
      <c r="L1" s="39" t="s">
        <v>98</v>
      </c>
      <c r="M1" s="39" t="s">
        <v>5</v>
      </c>
      <c r="N1" s="39" t="s">
        <v>6</v>
      </c>
      <c r="O1" s="39" t="s">
        <v>7</v>
      </c>
      <c r="P1" s="39" t="s">
        <v>37</v>
      </c>
      <c r="Q1" s="39" t="s">
        <v>43</v>
      </c>
      <c r="R1" s="51" t="s">
        <v>99</v>
      </c>
      <c r="S1" s="39" t="s">
        <v>33</v>
      </c>
      <c r="T1" s="39" t="s">
        <v>38</v>
      </c>
      <c r="U1" s="52" t="s">
        <v>35</v>
      </c>
      <c r="V1" s="39" t="s">
        <v>34</v>
      </c>
      <c r="W1" s="63" t="s">
        <v>8</v>
      </c>
      <c r="X1" s="39" t="s">
        <v>87</v>
      </c>
      <c r="Y1" s="39" t="s">
        <v>88</v>
      </c>
      <c r="Z1" s="51" t="s">
        <v>89</v>
      </c>
      <c r="AA1" s="40" t="s">
        <v>90</v>
      </c>
    </row>
    <row r="2" spans="1:27" ht="6.65" customHeight="1" x14ac:dyDescent="0.4">
      <c r="A2" s="32">
        <v>2</v>
      </c>
      <c r="B2" s="1" t="s">
        <v>268</v>
      </c>
      <c r="C2" s="64" t="s">
        <v>84</v>
      </c>
      <c r="D2" s="1" t="s">
        <v>85</v>
      </c>
      <c r="E2" s="1" t="s">
        <v>264</v>
      </c>
      <c r="F2" s="64" t="s">
        <v>267</v>
      </c>
      <c r="G2" s="37" t="s">
        <v>9</v>
      </c>
      <c r="H2" s="37" t="s">
        <v>9</v>
      </c>
      <c r="I2" s="37" t="s">
        <v>9</v>
      </c>
      <c r="J2" s="37" t="s">
        <v>9</v>
      </c>
      <c r="K2" s="37" t="s">
        <v>9</v>
      </c>
      <c r="L2" s="33" t="str">
        <f t="shared" ref="L2:M6" si="0">CONCATENATE("", C2)</f>
        <v>Contêiner</v>
      </c>
      <c r="M2" s="33" t="str">
        <f t="shared" si="0"/>
        <v>Informação</v>
      </c>
      <c r="N2" s="33" t="str">
        <f t="shared" ref="N2:O6" si="1">(SUBSTITUTE(SUBSTITUTE(CONCATENATE("",E2),"."," ")," De "," de "))</f>
        <v>Definida</v>
      </c>
      <c r="O2" s="33" t="str">
        <f t="shared" si="1"/>
        <v>No Projeto</v>
      </c>
      <c r="P2" s="30" t="s">
        <v>265</v>
      </c>
      <c r="Q2" s="30" t="s">
        <v>86</v>
      </c>
      <c r="R2" s="34" t="s">
        <v>9</v>
      </c>
      <c r="S2" s="35" t="str">
        <f t="shared" ref="S2:U6" si="2">SUBSTITUTE(C2, ".", " ")</f>
        <v>Contêiner</v>
      </c>
      <c r="T2" s="35" t="str">
        <f t="shared" si="2"/>
        <v>Informação</v>
      </c>
      <c r="U2" s="35" t="str">
        <f t="shared" si="2"/>
        <v>Definida</v>
      </c>
      <c r="V2" s="35" t="s">
        <v>169</v>
      </c>
      <c r="W2" s="65" t="str">
        <f t="shared" ref="W2:W45" si="3">CONCATENATE("Key-HSA-",A2)</f>
        <v>Key-HSA-2</v>
      </c>
      <c r="X2" s="30" t="s">
        <v>9</v>
      </c>
      <c r="Y2" s="30" t="s">
        <v>9</v>
      </c>
      <c r="Z2" s="34" t="s">
        <v>9</v>
      </c>
      <c r="AA2" s="30" t="str">
        <f t="shared" ref="AA2:AA6" si="4">_xlfn.TRANSLATE(P2,"pt","en")</f>
        <v>Defines an information container in accordance with the NBR 19650-1 standard. Project Definition.</v>
      </c>
    </row>
    <row r="3" spans="1:27" ht="6.65" customHeight="1" x14ac:dyDescent="0.4">
      <c r="A3" s="32">
        <v>3</v>
      </c>
      <c r="B3" s="1" t="s">
        <v>268</v>
      </c>
      <c r="C3" s="64" t="s">
        <v>84</v>
      </c>
      <c r="D3" s="1" t="s">
        <v>85</v>
      </c>
      <c r="E3" s="1" t="s">
        <v>266</v>
      </c>
      <c r="F3" s="64" t="s">
        <v>269</v>
      </c>
      <c r="G3" s="37" t="s">
        <v>9</v>
      </c>
      <c r="H3" s="37" t="s">
        <v>9</v>
      </c>
      <c r="I3" s="37" t="s">
        <v>9</v>
      </c>
      <c r="J3" s="37" t="s">
        <v>9</v>
      </c>
      <c r="K3" s="37" t="s">
        <v>9</v>
      </c>
      <c r="L3" s="33" t="str">
        <f t="shared" si="0"/>
        <v>Contêiner</v>
      </c>
      <c r="M3" s="33" t="str">
        <f t="shared" si="0"/>
        <v>Informação</v>
      </c>
      <c r="N3" s="33" t="str">
        <f t="shared" si="1"/>
        <v>Requerida</v>
      </c>
      <c r="O3" s="33" t="str">
        <f t="shared" si="1"/>
        <v>Requisito Espacial</v>
      </c>
      <c r="P3" s="30" t="s">
        <v>270</v>
      </c>
      <c r="Q3" s="30" t="s">
        <v>86</v>
      </c>
      <c r="R3" s="34" t="s">
        <v>9</v>
      </c>
      <c r="S3" s="35" t="str">
        <f t="shared" si="2"/>
        <v>Contêiner</v>
      </c>
      <c r="T3" s="35" t="str">
        <f t="shared" si="2"/>
        <v>Informação</v>
      </c>
      <c r="U3" s="35" t="str">
        <f t="shared" si="2"/>
        <v>Requerida</v>
      </c>
      <c r="V3" s="35" t="s">
        <v>169</v>
      </c>
      <c r="W3" s="65" t="str">
        <f t="shared" si="3"/>
        <v>Key-HSA-3</v>
      </c>
      <c r="X3" s="30" t="s">
        <v>9</v>
      </c>
      <c r="Y3" s="30" t="s">
        <v>9</v>
      </c>
      <c r="Z3" s="34" t="s">
        <v>9</v>
      </c>
      <c r="AA3" s="30" t="str">
        <f t="shared" si="4"/>
        <v>Defines an information container in accordance with the NBR 19650-1 standard. Spatial Requirements for the Project.</v>
      </c>
    </row>
    <row r="4" spans="1:27" ht="6.65" customHeight="1" x14ac:dyDescent="0.4">
      <c r="A4" s="32">
        <v>4</v>
      </c>
      <c r="B4" s="1" t="s">
        <v>268</v>
      </c>
      <c r="C4" s="64" t="s">
        <v>84</v>
      </c>
      <c r="D4" s="1" t="s">
        <v>85</v>
      </c>
      <c r="E4" s="1" t="s">
        <v>266</v>
      </c>
      <c r="F4" s="64" t="s">
        <v>271</v>
      </c>
      <c r="G4" s="37" t="s">
        <v>9</v>
      </c>
      <c r="H4" s="37" t="s">
        <v>9</v>
      </c>
      <c r="I4" s="37" t="s">
        <v>9</v>
      </c>
      <c r="J4" s="37" t="s">
        <v>9</v>
      </c>
      <c r="K4" s="37" t="s">
        <v>9</v>
      </c>
      <c r="L4" s="33" t="str">
        <f t="shared" si="0"/>
        <v>Contêiner</v>
      </c>
      <c r="M4" s="33" t="str">
        <f t="shared" si="0"/>
        <v>Informação</v>
      </c>
      <c r="N4" s="33" t="str">
        <f t="shared" si="1"/>
        <v>Requerida</v>
      </c>
      <c r="O4" s="33" t="str">
        <f t="shared" si="1"/>
        <v>Requisito Mobiliário</v>
      </c>
      <c r="P4" s="30" t="s">
        <v>272</v>
      </c>
      <c r="Q4" s="30" t="s">
        <v>86</v>
      </c>
      <c r="R4" s="34" t="s">
        <v>9</v>
      </c>
      <c r="S4" s="35" t="str">
        <f t="shared" si="2"/>
        <v>Contêiner</v>
      </c>
      <c r="T4" s="35" t="str">
        <f t="shared" si="2"/>
        <v>Informação</v>
      </c>
      <c r="U4" s="35" t="str">
        <f t="shared" si="2"/>
        <v>Requerida</v>
      </c>
      <c r="V4" s="35" t="s">
        <v>169</v>
      </c>
      <c r="W4" s="65" t="str">
        <f t="shared" si="3"/>
        <v>Key-HSA-4</v>
      </c>
      <c r="X4" s="30" t="s">
        <v>9</v>
      </c>
      <c r="Y4" s="30" t="s">
        <v>9</v>
      </c>
      <c r="Z4" s="34" t="s">
        <v>9</v>
      </c>
      <c r="AA4" s="30" t="str">
        <f t="shared" si="4"/>
        <v>Defines an information container in accordance with the NBR 19650-1 standard. Furniture Requirements for the Project.</v>
      </c>
    </row>
    <row r="5" spans="1:27" ht="6.65" customHeight="1" x14ac:dyDescent="0.4">
      <c r="A5" s="32">
        <v>5</v>
      </c>
      <c r="B5" s="1" t="s">
        <v>268</v>
      </c>
      <c r="C5" s="64" t="s">
        <v>84</v>
      </c>
      <c r="D5" s="1" t="s">
        <v>85</v>
      </c>
      <c r="E5" s="1" t="s">
        <v>266</v>
      </c>
      <c r="F5" s="64" t="s">
        <v>273</v>
      </c>
      <c r="G5" s="37" t="s">
        <v>9</v>
      </c>
      <c r="H5" s="37" t="s">
        <v>9</v>
      </c>
      <c r="I5" s="37" t="s">
        <v>9</v>
      </c>
      <c r="J5" s="37" t="s">
        <v>9</v>
      </c>
      <c r="K5" s="37" t="s">
        <v>9</v>
      </c>
      <c r="L5" s="33" t="str">
        <f t="shared" si="0"/>
        <v>Contêiner</v>
      </c>
      <c r="M5" s="33" t="str">
        <f t="shared" si="0"/>
        <v>Informação</v>
      </c>
      <c r="N5" s="33" t="str">
        <f t="shared" si="1"/>
        <v>Requerida</v>
      </c>
      <c r="O5" s="33" t="str">
        <f t="shared" si="1"/>
        <v>Requisito Equipamento</v>
      </c>
      <c r="P5" s="30" t="s">
        <v>274</v>
      </c>
      <c r="Q5" s="30" t="s">
        <v>86</v>
      </c>
      <c r="R5" s="34" t="s">
        <v>9</v>
      </c>
      <c r="S5" s="35" t="str">
        <f t="shared" si="2"/>
        <v>Contêiner</v>
      </c>
      <c r="T5" s="35" t="str">
        <f t="shared" si="2"/>
        <v>Informação</v>
      </c>
      <c r="U5" s="35" t="str">
        <f t="shared" si="2"/>
        <v>Requerida</v>
      </c>
      <c r="V5" s="35" t="s">
        <v>169</v>
      </c>
      <c r="W5" s="65" t="str">
        <f t="shared" si="3"/>
        <v>Key-HSA-5</v>
      </c>
      <c r="X5" s="30" t="s">
        <v>9</v>
      </c>
      <c r="Y5" s="30" t="s">
        <v>9</v>
      </c>
      <c r="Z5" s="34" t="s">
        <v>9</v>
      </c>
      <c r="AA5" s="30" t="str">
        <f t="shared" si="4"/>
        <v>Defines an information container in accordance with the NBR 19650-1 standard. Equipment Requirements for the Project.</v>
      </c>
    </row>
    <row r="6" spans="1:27" ht="6.65" customHeight="1" x14ac:dyDescent="0.4">
      <c r="A6" s="32">
        <v>6</v>
      </c>
      <c r="B6" s="1" t="s">
        <v>268</v>
      </c>
      <c r="C6" s="64" t="s">
        <v>84</v>
      </c>
      <c r="D6" s="1" t="s">
        <v>85</v>
      </c>
      <c r="E6" s="1" t="s">
        <v>266</v>
      </c>
      <c r="F6" s="64" t="s">
        <v>275</v>
      </c>
      <c r="G6" s="37" t="s">
        <v>9</v>
      </c>
      <c r="H6" s="37" t="s">
        <v>9</v>
      </c>
      <c r="I6" s="37" t="s">
        <v>9</v>
      </c>
      <c r="J6" s="37" t="s">
        <v>9</v>
      </c>
      <c r="K6" s="37" t="s">
        <v>9</v>
      </c>
      <c r="L6" s="33" t="str">
        <f t="shared" si="0"/>
        <v>Contêiner</v>
      </c>
      <c r="M6" s="33" t="str">
        <f t="shared" si="0"/>
        <v>Informação</v>
      </c>
      <c r="N6" s="33" t="str">
        <f t="shared" si="1"/>
        <v>Requerida</v>
      </c>
      <c r="O6" s="33" t="str">
        <f t="shared" si="1"/>
        <v>Requisito Sistemas</v>
      </c>
      <c r="P6" s="30" t="s">
        <v>276</v>
      </c>
      <c r="Q6" s="30" t="s">
        <v>86</v>
      </c>
      <c r="R6" s="34" t="s">
        <v>9</v>
      </c>
      <c r="S6" s="35" t="str">
        <f t="shared" si="2"/>
        <v>Contêiner</v>
      </c>
      <c r="T6" s="35" t="str">
        <f t="shared" si="2"/>
        <v>Informação</v>
      </c>
      <c r="U6" s="35" t="str">
        <f t="shared" si="2"/>
        <v>Requerida</v>
      </c>
      <c r="V6" s="35" t="s">
        <v>169</v>
      </c>
      <c r="W6" s="65" t="str">
        <f t="shared" si="3"/>
        <v>Key-HSA-6</v>
      </c>
      <c r="X6" s="30" t="s">
        <v>9</v>
      </c>
      <c r="Y6" s="30" t="s">
        <v>9</v>
      </c>
      <c r="Z6" s="34" t="s">
        <v>9</v>
      </c>
      <c r="AA6" s="30" t="str">
        <f t="shared" si="4"/>
        <v>Defines an information container in accordance with the NBR 19650-1 standard. Building Systems Requirements for the Project.</v>
      </c>
    </row>
    <row r="7" spans="1:27" ht="6.65" customHeight="1" x14ac:dyDescent="0.4">
      <c r="A7" s="32">
        <v>7</v>
      </c>
      <c r="B7" s="1" t="s">
        <v>44</v>
      </c>
      <c r="C7" s="47" t="s">
        <v>140</v>
      </c>
      <c r="D7" s="47" t="s">
        <v>230</v>
      </c>
      <c r="E7" s="47" t="s">
        <v>141</v>
      </c>
      <c r="F7" s="47" t="s">
        <v>170</v>
      </c>
      <c r="G7" s="37" t="s">
        <v>9</v>
      </c>
      <c r="H7" s="37" t="s">
        <v>9</v>
      </c>
      <c r="I7" s="37" t="s">
        <v>9</v>
      </c>
      <c r="J7" s="37" t="s">
        <v>9</v>
      </c>
      <c r="K7" s="37" t="s">
        <v>9</v>
      </c>
      <c r="L7" s="33" t="str">
        <f t="shared" ref="L7:L37" si="5">CONCATENATE("", C7)</f>
        <v>Sistema.Predial</v>
      </c>
      <c r="M7" s="33" t="str">
        <f t="shared" ref="M7:M37" si="6">CONCATENATE("", D7)</f>
        <v>Sistema.HidroSanitário</v>
      </c>
      <c r="N7" s="33" t="str">
        <f t="shared" ref="N7:N37" si="7">(SUBSTITUTE(SUBSTITUTE(CONCATENATE("",E7),"."," ")," De "," de "))</f>
        <v>Sistema Sanitário</v>
      </c>
      <c r="O7" s="30" t="str">
        <f t="shared" ref="O7:O45" si="8">IF(ISNUMBER(FIND("Ifc",F7)),CONCATENATE("Classe IFC:   ",F7),CONCATENATE("",F7))</f>
        <v>Sistema.ESG</v>
      </c>
      <c r="P7" s="58" t="s">
        <v>160</v>
      </c>
      <c r="Q7" s="58" t="s">
        <v>164</v>
      </c>
      <c r="R7" s="34" t="s">
        <v>9</v>
      </c>
      <c r="S7" s="35" t="s">
        <v>168</v>
      </c>
      <c r="T7" s="35" t="s">
        <v>167</v>
      </c>
      <c r="U7" s="35" t="str">
        <f t="shared" ref="U7:U37" si="9">SUBSTITUTE(E7, "_", " ")</f>
        <v>Sistema.Sanitário</v>
      </c>
      <c r="V7" s="35" t="s">
        <v>169</v>
      </c>
      <c r="W7" s="65" t="str">
        <f t="shared" si="3"/>
        <v>Key-HSA-7</v>
      </c>
      <c r="X7" s="29" t="s">
        <v>206</v>
      </c>
      <c r="Y7" s="29" t="s">
        <v>247</v>
      </c>
      <c r="Z7" s="34" t="s">
        <v>134</v>
      </c>
      <c r="AA7" s="30" t="str">
        <f>_xlfn.TRANSLATE(P7,"pt","en")</f>
        <v>Building Sewer System</v>
      </c>
    </row>
    <row r="8" spans="1:27" ht="6.65" customHeight="1" x14ac:dyDescent="0.4">
      <c r="A8" s="32">
        <v>8</v>
      </c>
      <c r="B8" s="1" t="s">
        <v>44</v>
      </c>
      <c r="C8" s="47" t="s">
        <v>140</v>
      </c>
      <c r="D8" s="47" t="s">
        <v>230</v>
      </c>
      <c r="E8" s="47" t="s">
        <v>142</v>
      </c>
      <c r="F8" s="47" t="s">
        <v>240</v>
      </c>
      <c r="G8" s="37" t="s">
        <v>9</v>
      </c>
      <c r="H8" s="37" t="s">
        <v>9</v>
      </c>
      <c r="I8" s="37" t="s">
        <v>9</v>
      </c>
      <c r="J8" s="37" t="s">
        <v>9</v>
      </c>
      <c r="K8" s="37" t="s">
        <v>9</v>
      </c>
      <c r="L8" s="33" t="str">
        <f t="shared" ref="L8:L17" si="10">CONCATENATE("", C8)</f>
        <v>Sistema.Predial</v>
      </c>
      <c r="M8" s="33" t="str">
        <f t="shared" ref="M8:M17" si="11">CONCATENATE("", D8)</f>
        <v>Sistema.HidroSanitário</v>
      </c>
      <c r="N8" s="33" t="str">
        <f t="shared" ref="N8:N17" si="12">(SUBSTITUTE(SUBSTITUTE(CONCATENATE("",E8),"."," ")," De "," de "))</f>
        <v>Sistema Hidráulico</v>
      </c>
      <c r="O8" s="30" t="str">
        <f t="shared" si="8"/>
        <v>Sistema.AFR</v>
      </c>
      <c r="P8" s="58" t="s">
        <v>162</v>
      </c>
      <c r="Q8" s="58" t="s">
        <v>162</v>
      </c>
      <c r="R8" s="34" t="s">
        <v>9</v>
      </c>
      <c r="S8" s="35" t="s">
        <v>168</v>
      </c>
      <c r="T8" s="35" t="s">
        <v>167</v>
      </c>
      <c r="U8" s="35" t="str">
        <f t="shared" ref="U8:U17" si="13">SUBSTITUTE(E8, "_", " ")</f>
        <v>Sistema.Hidráulico</v>
      </c>
      <c r="V8" s="35" t="s">
        <v>169</v>
      </c>
      <c r="W8" s="65" t="str">
        <f t="shared" si="3"/>
        <v>Key-HSA-8</v>
      </c>
      <c r="X8" s="29" t="s">
        <v>206</v>
      </c>
      <c r="Y8" s="29" t="s">
        <v>245</v>
      </c>
      <c r="Z8" s="34" t="s">
        <v>171</v>
      </c>
      <c r="AA8" s="30" t="str">
        <f>_xlfn.TRANSLATE(P8,"pt","en")</f>
        <v>Building Cold Water System</v>
      </c>
    </row>
    <row r="9" spans="1:27" ht="6.65" customHeight="1" x14ac:dyDescent="0.4">
      <c r="A9" s="32">
        <v>9</v>
      </c>
      <c r="B9" s="1" t="s">
        <v>44</v>
      </c>
      <c r="C9" s="47" t="s">
        <v>140</v>
      </c>
      <c r="D9" s="47" t="s">
        <v>230</v>
      </c>
      <c r="E9" s="47" t="s">
        <v>142</v>
      </c>
      <c r="F9" s="47" t="s">
        <v>241</v>
      </c>
      <c r="G9" s="37" t="s">
        <v>9</v>
      </c>
      <c r="H9" s="37" t="s">
        <v>9</v>
      </c>
      <c r="I9" s="37" t="s">
        <v>9</v>
      </c>
      <c r="J9" s="37" t="s">
        <v>9</v>
      </c>
      <c r="K9" s="37" t="s">
        <v>9</v>
      </c>
      <c r="L9" s="33" t="str">
        <f t="shared" si="10"/>
        <v>Sistema.Predial</v>
      </c>
      <c r="M9" s="33" t="str">
        <f t="shared" si="11"/>
        <v>Sistema.HidroSanitário</v>
      </c>
      <c r="N9" s="33" t="str">
        <f t="shared" si="12"/>
        <v>Sistema Hidráulico</v>
      </c>
      <c r="O9" s="30" t="str">
        <f t="shared" si="8"/>
        <v>Sistema.AQT</v>
      </c>
      <c r="P9" s="58" t="s">
        <v>161</v>
      </c>
      <c r="Q9" s="58" t="s">
        <v>165</v>
      </c>
      <c r="R9" s="34" t="s">
        <v>9</v>
      </c>
      <c r="S9" s="35" t="s">
        <v>168</v>
      </c>
      <c r="T9" s="35" t="s">
        <v>167</v>
      </c>
      <c r="U9" s="35" t="str">
        <f t="shared" si="13"/>
        <v>Sistema.Hidráulico</v>
      </c>
      <c r="V9" s="35" t="s">
        <v>169</v>
      </c>
      <c r="W9" s="65" t="str">
        <f t="shared" si="3"/>
        <v>Key-HSA-9</v>
      </c>
      <c r="X9" s="29" t="s">
        <v>206</v>
      </c>
      <c r="Y9" s="29" t="s">
        <v>246</v>
      </c>
      <c r="Z9" s="34" t="s">
        <v>171</v>
      </c>
      <c r="AA9" s="30" t="str">
        <f>_xlfn.TRANSLATE(P9,"pt","en")</f>
        <v>Building Hot Water System</v>
      </c>
    </row>
    <row r="10" spans="1:27" ht="6.65" customHeight="1" x14ac:dyDescent="0.4">
      <c r="A10" s="32">
        <v>10</v>
      </c>
      <c r="B10" s="1" t="s">
        <v>44</v>
      </c>
      <c r="C10" s="47" t="s">
        <v>140</v>
      </c>
      <c r="D10" s="1" t="s">
        <v>252</v>
      </c>
      <c r="E10" s="47" t="s">
        <v>239</v>
      </c>
      <c r="F10" s="47" t="s">
        <v>179</v>
      </c>
      <c r="G10" s="37" t="s">
        <v>9</v>
      </c>
      <c r="H10" s="37" t="s">
        <v>9</v>
      </c>
      <c r="I10" s="37" t="s">
        <v>9</v>
      </c>
      <c r="J10" s="37" t="s">
        <v>9</v>
      </c>
      <c r="K10" s="37" t="s">
        <v>9</v>
      </c>
      <c r="L10" s="33" t="str">
        <f t="shared" si="10"/>
        <v>Sistema.Predial</v>
      </c>
      <c r="M10" s="33" t="str">
        <f t="shared" si="11"/>
        <v>Elementos.Hidráulica</v>
      </c>
      <c r="N10" s="33" t="str">
        <f t="shared" si="12"/>
        <v>Peças Hidráulicas</v>
      </c>
      <c r="O10" s="30" t="str">
        <f t="shared" si="8"/>
        <v>Torneira</v>
      </c>
      <c r="P10" s="58" t="s">
        <v>179</v>
      </c>
      <c r="Q10" s="30" t="s">
        <v>191</v>
      </c>
      <c r="R10" s="34" t="s">
        <v>9</v>
      </c>
      <c r="S10" s="35" t="s">
        <v>168</v>
      </c>
      <c r="T10" s="35" t="s">
        <v>167</v>
      </c>
      <c r="U10" s="35" t="str">
        <f t="shared" si="13"/>
        <v>Peças.Hidráulicas</v>
      </c>
      <c r="V10" s="35" t="s">
        <v>169</v>
      </c>
      <c r="W10" s="65" t="str">
        <f t="shared" si="3"/>
        <v>Key-HSA-10</v>
      </c>
      <c r="X10" s="29" t="s">
        <v>198</v>
      </c>
      <c r="Y10" s="29" t="s">
        <v>200</v>
      </c>
      <c r="Z10" s="34" t="s">
        <v>171</v>
      </c>
      <c r="AA10" s="30" t="e" vm="1">
        <f t="shared" ref="AA10:AA17" si="14">_xlfn.TRANSLATE(P10,"pt","en")</f>
        <v>#VALUE!</v>
      </c>
    </row>
    <row r="11" spans="1:27" ht="6.65" customHeight="1" x14ac:dyDescent="0.4">
      <c r="A11" s="32">
        <v>11</v>
      </c>
      <c r="B11" s="1" t="s">
        <v>44</v>
      </c>
      <c r="C11" s="47" t="s">
        <v>140</v>
      </c>
      <c r="D11" s="1" t="s">
        <v>252</v>
      </c>
      <c r="E11" s="47" t="s">
        <v>239</v>
      </c>
      <c r="F11" s="47" t="s">
        <v>180</v>
      </c>
      <c r="G11" s="37" t="s">
        <v>9</v>
      </c>
      <c r="H11" s="37" t="s">
        <v>9</v>
      </c>
      <c r="I11" s="37" t="s">
        <v>9</v>
      </c>
      <c r="J11" s="37" t="s">
        <v>9</v>
      </c>
      <c r="K11" s="37" t="s">
        <v>9</v>
      </c>
      <c r="L11" s="33" t="str">
        <f t="shared" si="10"/>
        <v>Sistema.Predial</v>
      </c>
      <c r="M11" s="33" t="str">
        <f t="shared" si="11"/>
        <v>Elementos.Hidráulica</v>
      </c>
      <c r="N11" s="33" t="str">
        <f t="shared" si="12"/>
        <v>Peças Hidráulicas</v>
      </c>
      <c r="O11" s="30" t="str">
        <f t="shared" si="8"/>
        <v>Misturador</v>
      </c>
      <c r="P11" s="58" t="s">
        <v>180</v>
      </c>
      <c r="Q11" s="30" t="str">
        <f t="shared" ref="Q11:Q17" si="15">_xlfn.TRANSLATE(P11,"pt","es")</f>
        <v>Mezclador</v>
      </c>
      <c r="R11" s="34" t="s">
        <v>9</v>
      </c>
      <c r="S11" s="35" t="s">
        <v>168</v>
      </c>
      <c r="T11" s="35" t="s">
        <v>167</v>
      </c>
      <c r="U11" s="35" t="str">
        <f t="shared" si="13"/>
        <v>Peças.Hidráulicas</v>
      </c>
      <c r="V11" s="35" t="s">
        <v>169</v>
      </c>
      <c r="W11" s="65" t="str">
        <f t="shared" si="3"/>
        <v>Key-HSA-11</v>
      </c>
      <c r="X11" s="29" t="s">
        <v>198</v>
      </c>
      <c r="Y11" s="29" t="s">
        <v>200</v>
      </c>
      <c r="Z11" s="34" t="s">
        <v>171</v>
      </c>
      <c r="AA11" s="30" t="str">
        <f t="shared" si="14"/>
        <v>Mixer</v>
      </c>
    </row>
    <row r="12" spans="1:27" ht="6.65" customHeight="1" x14ac:dyDescent="0.4">
      <c r="A12" s="32">
        <v>12</v>
      </c>
      <c r="B12" s="1" t="s">
        <v>44</v>
      </c>
      <c r="C12" s="47" t="s">
        <v>140</v>
      </c>
      <c r="D12" s="1" t="s">
        <v>252</v>
      </c>
      <c r="E12" s="47" t="s">
        <v>239</v>
      </c>
      <c r="F12" s="47" t="s">
        <v>182</v>
      </c>
      <c r="G12" s="37" t="s">
        <v>9</v>
      </c>
      <c r="H12" s="37" t="s">
        <v>9</v>
      </c>
      <c r="I12" s="37" t="s">
        <v>9</v>
      </c>
      <c r="J12" s="37" t="s">
        <v>9</v>
      </c>
      <c r="K12" s="37" t="s">
        <v>9</v>
      </c>
      <c r="L12" s="33" t="str">
        <f t="shared" si="10"/>
        <v>Sistema.Predial</v>
      </c>
      <c r="M12" s="33" t="str">
        <f t="shared" si="11"/>
        <v>Elementos.Hidráulica</v>
      </c>
      <c r="N12" s="33" t="str">
        <f t="shared" si="12"/>
        <v>Peças Hidráulicas</v>
      </c>
      <c r="O12" s="30" t="str">
        <f t="shared" si="8"/>
        <v>Registro</v>
      </c>
      <c r="P12" s="58" t="s">
        <v>182</v>
      </c>
      <c r="Q12" s="30" t="str">
        <f t="shared" si="15"/>
        <v>Registro</v>
      </c>
      <c r="R12" s="34" t="s">
        <v>9</v>
      </c>
      <c r="S12" s="35" t="s">
        <v>168</v>
      </c>
      <c r="T12" s="35" t="s">
        <v>167</v>
      </c>
      <c r="U12" s="35" t="str">
        <f t="shared" si="13"/>
        <v>Peças.Hidráulicas</v>
      </c>
      <c r="V12" s="35" t="s">
        <v>169</v>
      </c>
      <c r="W12" s="65" t="str">
        <f t="shared" si="3"/>
        <v>Key-HSA-12</v>
      </c>
      <c r="X12" s="29" t="s">
        <v>198</v>
      </c>
      <c r="Y12" s="29" t="s">
        <v>200</v>
      </c>
      <c r="Z12" s="34" t="s">
        <v>171</v>
      </c>
      <c r="AA12" s="30" t="str">
        <f t="shared" si="14"/>
        <v>Registration</v>
      </c>
    </row>
    <row r="13" spans="1:27" ht="6.65" customHeight="1" x14ac:dyDescent="0.4">
      <c r="A13" s="32">
        <v>13</v>
      </c>
      <c r="B13" s="1" t="s">
        <v>44</v>
      </c>
      <c r="C13" s="47" t="s">
        <v>140</v>
      </c>
      <c r="D13" s="1" t="s">
        <v>252</v>
      </c>
      <c r="E13" s="47" t="s">
        <v>239</v>
      </c>
      <c r="F13" s="47" t="s">
        <v>181</v>
      </c>
      <c r="G13" s="37" t="s">
        <v>9</v>
      </c>
      <c r="H13" s="37" t="s">
        <v>9</v>
      </c>
      <c r="I13" s="37" t="s">
        <v>9</v>
      </c>
      <c r="J13" s="37" t="s">
        <v>9</v>
      </c>
      <c r="K13" s="37" t="s">
        <v>9</v>
      </c>
      <c r="L13" s="33" t="str">
        <f t="shared" si="10"/>
        <v>Sistema.Predial</v>
      </c>
      <c r="M13" s="33" t="str">
        <f t="shared" si="11"/>
        <v>Elementos.Hidráulica</v>
      </c>
      <c r="N13" s="33" t="str">
        <f t="shared" si="12"/>
        <v>Peças Hidráulicas</v>
      </c>
      <c r="O13" s="30" t="str">
        <f t="shared" si="8"/>
        <v>Válvula</v>
      </c>
      <c r="P13" s="58" t="s">
        <v>181</v>
      </c>
      <c r="Q13" s="30" t="str">
        <f t="shared" si="15"/>
        <v>Válvula</v>
      </c>
      <c r="R13" s="34" t="s">
        <v>9</v>
      </c>
      <c r="S13" s="35" t="s">
        <v>168</v>
      </c>
      <c r="T13" s="35" t="s">
        <v>167</v>
      </c>
      <c r="U13" s="35" t="str">
        <f t="shared" si="13"/>
        <v>Peças.Hidráulicas</v>
      </c>
      <c r="V13" s="35" t="s">
        <v>169</v>
      </c>
      <c r="W13" s="65" t="str">
        <f t="shared" si="3"/>
        <v>Key-HSA-13</v>
      </c>
      <c r="X13" s="29" t="s">
        <v>198</v>
      </c>
      <c r="Y13" s="29" t="s">
        <v>200</v>
      </c>
      <c r="Z13" s="34" t="s">
        <v>171</v>
      </c>
      <c r="AA13" s="30" t="str">
        <f t="shared" si="14"/>
        <v>Valve</v>
      </c>
    </row>
    <row r="14" spans="1:27" ht="6.65" customHeight="1" x14ac:dyDescent="0.4">
      <c r="A14" s="32">
        <v>14</v>
      </c>
      <c r="B14" s="1" t="s">
        <v>44</v>
      </c>
      <c r="C14" s="47" t="s">
        <v>140</v>
      </c>
      <c r="D14" s="1" t="s">
        <v>252</v>
      </c>
      <c r="E14" s="47" t="s">
        <v>239</v>
      </c>
      <c r="F14" s="47" t="s">
        <v>178</v>
      </c>
      <c r="G14" s="37" t="s">
        <v>9</v>
      </c>
      <c r="H14" s="37" t="s">
        <v>9</v>
      </c>
      <c r="I14" s="37" t="s">
        <v>9</v>
      </c>
      <c r="J14" s="37" t="s">
        <v>9</v>
      </c>
      <c r="K14" s="37" t="s">
        <v>9</v>
      </c>
      <c r="L14" s="33" t="str">
        <f t="shared" ref="L14:L16" si="16">CONCATENATE("", C14)</f>
        <v>Sistema.Predial</v>
      </c>
      <c r="M14" s="33" t="str">
        <f t="shared" ref="M14:M16" si="17">CONCATENATE("", D14)</f>
        <v>Elementos.Hidráulica</v>
      </c>
      <c r="N14" s="33" t="str">
        <f t="shared" ref="N14:N16" si="18">(SUBSTITUTE(SUBSTITUTE(CONCATENATE("",E14),"."," ")," De "," de "))</f>
        <v>Peças Hidráulicas</v>
      </c>
      <c r="O14" s="30" t="str">
        <f t="shared" si="8"/>
        <v>Chuveiro</v>
      </c>
      <c r="P14" s="58" t="s">
        <v>178</v>
      </c>
      <c r="Q14" s="30" t="str">
        <f t="shared" si="15"/>
        <v>Ducha</v>
      </c>
      <c r="R14" s="34" t="s">
        <v>9</v>
      </c>
      <c r="S14" s="35" t="s">
        <v>168</v>
      </c>
      <c r="T14" s="35" t="s">
        <v>167</v>
      </c>
      <c r="U14" s="35" t="str">
        <f t="shared" ref="U14:U16" si="19">SUBSTITUTE(E14, "_", " ")</f>
        <v>Peças.Hidráulicas</v>
      </c>
      <c r="V14" s="35" t="s">
        <v>169</v>
      </c>
      <c r="W14" s="65" t="str">
        <f t="shared" si="3"/>
        <v>Key-HSA-14</v>
      </c>
      <c r="X14" s="29" t="s">
        <v>198</v>
      </c>
      <c r="Y14" s="29" t="s">
        <v>199</v>
      </c>
      <c r="Z14" s="34" t="s">
        <v>171</v>
      </c>
      <c r="AA14" s="30" t="str">
        <f t="shared" ref="AA14:AA15" si="20">_xlfn.TRANSLATE(P14,"pt","en")</f>
        <v>Shower</v>
      </c>
    </row>
    <row r="15" spans="1:27" ht="6.65" customHeight="1" x14ac:dyDescent="0.4">
      <c r="A15" s="32">
        <v>15</v>
      </c>
      <c r="B15" s="1" t="s">
        <v>44</v>
      </c>
      <c r="C15" s="47" t="s">
        <v>140</v>
      </c>
      <c r="D15" s="1" t="s">
        <v>252</v>
      </c>
      <c r="E15" s="47" t="s">
        <v>239</v>
      </c>
      <c r="F15" s="47" t="s">
        <v>189</v>
      </c>
      <c r="G15" s="37" t="s">
        <v>9</v>
      </c>
      <c r="H15" s="37" t="s">
        <v>9</v>
      </c>
      <c r="I15" s="37" t="s">
        <v>9</v>
      </c>
      <c r="J15" s="37" t="s">
        <v>9</v>
      </c>
      <c r="K15" s="37" t="s">
        <v>9</v>
      </c>
      <c r="L15" s="33" t="str">
        <f t="shared" si="16"/>
        <v>Sistema.Predial</v>
      </c>
      <c r="M15" s="33" t="str">
        <f t="shared" si="17"/>
        <v>Elementos.Hidráulica</v>
      </c>
      <c r="N15" s="33" t="str">
        <f t="shared" si="18"/>
        <v>Peças Hidráulicas</v>
      </c>
      <c r="O15" s="30" t="str">
        <f t="shared" si="8"/>
        <v>Ducha</v>
      </c>
      <c r="P15" s="58" t="s">
        <v>190</v>
      </c>
      <c r="Q15" s="30" t="str">
        <f t="shared" ref="Q15" si="21">_xlfn.TRANSLATE(P15,"pt","es")</f>
        <v>Ducha manual</v>
      </c>
      <c r="R15" s="34" t="s">
        <v>9</v>
      </c>
      <c r="S15" s="35" t="s">
        <v>168</v>
      </c>
      <c r="T15" s="35" t="s">
        <v>167</v>
      </c>
      <c r="U15" s="35" t="str">
        <f t="shared" si="19"/>
        <v>Peças.Hidráulicas</v>
      </c>
      <c r="V15" s="35" t="s">
        <v>169</v>
      </c>
      <c r="W15" s="65" t="str">
        <f t="shared" si="3"/>
        <v>Key-HSA-15</v>
      </c>
      <c r="X15" s="29" t="s">
        <v>198</v>
      </c>
      <c r="Y15" s="29" t="s">
        <v>199</v>
      </c>
      <c r="Z15" s="34" t="s">
        <v>171</v>
      </c>
      <c r="AA15" s="30" t="str">
        <f t="shared" si="20"/>
        <v>Manual shower</v>
      </c>
    </row>
    <row r="16" spans="1:27" ht="6.65" customHeight="1" x14ac:dyDescent="0.4">
      <c r="A16" s="32">
        <v>16</v>
      </c>
      <c r="B16" s="1" t="s">
        <v>44</v>
      </c>
      <c r="C16" s="47" t="s">
        <v>140</v>
      </c>
      <c r="D16" s="1" t="s">
        <v>252</v>
      </c>
      <c r="E16" s="47" t="s">
        <v>239</v>
      </c>
      <c r="F16" s="47" t="s">
        <v>253</v>
      </c>
      <c r="G16" s="37" t="s">
        <v>9</v>
      </c>
      <c r="H16" s="37" t="s">
        <v>9</v>
      </c>
      <c r="I16" s="37" t="s">
        <v>9</v>
      </c>
      <c r="J16" s="37" t="s">
        <v>9</v>
      </c>
      <c r="K16" s="37" t="s">
        <v>9</v>
      </c>
      <c r="L16" s="33" t="str">
        <f t="shared" si="16"/>
        <v>Sistema.Predial</v>
      </c>
      <c r="M16" s="33" t="str">
        <f t="shared" si="17"/>
        <v>Elementos.Hidráulica</v>
      </c>
      <c r="N16" s="33" t="str">
        <f t="shared" si="18"/>
        <v>Peças Hidráulicas</v>
      </c>
      <c r="O16" s="30" t="str">
        <f t="shared" si="8"/>
        <v>Medidor.de.Água</v>
      </c>
      <c r="P16" s="58" t="s">
        <v>254</v>
      </c>
      <c r="Q16" s="58" t="s">
        <v>255</v>
      </c>
      <c r="R16" s="34" t="s">
        <v>9</v>
      </c>
      <c r="S16" s="35" t="s">
        <v>168</v>
      </c>
      <c r="T16" s="35" t="s">
        <v>167</v>
      </c>
      <c r="U16" s="35" t="str">
        <f t="shared" si="19"/>
        <v>Peças.Hidráulicas</v>
      </c>
      <c r="V16" s="35" t="s">
        <v>169</v>
      </c>
      <c r="W16" s="65" t="str">
        <f t="shared" si="3"/>
        <v>Key-HSA-16</v>
      </c>
      <c r="X16" s="29" t="s">
        <v>263</v>
      </c>
      <c r="Y16" s="29" t="s">
        <v>251</v>
      </c>
      <c r="Z16" s="34" t="s">
        <v>171</v>
      </c>
      <c r="AA16" s="30" t="s">
        <v>256</v>
      </c>
    </row>
    <row r="17" spans="1:27" ht="6.65" customHeight="1" x14ac:dyDescent="0.4">
      <c r="A17" s="32">
        <v>17</v>
      </c>
      <c r="B17" s="1" t="s">
        <v>44</v>
      </c>
      <c r="C17" s="47" t="s">
        <v>140</v>
      </c>
      <c r="D17" s="1" t="s">
        <v>252</v>
      </c>
      <c r="E17" s="47" t="s">
        <v>239</v>
      </c>
      <c r="F17" s="47" t="s">
        <v>232</v>
      </c>
      <c r="G17" s="37" t="s">
        <v>9</v>
      </c>
      <c r="H17" s="37" t="s">
        <v>9</v>
      </c>
      <c r="I17" s="37" t="s">
        <v>9</v>
      </c>
      <c r="J17" s="37" t="s">
        <v>9</v>
      </c>
      <c r="K17" s="37" t="s">
        <v>9</v>
      </c>
      <c r="L17" s="33" t="str">
        <f t="shared" si="10"/>
        <v>Sistema.Predial</v>
      </c>
      <c r="M17" s="33" t="str">
        <f t="shared" si="11"/>
        <v>Elementos.Hidráulica</v>
      </c>
      <c r="N17" s="33" t="str">
        <f t="shared" si="12"/>
        <v>Peças Hidráulicas</v>
      </c>
      <c r="O17" s="30" t="str">
        <f t="shared" si="8"/>
        <v>Acessório.Hidraúlico</v>
      </c>
      <c r="P17" s="58" t="s">
        <v>243</v>
      </c>
      <c r="Q17" s="30" t="str">
        <f t="shared" si="15"/>
        <v>Accesorios para sistemas de agua como soportes, ganchos, pedestales, etc.</v>
      </c>
      <c r="R17" s="34" t="s">
        <v>9</v>
      </c>
      <c r="S17" s="35" t="s">
        <v>168</v>
      </c>
      <c r="T17" s="35" t="s">
        <v>167</v>
      </c>
      <c r="U17" s="35" t="str">
        <f t="shared" si="13"/>
        <v>Peças.Hidráulicas</v>
      </c>
      <c r="V17" s="35" t="s">
        <v>169</v>
      </c>
      <c r="W17" s="65" t="str">
        <f t="shared" si="3"/>
        <v>Key-HSA-17</v>
      </c>
      <c r="X17" s="29" t="s">
        <v>258</v>
      </c>
      <c r="Y17" s="29" t="s">
        <v>257</v>
      </c>
      <c r="Z17" s="34" t="s">
        <v>171</v>
      </c>
      <c r="AA17" s="30" t="str">
        <f t="shared" si="14"/>
        <v>Water system accessory like brackets, hooks, pedestals, etc.</v>
      </c>
    </row>
    <row r="18" spans="1:27" ht="6.65" customHeight="1" x14ac:dyDescent="0.4">
      <c r="A18" s="32">
        <v>18</v>
      </c>
      <c r="B18" s="1" t="s">
        <v>44</v>
      </c>
      <c r="C18" s="47" t="s">
        <v>140</v>
      </c>
      <c r="D18" s="1" t="s">
        <v>252</v>
      </c>
      <c r="E18" s="47" t="s">
        <v>233</v>
      </c>
      <c r="F18" s="47" t="s">
        <v>144</v>
      </c>
      <c r="G18" s="37" t="s">
        <v>9</v>
      </c>
      <c r="H18" s="37" t="s">
        <v>9</v>
      </c>
      <c r="I18" s="37" t="s">
        <v>9</v>
      </c>
      <c r="J18" s="37" t="s">
        <v>9</v>
      </c>
      <c r="K18" s="37" t="s">
        <v>9</v>
      </c>
      <c r="L18" s="33" t="str">
        <f t="shared" si="5"/>
        <v>Sistema.Predial</v>
      </c>
      <c r="M18" s="33" t="str">
        <f t="shared" si="6"/>
        <v>Elementos.Hidráulica</v>
      </c>
      <c r="N18" s="33" t="str">
        <f t="shared" si="7"/>
        <v>Tubulação Agua Fria</v>
      </c>
      <c r="O18" s="30" t="str">
        <f t="shared" si="8"/>
        <v>Cisterna.Superior</v>
      </c>
      <c r="P18" s="58" t="s">
        <v>150</v>
      </c>
      <c r="Q18" s="30" t="str">
        <f>_xlfn.TRANSLATE(P18,"pt","es")</f>
        <v>Cisterna Superior</v>
      </c>
      <c r="R18" s="34" t="s">
        <v>9</v>
      </c>
      <c r="S18" s="35" t="s">
        <v>168</v>
      </c>
      <c r="T18" s="35" t="s">
        <v>167</v>
      </c>
      <c r="U18" s="35" t="str">
        <f t="shared" si="9"/>
        <v>Tubulação.Agua.Fria</v>
      </c>
      <c r="V18" s="35" t="s">
        <v>169</v>
      </c>
      <c r="W18" s="65" t="str">
        <f t="shared" si="3"/>
        <v>Key-HSA-18</v>
      </c>
      <c r="X18" s="29" t="s">
        <v>114</v>
      </c>
      <c r="Y18" s="29" t="s">
        <v>201</v>
      </c>
      <c r="Z18" s="34" t="s">
        <v>171</v>
      </c>
      <c r="AA18" s="30" t="str">
        <f t="shared" ref="AA18:AA32" si="22">_xlfn.TRANSLATE(P18,"pt","en")</f>
        <v>Upper Cistern</v>
      </c>
    </row>
    <row r="19" spans="1:27" ht="6.65" customHeight="1" x14ac:dyDescent="0.4">
      <c r="A19" s="32">
        <v>19</v>
      </c>
      <c r="B19" s="1" t="s">
        <v>44</v>
      </c>
      <c r="C19" s="47" t="s">
        <v>140</v>
      </c>
      <c r="D19" s="1" t="s">
        <v>252</v>
      </c>
      <c r="E19" s="47" t="s">
        <v>233</v>
      </c>
      <c r="F19" s="47" t="s">
        <v>250</v>
      </c>
      <c r="G19" s="37" t="s">
        <v>9</v>
      </c>
      <c r="H19" s="37" t="s">
        <v>9</v>
      </c>
      <c r="I19" s="37" t="s">
        <v>9</v>
      </c>
      <c r="J19" s="37" t="s">
        <v>9</v>
      </c>
      <c r="K19" s="37" t="s">
        <v>9</v>
      </c>
      <c r="L19" s="33" t="str">
        <f t="shared" si="5"/>
        <v>Sistema.Predial</v>
      </c>
      <c r="M19" s="33" t="str">
        <f t="shared" si="6"/>
        <v>Elementos.Hidráulica</v>
      </c>
      <c r="N19" s="33" t="str">
        <f t="shared" si="7"/>
        <v>Tubulação Agua Fria</v>
      </c>
      <c r="O19" s="30" t="str">
        <f t="shared" si="8"/>
        <v>Cisterna.Intermediária</v>
      </c>
      <c r="P19" s="58" t="s">
        <v>159</v>
      </c>
      <c r="Q19" s="30" t="str">
        <f t="shared" ref="Q19:Q25" si="23">_xlfn.TRANSLATE(P19,"pt","es")</f>
        <v>Cisterna intermedia</v>
      </c>
      <c r="R19" s="34" t="s">
        <v>9</v>
      </c>
      <c r="S19" s="35" t="s">
        <v>168</v>
      </c>
      <c r="T19" s="35" t="s">
        <v>167</v>
      </c>
      <c r="U19" s="35" t="str">
        <f t="shared" si="9"/>
        <v>Tubulação.Agua.Fria</v>
      </c>
      <c r="V19" s="35" t="s">
        <v>169</v>
      </c>
      <c r="W19" s="65" t="str">
        <f t="shared" si="3"/>
        <v>Key-HSA-19</v>
      </c>
      <c r="X19" s="29" t="s">
        <v>114</v>
      </c>
      <c r="Y19" s="29" t="s">
        <v>201</v>
      </c>
      <c r="Z19" s="34" t="s">
        <v>171</v>
      </c>
      <c r="AA19" s="30" t="str">
        <f t="shared" si="22"/>
        <v>Intermediate Cistern</v>
      </c>
    </row>
    <row r="20" spans="1:27" ht="6.65" customHeight="1" x14ac:dyDescent="0.4">
      <c r="A20" s="32">
        <v>20</v>
      </c>
      <c r="B20" s="1" t="s">
        <v>44</v>
      </c>
      <c r="C20" s="47" t="s">
        <v>140</v>
      </c>
      <c r="D20" s="1" t="s">
        <v>252</v>
      </c>
      <c r="E20" s="47" t="s">
        <v>233</v>
      </c>
      <c r="F20" s="47" t="s">
        <v>145</v>
      </c>
      <c r="G20" s="37" t="s">
        <v>9</v>
      </c>
      <c r="H20" s="37" t="s">
        <v>9</v>
      </c>
      <c r="I20" s="37" t="s">
        <v>9</v>
      </c>
      <c r="J20" s="37" t="s">
        <v>9</v>
      </c>
      <c r="K20" s="37" t="s">
        <v>9</v>
      </c>
      <c r="L20" s="33" t="str">
        <f t="shared" si="5"/>
        <v>Sistema.Predial</v>
      </c>
      <c r="M20" s="33" t="str">
        <f t="shared" si="6"/>
        <v>Elementos.Hidráulica</v>
      </c>
      <c r="N20" s="33" t="str">
        <f t="shared" si="7"/>
        <v>Tubulação Agua Fria</v>
      </c>
      <c r="O20" s="30" t="str">
        <f t="shared" si="8"/>
        <v>Cisterna.Inferior</v>
      </c>
      <c r="P20" s="58" t="s">
        <v>151</v>
      </c>
      <c r="Q20" s="30" t="str">
        <f t="shared" si="23"/>
        <v>Cisterna Inferior</v>
      </c>
      <c r="R20" s="34" t="s">
        <v>9</v>
      </c>
      <c r="S20" s="35" t="s">
        <v>168</v>
      </c>
      <c r="T20" s="35" t="s">
        <v>167</v>
      </c>
      <c r="U20" s="35" t="str">
        <f t="shared" si="9"/>
        <v>Tubulação.Agua.Fria</v>
      </c>
      <c r="V20" s="35" t="s">
        <v>169</v>
      </c>
      <c r="W20" s="65" t="str">
        <f t="shared" si="3"/>
        <v>Key-HSA-20</v>
      </c>
      <c r="X20" s="29" t="s">
        <v>114</v>
      </c>
      <c r="Y20" s="29" t="s">
        <v>201</v>
      </c>
      <c r="Z20" s="34" t="s">
        <v>171</v>
      </c>
      <c r="AA20" s="30" t="str">
        <f t="shared" si="22"/>
        <v>Lower Cistern</v>
      </c>
    </row>
    <row r="21" spans="1:27" ht="6.65" customHeight="1" x14ac:dyDescent="0.4">
      <c r="A21" s="32">
        <v>21</v>
      </c>
      <c r="B21" s="1" t="s">
        <v>44</v>
      </c>
      <c r="C21" s="47" t="s">
        <v>140</v>
      </c>
      <c r="D21" s="1" t="s">
        <v>252</v>
      </c>
      <c r="E21" s="47" t="s">
        <v>233</v>
      </c>
      <c r="F21" s="47" t="s">
        <v>149</v>
      </c>
      <c r="G21" s="37" t="s">
        <v>9</v>
      </c>
      <c r="H21" s="37" t="s">
        <v>9</v>
      </c>
      <c r="I21" s="37" t="s">
        <v>9</v>
      </c>
      <c r="J21" s="37" t="s">
        <v>9</v>
      </c>
      <c r="K21" s="37" t="s">
        <v>9</v>
      </c>
      <c r="L21" s="33" t="str">
        <f t="shared" si="5"/>
        <v>Sistema.Predial</v>
      </c>
      <c r="M21" s="33" t="str">
        <f t="shared" si="6"/>
        <v>Elementos.Hidráulica</v>
      </c>
      <c r="N21" s="33" t="str">
        <f t="shared" si="7"/>
        <v>Tubulação Agua Fria</v>
      </c>
      <c r="O21" s="30" t="str">
        <f t="shared" si="8"/>
        <v>Tubulação.AF</v>
      </c>
      <c r="P21" s="58" t="s">
        <v>154</v>
      </c>
      <c r="Q21" s="30" t="str">
        <f t="shared" si="23"/>
        <v>Tubería de agua fría</v>
      </c>
      <c r="R21" s="34" t="s">
        <v>9</v>
      </c>
      <c r="S21" s="35" t="s">
        <v>168</v>
      </c>
      <c r="T21" s="35" t="s">
        <v>167</v>
      </c>
      <c r="U21" s="35" t="str">
        <f t="shared" si="9"/>
        <v>Tubulação.Agua.Fria</v>
      </c>
      <c r="V21" s="35" t="s">
        <v>169</v>
      </c>
      <c r="W21" s="65" t="str">
        <f t="shared" si="3"/>
        <v>Key-HSA-21</v>
      </c>
      <c r="X21" s="29" t="s">
        <v>114</v>
      </c>
      <c r="Y21" s="29" t="s">
        <v>113</v>
      </c>
      <c r="Z21" s="34" t="s">
        <v>171</v>
      </c>
      <c r="AA21" s="30" t="str">
        <f t="shared" si="22"/>
        <v>Cold Water Pipe</v>
      </c>
    </row>
    <row r="22" spans="1:27" ht="6.65" customHeight="1" x14ac:dyDescent="0.4">
      <c r="A22" s="32">
        <v>22</v>
      </c>
      <c r="B22" s="1" t="s">
        <v>44</v>
      </c>
      <c r="C22" s="47" t="s">
        <v>140</v>
      </c>
      <c r="D22" s="1" t="s">
        <v>252</v>
      </c>
      <c r="E22" s="47" t="s">
        <v>234</v>
      </c>
      <c r="F22" s="47" t="s">
        <v>152</v>
      </c>
      <c r="G22" s="37" t="s">
        <v>9</v>
      </c>
      <c r="H22" s="37" t="s">
        <v>9</v>
      </c>
      <c r="I22" s="37" t="s">
        <v>9</v>
      </c>
      <c r="J22" s="37" t="s">
        <v>9</v>
      </c>
      <c r="K22" s="37" t="s">
        <v>9</v>
      </c>
      <c r="L22" s="33" t="str">
        <f t="shared" si="5"/>
        <v>Sistema.Predial</v>
      </c>
      <c r="M22" s="33" t="str">
        <f t="shared" si="6"/>
        <v>Elementos.Hidráulica</v>
      </c>
      <c r="N22" s="33" t="str">
        <f t="shared" si="7"/>
        <v>Tubulação Agua Quente</v>
      </c>
      <c r="O22" s="30" t="str">
        <f t="shared" si="8"/>
        <v>Aquecedor.de.Agua</v>
      </c>
      <c r="P22" s="58" t="s">
        <v>153</v>
      </c>
      <c r="Q22" s="30" t="s">
        <v>158</v>
      </c>
      <c r="R22" s="34" t="s">
        <v>9</v>
      </c>
      <c r="S22" s="35" t="s">
        <v>168</v>
      </c>
      <c r="T22" s="35" t="s">
        <v>167</v>
      </c>
      <c r="U22" s="35" t="str">
        <f t="shared" si="9"/>
        <v>Tubulação.Agua.Quente</v>
      </c>
      <c r="V22" s="35" t="s">
        <v>169</v>
      </c>
      <c r="W22" s="65" t="str">
        <f t="shared" si="3"/>
        <v>Key-HSA-22</v>
      </c>
      <c r="X22" s="29" t="s">
        <v>198</v>
      </c>
      <c r="Y22" s="29" t="s">
        <v>202</v>
      </c>
      <c r="Z22" s="34" t="s">
        <v>171</v>
      </c>
      <c r="AA22" s="30" t="str">
        <f t="shared" si="22"/>
        <v>Water heater</v>
      </c>
    </row>
    <row r="23" spans="1:27" ht="6.65" customHeight="1" x14ac:dyDescent="0.4">
      <c r="A23" s="32">
        <v>23</v>
      </c>
      <c r="B23" s="1" t="s">
        <v>44</v>
      </c>
      <c r="C23" s="47" t="s">
        <v>140</v>
      </c>
      <c r="D23" s="1" t="s">
        <v>252</v>
      </c>
      <c r="E23" s="47" t="s">
        <v>234</v>
      </c>
      <c r="F23" s="47" t="s">
        <v>146</v>
      </c>
      <c r="G23" s="37" t="s">
        <v>9</v>
      </c>
      <c r="H23" s="37" t="s">
        <v>9</v>
      </c>
      <c r="I23" s="37" t="s">
        <v>9</v>
      </c>
      <c r="J23" s="37" t="s">
        <v>9</v>
      </c>
      <c r="K23" s="37" t="s">
        <v>9</v>
      </c>
      <c r="L23" s="33" t="str">
        <f t="shared" si="5"/>
        <v>Sistema.Predial</v>
      </c>
      <c r="M23" s="33" t="str">
        <f t="shared" si="6"/>
        <v>Elementos.Hidráulica</v>
      </c>
      <c r="N23" s="33" t="str">
        <f t="shared" si="7"/>
        <v>Tubulação Agua Quente</v>
      </c>
      <c r="O23" s="30" t="str">
        <f t="shared" si="8"/>
        <v>Boiler</v>
      </c>
      <c r="P23" s="58" t="s">
        <v>146</v>
      </c>
      <c r="Q23" s="30" t="s">
        <v>146</v>
      </c>
      <c r="R23" s="34" t="s">
        <v>9</v>
      </c>
      <c r="S23" s="35" t="s">
        <v>168</v>
      </c>
      <c r="T23" s="35" t="s">
        <v>167</v>
      </c>
      <c r="U23" s="35" t="str">
        <f t="shared" si="9"/>
        <v>Tubulação.Agua.Quente</v>
      </c>
      <c r="V23" s="35" t="s">
        <v>169</v>
      </c>
      <c r="W23" s="65" t="str">
        <f t="shared" si="3"/>
        <v>Key-HSA-23</v>
      </c>
      <c r="X23" s="29" t="s">
        <v>198</v>
      </c>
      <c r="Y23" s="29" t="s">
        <v>202</v>
      </c>
      <c r="Z23" s="34" t="s">
        <v>171</v>
      </c>
      <c r="AA23" s="30" t="str">
        <f t="shared" si="22"/>
        <v>Boiler</v>
      </c>
    </row>
    <row r="24" spans="1:27" ht="6.65" customHeight="1" x14ac:dyDescent="0.4">
      <c r="A24" s="32">
        <v>24</v>
      </c>
      <c r="B24" s="1" t="s">
        <v>44</v>
      </c>
      <c r="C24" s="47" t="s">
        <v>140</v>
      </c>
      <c r="D24" s="1" t="s">
        <v>252</v>
      </c>
      <c r="E24" s="47" t="s">
        <v>234</v>
      </c>
      <c r="F24" s="47" t="s">
        <v>147</v>
      </c>
      <c r="G24" s="37" t="s">
        <v>9</v>
      </c>
      <c r="H24" s="37" t="s">
        <v>9</v>
      </c>
      <c r="I24" s="37" t="s">
        <v>9</v>
      </c>
      <c r="J24" s="37" t="s">
        <v>9</v>
      </c>
      <c r="K24" s="37" t="s">
        <v>9</v>
      </c>
      <c r="L24" s="33" t="str">
        <f t="shared" si="5"/>
        <v>Sistema.Predial</v>
      </c>
      <c r="M24" s="33" t="str">
        <f t="shared" si="6"/>
        <v>Elementos.Hidráulica</v>
      </c>
      <c r="N24" s="33" t="str">
        <f t="shared" si="7"/>
        <v>Tubulação Agua Quente</v>
      </c>
      <c r="O24" s="30" t="str">
        <f t="shared" si="8"/>
        <v>Caldeira</v>
      </c>
      <c r="P24" s="58" t="s">
        <v>147</v>
      </c>
      <c r="Q24" s="30" t="str">
        <f t="shared" si="23"/>
        <v>Caldera</v>
      </c>
      <c r="R24" s="34" t="s">
        <v>9</v>
      </c>
      <c r="S24" s="35" t="s">
        <v>168</v>
      </c>
      <c r="T24" s="35" t="s">
        <v>167</v>
      </c>
      <c r="U24" s="35" t="str">
        <f t="shared" si="9"/>
        <v>Tubulação.Agua.Quente</v>
      </c>
      <c r="V24" s="35" t="s">
        <v>169</v>
      </c>
      <c r="W24" s="65" t="str">
        <f t="shared" si="3"/>
        <v>Key-HSA-24</v>
      </c>
      <c r="X24" s="29" t="s">
        <v>198</v>
      </c>
      <c r="Y24" s="29" t="s">
        <v>203</v>
      </c>
      <c r="Z24" s="34" t="s">
        <v>171</v>
      </c>
      <c r="AA24" s="30" t="str">
        <f t="shared" si="22"/>
        <v>Boiler</v>
      </c>
    </row>
    <row r="25" spans="1:27" ht="6.65" customHeight="1" x14ac:dyDescent="0.4">
      <c r="A25" s="32">
        <v>25</v>
      </c>
      <c r="B25" s="1" t="s">
        <v>44</v>
      </c>
      <c r="C25" s="47" t="s">
        <v>140</v>
      </c>
      <c r="D25" s="1" t="s">
        <v>252</v>
      </c>
      <c r="E25" s="47" t="s">
        <v>234</v>
      </c>
      <c r="F25" s="47" t="s">
        <v>148</v>
      </c>
      <c r="G25" s="37" t="s">
        <v>9</v>
      </c>
      <c r="H25" s="37" t="s">
        <v>9</v>
      </c>
      <c r="I25" s="37" t="s">
        <v>9</v>
      </c>
      <c r="J25" s="37" t="s">
        <v>9</v>
      </c>
      <c r="K25" s="37" t="s">
        <v>9</v>
      </c>
      <c r="L25" s="33" t="str">
        <f t="shared" si="5"/>
        <v>Sistema.Predial</v>
      </c>
      <c r="M25" s="33" t="str">
        <f t="shared" si="6"/>
        <v>Elementos.Hidráulica</v>
      </c>
      <c r="N25" s="33" t="str">
        <f t="shared" si="7"/>
        <v>Tubulação Agua Quente</v>
      </c>
      <c r="O25" s="30" t="str">
        <f t="shared" si="8"/>
        <v>Tubulação.AQ</v>
      </c>
      <c r="P25" s="58" t="s">
        <v>155</v>
      </c>
      <c r="Q25" s="30" t="str">
        <f t="shared" si="23"/>
        <v>Tubería de agua caliente</v>
      </c>
      <c r="R25" s="34" t="s">
        <v>9</v>
      </c>
      <c r="S25" s="35" t="s">
        <v>168</v>
      </c>
      <c r="T25" s="35" t="s">
        <v>167</v>
      </c>
      <c r="U25" s="35" t="str">
        <f t="shared" si="9"/>
        <v>Tubulação.Agua.Quente</v>
      </c>
      <c r="V25" s="35" t="s">
        <v>169</v>
      </c>
      <c r="W25" s="65" t="str">
        <f t="shared" si="3"/>
        <v>Key-HSA-25</v>
      </c>
      <c r="X25" s="29" t="s">
        <v>114</v>
      </c>
      <c r="Y25" s="29" t="s">
        <v>113</v>
      </c>
      <c r="Z25" s="34" t="s">
        <v>171</v>
      </c>
      <c r="AA25" s="30" t="str">
        <f t="shared" si="22"/>
        <v>Hot Water Pipe</v>
      </c>
    </row>
    <row r="26" spans="1:27" ht="6.65" customHeight="1" x14ac:dyDescent="0.4">
      <c r="A26" s="32">
        <v>26</v>
      </c>
      <c r="B26" s="1" t="s">
        <v>44</v>
      </c>
      <c r="C26" s="47" t="s">
        <v>140</v>
      </c>
      <c r="D26" s="1" t="s">
        <v>252</v>
      </c>
      <c r="E26" s="47" t="s">
        <v>234</v>
      </c>
      <c r="F26" s="47" t="s">
        <v>143</v>
      </c>
      <c r="G26" s="37" t="s">
        <v>9</v>
      </c>
      <c r="H26" s="37" t="s">
        <v>9</v>
      </c>
      <c r="I26" s="37" t="s">
        <v>9</v>
      </c>
      <c r="J26" s="37" t="s">
        <v>9</v>
      </c>
      <c r="K26" s="37" t="s">
        <v>9</v>
      </c>
      <c r="L26" s="33" t="str">
        <f t="shared" si="5"/>
        <v>Sistema.Predial</v>
      </c>
      <c r="M26" s="33" t="str">
        <f t="shared" si="6"/>
        <v>Elementos.Hidráulica</v>
      </c>
      <c r="N26" s="33" t="str">
        <f t="shared" si="7"/>
        <v>Tubulação Agua Quente</v>
      </c>
      <c r="O26" s="30" t="str">
        <f t="shared" si="8"/>
        <v>Tubulação.Reuso</v>
      </c>
      <c r="P26" s="58" t="s">
        <v>156</v>
      </c>
      <c r="Q26" s="58" t="s">
        <v>157</v>
      </c>
      <c r="R26" s="34" t="s">
        <v>9</v>
      </c>
      <c r="S26" s="35" t="s">
        <v>168</v>
      </c>
      <c r="T26" s="35" t="s">
        <v>167</v>
      </c>
      <c r="U26" s="35" t="str">
        <f t="shared" si="9"/>
        <v>Tubulação.Agua.Quente</v>
      </c>
      <c r="V26" s="35" t="s">
        <v>169</v>
      </c>
      <c r="W26" s="65" t="str">
        <f t="shared" si="3"/>
        <v>Key-HSA-26</v>
      </c>
      <c r="X26" s="29" t="s">
        <v>114</v>
      </c>
      <c r="Y26" s="29" t="s">
        <v>113</v>
      </c>
      <c r="Z26" s="34" t="s">
        <v>171</v>
      </c>
      <c r="AA26" s="30" t="str">
        <f t="shared" si="22"/>
        <v>Reuse Water Pipe</v>
      </c>
    </row>
    <row r="27" spans="1:27" ht="6.65" customHeight="1" x14ac:dyDescent="0.4">
      <c r="A27" s="32">
        <v>27</v>
      </c>
      <c r="B27" s="1" t="s">
        <v>44</v>
      </c>
      <c r="C27" s="47" t="s">
        <v>140</v>
      </c>
      <c r="D27" s="1" t="s">
        <v>252</v>
      </c>
      <c r="E27" s="47" t="s">
        <v>235</v>
      </c>
      <c r="F27" s="47" t="s">
        <v>185</v>
      </c>
      <c r="G27" s="37" t="s">
        <v>9</v>
      </c>
      <c r="H27" s="37" t="s">
        <v>9</v>
      </c>
      <c r="I27" s="37" t="s">
        <v>9</v>
      </c>
      <c r="J27" s="37" t="s">
        <v>9</v>
      </c>
      <c r="K27" s="37" t="s">
        <v>9</v>
      </c>
      <c r="L27" s="33" t="str">
        <f t="shared" si="5"/>
        <v>Sistema.Predial</v>
      </c>
      <c r="M27" s="33" t="str">
        <f t="shared" si="6"/>
        <v>Elementos.Hidráulica</v>
      </c>
      <c r="N27" s="33" t="str">
        <f t="shared" si="7"/>
        <v>Peças Sanitárias</v>
      </c>
      <c r="O27" s="30" t="str">
        <f t="shared" si="8"/>
        <v>Vaso.Sanitário</v>
      </c>
      <c r="P27" s="58" t="s">
        <v>192</v>
      </c>
      <c r="Q27" s="30" t="s">
        <v>195</v>
      </c>
      <c r="R27" s="34" t="s">
        <v>9</v>
      </c>
      <c r="S27" s="35" t="s">
        <v>168</v>
      </c>
      <c r="T27" s="35" t="s">
        <v>167</v>
      </c>
      <c r="U27" s="35" t="str">
        <f t="shared" si="9"/>
        <v>Peças.Sanitárias</v>
      </c>
      <c r="V27" s="35" t="s">
        <v>169</v>
      </c>
      <c r="W27" s="65" t="str">
        <f t="shared" si="3"/>
        <v>Key-HSA-27</v>
      </c>
      <c r="X27" s="29" t="s">
        <v>198</v>
      </c>
      <c r="Y27" s="29" t="s">
        <v>199</v>
      </c>
      <c r="Z27" s="34" t="s">
        <v>171</v>
      </c>
      <c r="AA27" s="30" t="str">
        <f t="shared" si="22"/>
        <v>Toilet</v>
      </c>
    </row>
    <row r="28" spans="1:27" ht="6.65" customHeight="1" x14ac:dyDescent="0.4">
      <c r="A28" s="32">
        <v>28</v>
      </c>
      <c r="B28" s="1" t="s">
        <v>44</v>
      </c>
      <c r="C28" s="47" t="s">
        <v>140</v>
      </c>
      <c r="D28" s="1" t="s">
        <v>252</v>
      </c>
      <c r="E28" s="47" t="s">
        <v>235</v>
      </c>
      <c r="F28" s="47" t="s">
        <v>184</v>
      </c>
      <c r="G28" s="37" t="s">
        <v>9</v>
      </c>
      <c r="H28" s="37" t="s">
        <v>9</v>
      </c>
      <c r="I28" s="37" t="s">
        <v>9</v>
      </c>
      <c r="J28" s="37" t="s">
        <v>9</v>
      </c>
      <c r="K28" s="37" t="s">
        <v>9</v>
      </c>
      <c r="L28" s="33" t="str">
        <f t="shared" si="5"/>
        <v>Sistema.Predial</v>
      </c>
      <c r="M28" s="33" t="str">
        <f t="shared" si="6"/>
        <v>Elementos.Hidráulica</v>
      </c>
      <c r="N28" s="33" t="str">
        <f t="shared" si="7"/>
        <v>Peças Sanitárias</v>
      </c>
      <c r="O28" s="30" t="str">
        <f t="shared" si="8"/>
        <v>Bidet</v>
      </c>
      <c r="P28" s="58" t="s">
        <v>184</v>
      </c>
      <c r="Q28" s="30" t="str">
        <f t="shared" ref="Q28:Q32" si="24">_xlfn.TRANSLATE(P28,"pt","es")</f>
        <v>Bidé</v>
      </c>
      <c r="R28" s="34" t="s">
        <v>9</v>
      </c>
      <c r="S28" s="35" t="s">
        <v>168</v>
      </c>
      <c r="T28" s="35" t="s">
        <v>167</v>
      </c>
      <c r="U28" s="35" t="str">
        <f t="shared" si="9"/>
        <v>Peças.Sanitárias</v>
      </c>
      <c r="V28" s="35" t="s">
        <v>169</v>
      </c>
      <c r="W28" s="65" t="str">
        <f t="shared" si="3"/>
        <v>Key-HSA-28</v>
      </c>
      <c r="X28" s="29" t="s">
        <v>198</v>
      </c>
      <c r="Y28" s="29" t="s">
        <v>199</v>
      </c>
      <c r="Z28" s="34" t="s">
        <v>171</v>
      </c>
      <c r="AA28" s="30" t="str">
        <f t="shared" si="22"/>
        <v>Bidet</v>
      </c>
    </row>
    <row r="29" spans="1:27" ht="6.65" customHeight="1" x14ac:dyDescent="0.4">
      <c r="A29" s="32">
        <v>29</v>
      </c>
      <c r="B29" s="1" t="s">
        <v>44</v>
      </c>
      <c r="C29" s="47" t="s">
        <v>140</v>
      </c>
      <c r="D29" s="1" t="s">
        <v>252</v>
      </c>
      <c r="E29" s="47" t="s">
        <v>235</v>
      </c>
      <c r="F29" s="47" t="s">
        <v>187</v>
      </c>
      <c r="G29" s="37" t="s">
        <v>9</v>
      </c>
      <c r="H29" s="37" t="s">
        <v>9</v>
      </c>
      <c r="I29" s="37" t="s">
        <v>9</v>
      </c>
      <c r="J29" s="37" t="s">
        <v>9</v>
      </c>
      <c r="K29" s="37" t="s">
        <v>9</v>
      </c>
      <c r="L29" s="33" t="str">
        <f t="shared" si="5"/>
        <v>Sistema.Predial</v>
      </c>
      <c r="M29" s="33" t="str">
        <f t="shared" si="6"/>
        <v>Elementos.Hidráulica</v>
      </c>
      <c r="N29" s="33" t="str">
        <f t="shared" si="7"/>
        <v>Peças Sanitárias</v>
      </c>
      <c r="O29" s="30" t="str">
        <f t="shared" si="8"/>
        <v>Pia.Sanitária</v>
      </c>
      <c r="P29" s="58" t="s">
        <v>193</v>
      </c>
      <c r="Q29" s="30" t="s">
        <v>197</v>
      </c>
      <c r="R29" s="34" t="s">
        <v>9</v>
      </c>
      <c r="S29" s="35" t="s">
        <v>168</v>
      </c>
      <c r="T29" s="35" t="s">
        <v>167</v>
      </c>
      <c r="U29" s="35" t="str">
        <f t="shared" si="9"/>
        <v>Peças.Sanitárias</v>
      </c>
      <c r="V29" s="35" t="s">
        <v>169</v>
      </c>
      <c r="W29" s="65" t="str">
        <f t="shared" si="3"/>
        <v>Key-HSA-29</v>
      </c>
      <c r="X29" s="29" t="s">
        <v>198</v>
      </c>
      <c r="Y29" s="29" t="s">
        <v>199</v>
      </c>
      <c r="Z29" s="34" t="s">
        <v>171</v>
      </c>
      <c r="AA29" s="30" t="str">
        <f t="shared" si="22"/>
        <v>Sanitary Sink</v>
      </c>
    </row>
    <row r="30" spans="1:27" ht="6.65" customHeight="1" x14ac:dyDescent="0.4">
      <c r="A30" s="32">
        <v>30</v>
      </c>
      <c r="B30" s="1" t="s">
        <v>44</v>
      </c>
      <c r="C30" s="47" t="s">
        <v>140</v>
      </c>
      <c r="D30" s="1" t="s">
        <v>252</v>
      </c>
      <c r="E30" s="47" t="s">
        <v>235</v>
      </c>
      <c r="F30" s="47" t="s">
        <v>183</v>
      </c>
      <c r="G30" s="37" t="s">
        <v>9</v>
      </c>
      <c r="H30" s="37" t="s">
        <v>9</v>
      </c>
      <c r="I30" s="37" t="s">
        <v>9</v>
      </c>
      <c r="J30" s="37" t="s">
        <v>9</v>
      </c>
      <c r="K30" s="37" t="s">
        <v>9</v>
      </c>
      <c r="L30" s="33" t="str">
        <f t="shared" si="5"/>
        <v>Sistema.Predial</v>
      </c>
      <c r="M30" s="33" t="str">
        <f t="shared" si="6"/>
        <v>Elementos.Hidráulica</v>
      </c>
      <c r="N30" s="33" t="str">
        <f t="shared" si="7"/>
        <v>Peças Sanitárias</v>
      </c>
      <c r="O30" s="30" t="str">
        <f t="shared" si="8"/>
        <v>Lavatório</v>
      </c>
      <c r="P30" s="58" t="s">
        <v>183</v>
      </c>
      <c r="Q30" s="30" t="str">
        <f t="shared" si="24"/>
        <v>Lavabo</v>
      </c>
      <c r="R30" s="34" t="s">
        <v>9</v>
      </c>
      <c r="S30" s="35" t="s">
        <v>168</v>
      </c>
      <c r="T30" s="35" t="s">
        <v>167</v>
      </c>
      <c r="U30" s="35" t="str">
        <f t="shared" si="9"/>
        <v>Peças.Sanitárias</v>
      </c>
      <c r="V30" s="35" t="s">
        <v>169</v>
      </c>
      <c r="W30" s="65" t="str">
        <f t="shared" si="3"/>
        <v>Key-HSA-30</v>
      </c>
      <c r="X30" s="29" t="s">
        <v>198</v>
      </c>
      <c r="Y30" s="29" t="s">
        <v>199</v>
      </c>
      <c r="Z30" s="34" t="s">
        <v>171</v>
      </c>
      <c r="AA30" s="30" t="str">
        <f t="shared" si="22"/>
        <v>Washbasin</v>
      </c>
    </row>
    <row r="31" spans="1:27" ht="6.65" customHeight="1" x14ac:dyDescent="0.4">
      <c r="A31" s="32">
        <v>31</v>
      </c>
      <c r="B31" s="1" t="s">
        <v>44</v>
      </c>
      <c r="C31" s="47" t="s">
        <v>140</v>
      </c>
      <c r="D31" s="1" t="s">
        <v>252</v>
      </c>
      <c r="E31" s="47" t="s">
        <v>235</v>
      </c>
      <c r="F31" s="47" t="s">
        <v>186</v>
      </c>
      <c r="G31" s="37" t="s">
        <v>9</v>
      </c>
      <c r="H31" s="37" t="s">
        <v>9</v>
      </c>
      <c r="I31" s="37" t="s">
        <v>9</v>
      </c>
      <c r="J31" s="37" t="s">
        <v>9</v>
      </c>
      <c r="K31" s="37" t="s">
        <v>9</v>
      </c>
      <c r="L31" s="33" t="str">
        <f t="shared" ref="L31" si="25">CONCATENATE("", C31)</f>
        <v>Sistema.Predial</v>
      </c>
      <c r="M31" s="33" t="str">
        <f t="shared" ref="M31" si="26">CONCATENATE("", D31)</f>
        <v>Elementos.Hidráulica</v>
      </c>
      <c r="N31" s="33" t="str">
        <f t="shared" ref="N31" si="27">(SUBSTITUTE(SUBSTITUTE(CONCATENATE("",E31),"."," ")," De "," de "))</f>
        <v>Peças Sanitárias</v>
      </c>
      <c r="O31" s="30" t="str">
        <f t="shared" si="8"/>
        <v>Cuba.Sanitária</v>
      </c>
      <c r="P31" s="58" t="s">
        <v>194</v>
      </c>
      <c r="Q31" s="30" t="s">
        <v>196</v>
      </c>
      <c r="R31" s="34" t="s">
        <v>9</v>
      </c>
      <c r="S31" s="35" t="s">
        <v>168</v>
      </c>
      <c r="T31" s="35" t="s">
        <v>167</v>
      </c>
      <c r="U31" s="35" t="str">
        <f t="shared" ref="U31" si="28">SUBSTITUTE(E31, "_", " ")</f>
        <v>Peças.Sanitárias</v>
      </c>
      <c r="V31" s="35" t="s">
        <v>169</v>
      </c>
      <c r="W31" s="65" t="str">
        <f t="shared" si="3"/>
        <v>Key-HSA-31</v>
      </c>
      <c r="X31" s="29" t="s">
        <v>198</v>
      </c>
      <c r="Y31" s="29" t="s">
        <v>199</v>
      </c>
      <c r="Z31" s="34" t="s">
        <v>171</v>
      </c>
      <c r="AA31" s="30" t="str">
        <f t="shared" ref="AA31" si="29">_xlfn.TRANSLATE(P31,"pt","en")</f>
        <v>Sanitary Bowl</v>
      </c>
    </row>
    <row r="32" spans="1:27" ht="6.65" customHeight="1" x14ac:dyDescent="0.4">
      <c r="A32" s="32">
        <v>32</v>
      </c>
      <c r="B32" s="1" t="s">
        <v>44</v>
      </c>
      <c r="C32" s="47" t="s">
        <v>140</v>
      </c>
      <c r="D32" s="1" t="s">
        <v>252</v>
      </c>
      <c r="E32" s="47" t="s">
        <v>235</v>
      </c>
      <c r="F32" s="47" t="s">
        <v>188</v>
      </c>
      <c r="G32" s="37" t="s">
        <v>9</v>
      </c>
      <c r="H32" s="37" t="s">
        <v>9</v>
      </c>
      <c r="I32" s="37" t="s">
        <v>9</v>
      </c>
      <c r="J32" s="37" t="s">
        <v>9</v>
      </c>
      <c r="K32" s="37" t="s">
        <v>9</v>
      </c>
      <c r="L32" s="33" t="str">
        <f t="shared" si="5"/>
        <v>Sistema.Predial</v>
      </c>
      <c r="M32" s="33" t="str">
        <f t="shared" si="6"/>
        <v>Elementos.Hidráulica</v>
      </c>
      <c r="N32" s="33" t="str">
        <f t="shared" si="7"/>
        <v>Peças Sanitárias</v>
      </c>
      <c r="O32" s="30" t="str">
        <f t="shared" si="8"/>
        <v>Banheira</v>
      </c>
      <c r="P32" s="58" t="s">
        <v>188</v>
      </c>
      <c r="Q32" s="30" t="str">
        <f t="shared" si="24"/>
        <v>Bañera</v>
      </c>
      <c r="R32" s="34" t="s">
        <v>9</v>
      </c>
      <c r="S32" s="35" t="s">
        <v>168</v>
      </c>
      <c r="T32" s="35" t="s">
        <v>167</v>
      </c>
      <c r="U32" s="35" t="str">
        <f t="shared" si="9"/>
        <v>Peças.Sanitárias</v>
      </c>
      <c r="V32" s="35" t="s">
        <v>169</v>
      </c>
      <c r="W32" s="65" t="str">
        <f t="shared" si="3"/>
        <v>Key-HSA-32</v>
      </c>
      <c r="X32" s="29" t="s">
        <v>198</v>
      </c>
      <c r="Y32" s="29" t="s">
        <v>199</v>
      </c>
      <c r="Z32" s="34" t="s">
        <v>171</v>
      </c>
      <c r="AA32" s="30" t="str">
        <f t="shared" si="22"/>
        <v>Bathtub</v>
      </c>
    </row>
    <row r="33" spans="1:27" ht="6.65" customHeight="1" x14ac:dyDescent="0.4">
      <c r="A33" s="32">
        <v>33</v>
      </c>
      <c r="B33" s="1" t="s">
        <v>44</v>
      </c>
      <c r="C33" s="47" t="s">
        <v>140</v>
      </c>
      <c r="D33" s="1" t="s">
        <v>252</v>
      </c>
      <c r="E33" s="47" t="s">
        <v>236</v>
      </c>
      <c r="F33" s="47" t="s">
        <v>115</v>
      </c>
      <c r="G33" s="37" t="s">
        <v>9</v>
      </c>
      <c r="H33" s="37" t="s">
        <v>9</v>
      </c>
      <c r="I33" s="37" t="s">
        <v>9</v>
      </c>
      <c r="J33" s="37" t="s">
        <v>9</v>
      </c>
      <c r="K33" s="37" t="s">
        <v>9</v>
      </c>
      <c r="L33" s="33" t="str">
        <f t="shared" ref="L33" si="30">CONCATENATE("", C33)</f>
        <v>Sistema.Predial</v>
      </c>
      <c r="M33" s="33" t="str">
        <f t="shared" ref="M33" si="31">CONCATENATE("", D33)</f>
        <v>Elementos.Hidráulica</v>
      </c>
      <c r="N33" s="33" t="str">
        <f t="shared" ref="N33" si="32">(SUBSTITUTE(SUBSTITUTE(CONCATENATE("",E33),"."," ")," De "," de "))</f>
        <v>Esgoto Coletores</v>
      </c>
      <c r="O33" s="30" t="str">
        <f t="shared" si="8"/>
        <v>Ventilação.Esgoto</v>
      </c>
      <c r="P33" s="58" t="s">
        <v>163</v>
      </c>
      <c r="Q33" s="58" t="s">
        <v>166</v>
      </c>
      <c r="R33" s="34" t="s">
        <v>9</v>
      </c>
      <c r="S33" s="35" t="s">
        <v>168</v>
      </c>
      <c r="T33" s="35" t="s">
        <v>167</v>
      </c>
      <c r="U33" s="35" t="str">
        <f t="shared" ref="U33" si="33">SUBSTITUTE(E33, "_", " ")</f>
        <v>Esgoto.Coletores</v>
      </c>
      <c r="V33" s="35" t="s">
        <v>169</v>
      </c>
      <c r="W33" s="65" t="str">
        <f t="shared" si="3"/>
        <v>Key-HSA-33</v>
      </c>
      <c r="X33" s="29" t="s">
        <v>114</v>
      </c>
      <c r="Y33" s="29" t="s">
        <v>113</v>
      </c>
      <c r="Z33" s="34" t="s">
        <v>134</v>
      </c>
      <c r="AA33" s="30" t="str">
        <f>_xlfn.TRANSLATE(P33,"pt","en")</f>
        <v>Sewer Ventilation</v>
      </c>
    </row>
    <row r="34" spans="1:27" ht="6.65" customHeight="1" x14ac:dyDescent="0.4">
      <c r="A34" s="32">
        <v>34</v>
      </c>
      <c r="B34" s="1" t="s">
        <v>44</v>
      </c>
      <c r="C34" s="47" t="s">
        <v>140</v>
      </c>
      <c r="D34" s="1" t="s">
        <v>252</v>
      </c>
      <c r="E34" s="47" t="s">
        <v>236</v>
      </c>
      <c r="F34" s="47" t="s">
        <v>177</v>
      </c>
      <c r="G34" s="37" t="s">
        <v>9</v>
      </c>
      <c r="H34" s="37" t="s">
        <v>9</v>
      </c>
      <c r="I34" s="37" t="s">
        <v>9</v>
      </c>
      <c r="J34" s="37" t="s">
        <v>9</v>
      </c>
      <c r="K34" s="37" t="s">
        <v>9</v>
      </c>
      <c r="L34" s="33" t="str">
        <f t="shared" si="5"/>
        <v>Sistema.Predial</v>
      </c>
      <c r="M34" s="33" t="str">
        <f t="shared" si="6"/>
        <v>Elementos.Hidráulica</v>
      </c>
      <c r="N34" s="33" t="str">
        <f t="shared" si="7"/>
        <v>Esgoto Coletores</v>
      </c>
      <c r="O34" s="30" t="str">
        <f t="shared" si="8"/>
        <v>Ralo.Seco</v>
      </c>
      <c r="P34" s="58" t="s">
        <v>117</v>
      </c>
      <c r="Q34" s="30" t="s">
        <v>127</v>
      </c>
      <c r="R34" s="34" t="s">
        <v>9</v>
      </c>
      <c r="S34" s="35" t="s">
        <v>168</v>
      </c>
      <c r="T34" s="35" t="s">
        <v>167</v>
      </c>
      <c r="U34" s="35" t="str">
        <f t="shared" si="9"/>
        <v>Esgoto.Coletores</v>
      </c>
      <c r="V34" s="35" t="s">
        <v>169</v>
      </c>
      <c r="W34" s="65" t="str">
        <f t="shared" si="3"/>
        <v>Key-HSA-34</v>
      </c>
      <c r="X34" s="29" t="s">
        <v>114</v>
      </c>
      <c r="Y34" s="29" t="s">
        <v>113</v>
      </c>
      <c r="Z34" s="34" t="s">
        <v>134</v>
      </c>
      <c r="AA34" s="30" t="str">
        <f t="shared" ref="AA34:AA44" si="34">_xlfn.TRANSLATE(P34,"pt","en")</f>
        <v>Local Collector as a Dry Drain or Basin Valve</v>
      </c>
    </row>
    <row r="35" spans="1:27" ht="6.65" customHeight="1" x14ac:dyDescent="0.4">
      <c r="A35" s="32">
        <v>35</v>
      </c>
      <c r="B35" s="1" t="s">
        <v>44</v>
      </c>
      <c r="C35" s="47" t="s">
        <v>140</v>
      </c>
      <c r="D35" s="1" t="s">
        <v>252</v>
      </c>
      <c r="E35" s="47" t="s">
        <v>236</v>
      </c>
      <c r="F35" s="47" t="s">
        <v>176</v>
      </c>
      <c r="G35" s="37" t="s">
        <v>9</v>
      </c>
      <c r="H35" s="37" t="s">
        <v>9</v>
      </c>
      <c r="I35" s="37" t="s">
        <v>9</v>
      </c>
      <c r="J35" s="37" t="s">
        <v>9</v>
      </c>
      <c r="K35" s="37" t="s">
        <v>9</v>
      </c>
      <c r="L35" s="33" t="str">
        <f t="shared" si="5"/>
        <v>Sistema.Predial</v>
      </c>
      <c r="M35" s="33" t="str">
        <f t="shared" si="6"/>
        <v>Elementos.Hidráulica</v>
      </c>
      <c r="N35" s="33" t="str">
        <f t="shared" si="7"/>
        <v>Esgoto Coletores</v>
      </c>
      <c r="O35" s="30" t="str">
        <f t="shared" si="8"/>
        <v>Ralo.Sifonado</v>
      </c>
      <c r="P35" s="58" t="s">
        <v>116</v>
      </c>
      <c r="Q35" s="30" t="s">
        <v>128</v>
      </c>
      <c r="R35" s="34" t="s">
        <v>9</v>
      </c>
      <c r="S35" s="35" t="s">
        <v>168</v>
      </c>
      <c r="T35" s="35" t="s">
        <v>167</v>
      </c>
      <c r="U35" s="35" t="str">
        <f t="shared" si="9"/>
        <v>Esgoto.Coletores</v>
      </c>
      <c r="V35" s="35" t="s">
        <v>169</v>
      </c>
      <c r="W35" s="65" t="str">
        <f t="shared" si="3"/>
        <v>Key-HSA-35</v>
      </c>
      <c r="X35" s="29" t="s">
        <v>114</v>
      </c>
      <c r="Y35" s="29" t="s">
        <v>113</v>
      </c>
      <c r="Z35" s="34" t="s">
        <v>134</v>
      </c>
      <c r="AA35" s="30" t="str">
        <f t="shared" si="34"/>
        <v>Siphoned Collector as a Siphoned Drain</v>
      </c>
    </row>
    <row r="36" spans="1:27" ht="6.65" customHeight="1" x14ac:dyDescent="0.4">
      <c r="A36" s="32">
        <v>36</v>
      </c>
      <c r="B36" s="1" t="s">
        <v>44</v>
      </c>
      <c r="C36" s="47" t="s">
        <v>140</v>
      </c>
      <c r="D36" s="1" t="s">
        <v>252</v>
      </c>
      <c r="E36" s="47" t="s">
        <v>236</v>
      </c>
      <c r="F36" s="47" t="s">
        <v>106</v>
      </c>
      <c r="G36" s="37" t="s">
        <v>9</v>
      </c>
      <c r="H36" s="37" t="s">
        <v>9</v>
      </c>
      <c r="I36" s="37" t="s">
        <v>9</v>
      </c>
      <c r="J36" s="37" t="s">
        <v>9</v>
      </c>
      <c r="K36" s="37" t="s">
        <v>9</v>
      </c>
      <c r="L36" s="33" t="str">
        <f t="shared" si="5"/>
        <v>Sistema.Predial</v>
      </c>
      <c r="M36" s="33" t="str">
        <f t="shared" si="6"/>
        <v>Elementos.Hidráulica</v>
      </c>
      <c r="N36" s="33" t="str">
        <f t="shared" si="7"/>
        <v>Esgoto Coletores</v>
      </c>
      <c r="O36" s="30" t="str">
        <f t="shared" si="8"/>
        <v>Coletor.Andar</v>
      </c>
      <c r="P36" s="58" t="s">
        <v>118</v>
      </c>
      <c r="Q36" s="30" t="s">
        <v>260</v>
      </c>
      <c r="R36" s="34" t="s">
        <v>9</v>
      </c>
      <c r="S36" s="35" t="s">
        <v>168</v>
      </c>
      <c r="T36" s="35" t="s">
        <v>167</v>
      </c>
      <c r="U36" s="35" t="str">
        <f t="shared" si="9"/>
        <v>Esgoto.Coletores</v>
      </c>
      <c r="V36" s="35" t="s">
        <v>169</v>
      </c>
      <c r="W36" s="65" t="str">
        <f t="shared" si="3"/>
        <v>Key-HSA-36</v>
      </c>
      <c r="X36" s="29" t="s">
        <v>114</v>
      </c>
      <c r="Y36" s="29" t="s">
        <v>113</v>
      </c>
      <c r="Z36" s="34" t="s">
        <v>134</v>
      </c>
      <c r="AA36" s="30" t="str">
        <f t="shared" si="34"/>
        <v>Floor Horizontal Collection Branch</v>
      </c>
    </row>
    <row r="37" spans="1:27" ht="6.65" customHeight="1" x14ac:dyDescent="0.4">
      <c r="A37" s="32">
        <v>37</v>
      </c>
      <c r="B37" s="1" t="s">
        <v>44</v>
      </c>
      <c r="C37" s="47" t="s">
        <v>140</v>
      </c>
      <c r="D37" s="1" t="s">
        <v>252</v>
      </c>
      <c r="E37" s="47" t="s">
        <v>236</v>
      </c>
      <c r="F37" s="47" t="s">
        <v>105</v>
      </c>
      <c r="G37" s="37" t="s">
        <v>9</v>
      </c>
      <c r="H37" s="37" t="s">
        <v>9</v>
      </c>
      <c r="I37" s="37" t="s">
        <v>9</v>
      </c>
      <c r="J37" s="37" t="s">
        <v>9</v>
      </c>
      <c r="K37" s="37" t="s">
        <v>9</v>
      </c>
      <c r="L37" s="33" t="str">
        <f t="shared" si="5"/>
        <v>Sistema.Predial</v>
      </c>
      <c r="M37" s="33" t="str">
        <f t="shared" si="6"/>
        <v>Elementos.Hidráulica</v>
      </c>
      <c r="N37" s="33" t="str">
        <f t="shared" si="7"/>
        <v>Esgoto Coletores</v>
      </c>
      <c r="O37" s="30" t="str">
        <f t="shared" si="8"/>
        <v>Coletor.Predial</v>
      </c>
      <c r="P37" s="58" t="s">
        <v>119</v>
      </c>
      <c r="Q37" s="30" t="s">
        <v>261</v>
      </c>
      <c r="R37" s="34" t="s">
        <v>9</v>
      </c>
      <c r="S37" s="35" t="s">
        <v>168</v>
      </c>
      <c r="T37" s="35" t="s">
        <v>167</v>
      </c>
      <c r="U37" s="35" t="str">
        <f t="shared" si="9"/>
        <v>Esgoto.Coletores</v>
      </c>
      <c r="V37" s="35" t="s">
        <v>169</v>
      </c>
      <c r="W37" s="65" t="str">
        <f t="shared" si="3"/>
        <v>Key-HSA-37</v>
      </c>
      <c r="X37" s="29" t="s">
        <v>114</v>
      </c>
      <c r="Y37" s="29" t="s">
        <v>113</v>
      </c>
      <c r="Z37" s="34" t="s">
        <v>134</v>
      </c>
      <c r="AA37" s="30" t="str">
        <f t="shared" si="34"/>
        <v>Horizontal collection branch of the building</v>
      </c>
    </row>
    <row r="38" spans="1:27" ht="6.65" customHeight="1" x14ac:dyDescent="0.4">
      <c r="A38" s="32">
        <v>38</v>
      </c>
      <c r="B38" s="1" t="s">
        <v>44</v>
      </c>
      <c r="C38" s="47" t="s">
        <v>140</v>
      </c>
      <c r="D38" s="1" t="s">
        <v>252</v>
      </c>
      <c r="E38" s="47" t="s">
        <v>236</v>
      </c>
      <c r="F38" s="47" t="s">
        <v>107</v>
      </c>
      <c r="G38" s="37" t="s">
        <v>9</v>
      </c>
      <c r="H38" s="37" t="s">
        <v>9</v>
      </c>
      <c r="I38" s="37" t="s">
        <v>9</v>
      </c>
      <c r="J38" s="37" t="s">
        <v>9</v>
      </c>
      <c r="K38" s="37" t="s">
        <v>9</v>
      </c>
      <c r="L38" s="33" t="str">
        <f t="shared" ref="L38" si="35">CONCATENATE("", C38)</f>
        <v>Sistema.Predial</v>
      </c>
      <c r="M38" s="33" t="str">
        <f t="shared" ref="M38" si="36">CONCATENATE("", D38)</f>
        <v>Elementos.Hidráulica</v>
      </c>
      <c r="N38" s="33" t="str">
        <f t="shared" ref="N38" si="37">(SUBSTITUTE(SUBSTITUTE(CONCATENATE("",E38),"."," ")," De "," de "))</f>
        <v>Esgoto Coletores</v>
      </c>
      <c r="O38" s="30" t="str">
        <f t="shared" si="8"/>
        <v>Tubo.de.Queda</v>
      </c>
      <c r="P38" s="58" t="s">
        <v>120</v>
      </c>
      <c r="Q38" s="30" t="s">
        <v>262</v>
      </c>
      <c r="R38" s="34" t="s">
        <v>9</v>
      </c>
      <c r="S38" s="35" t="s">
        <v>168</v>
      </c>
      <c r="T38" s="35" t="s">
        <v>167</v>
      </c>
      <c r="U38" s="35" t="str">
        <f t="shared" ref="U38" si="38">SUBSTITUTE(E38, "_", " ")</f>
        <v>Esgoto.Coletores</v>
      </c>
      <c r="V38" s="35" t="s">
        <v>169</v>
      </c>
      <c r="W38" s="65" t="str">
        <f t="shared" si="3"/>
        <v>Key-HSA-38</v>
      </c>
      <c r="X38" s="29" t="s">
        <v>114</v>
      </c>
      <c r="Y38" s="29" t="s">
        <v>113</v>
      </c>
      <c r="Z38" s="34" t="s">
        <v>134</v>
      </c>
      <c r="AA38" s="30" t="str">
        <f t="shared" si="34"/>
        <v>Downpipe</v>
      </c>
    </row>
    <row r="39" spans="1:27" ht="6.65" customHeight="1" x14ac:dyDescent="0.4">
      <c r="A39" s="32">
        <v>39</v>
      </c>
      <c r="B39" s="1" t="s">
        <v>44</v>
      </c>
      <c r="C39" s="47" t="s">
        <v>140</v>
      </c>
      <c r="D39" s="1" t="s">
        <v>252</v>
      </c>
      <c r="E39" s="47" t="s">
        <v>236</v>
      </c>
      <c r="F39" s="47" t="s">
        <v>231</v>
      </c>
      <c r="G39" s="37" t="s">
        <v>9</v>
      </c>
      <c r="H39" s="37" t="s">
        <v>9</v>
      </c>
      <c r="I39" s="37" t="s">
        <v>9</v>
      </c>
      <c r="J39" s="37" t="s">
        <v>9</v>
      </c>
      <c r="K39" s="37" t="s">
        <v>9</v>
      </c>
      <c r="L39" s="33" t="str">
        <f t="shared" ref="L39" si="39">CONCATENATE("", C39)</f>
        <v>Sistema.Predial</v>
      </c>
      <c r="M39" s="33" t="str">
        <f t="shared" ref="M39" si="40">CONCATENATE("", D39)</f>
        <v>Elementos.Hidráulica</v>
      </c>
      <c r="N39" s="33" t="str">
        <f t="shared" ref="N39" si="41">(SUBSTITUTE(SUBSTITUTE(CONCATENATE("",E39),"."," ")," De "," de "))</f>
        <v>Esgoto Coletores</v>
      </c>
      <c r="O39" s="30" t="str">
        <f t="shared" si="8"/>
        <v>Fecho.Hidráulico</v>
      </c>
      <c r="P39" s="58" t="s">
        <v>121</v>
      </c>
      <c r="Q39" s="30" t="s">
        <v>129</v>
      </c>
      <c r="R39" s="34" t="s">
        <v>9</v>
      </c>
      <c r="S39" s="35" t="s">
        <v>168</v>
      </c>
      <c r="T39" s="35" t="s">
        <v>167</v>
      </c>
      <c r="U39" s="35" t="str">
        <f t="shared" ref="U39" si="42">SUBSTITUTE(E39, "_", " ")</f>
        <v>Esgoto.Coletores</v>
      </c>
      <c r="V39" s="35" t="s">
        <v>169</v>
      </c>
      <c r="W39" s="65" t="str">
        <f t="shared" si="3"/>
        <v>Key-HSA-39</v>
      </c>
      <c r="X39" s="29" t="s">
        <v>114</v>
      </c>
      <c r="Y39" s="29" t="s">
        <v>113</v>
      </c>
      <c r="Z39" s="34" t="s">
        <v>134</v>
      </c>
      <c r="AA39" s="30" t="str">
        <f t="shared" si="34"/>
        <v>Siphons</v>
      </c>
    </row>
    <row r="40" spans="1:27" ht="6.65" customHeight="1" x14ac:dyDescent="0.4">
      <c r="A40" s="32">
        <v>40</v>
      </c>
      <c r="B40" s="1" t="s">
        <v>44</v>
      </c>
      <c r="C40" s="47" t="s">
        <v>140</v>
      </c>
      <c r="D40" s="1" t="s">
        <v>252</v>
      </c>
      <c r="E40" s="47" t="s">
        <v>237</v>
      </c>
      <c r="F40" s="47" t="s">
        <v>111</v>
      </c>
      <c r="G40" s="37" t="s">
        <v>9</v>
      </c>
      <c r="H40" s="37" t="s">
        <v>9</v>
      </c>
      <c r="I40" s="37" t="s">
        <v>9</v>
      </c>
      <c r="J40" s="37" t="s">
        <v>9</v>
      </c>
      <c r="K40" s="37" t="s">
        <v>9</v>
      </c>
      <c r="L40" s="33" t="str">
        <f t="shared" ref="L40:L44" si="43">CONCATENATE("", C40)</f>
        <v>Sistema.Predial</v>
      </c>
      <c r="M40" s="33" t="str">
        <f t="shared" ref="M40:M44" si="44">CONCATENATE("", D40)</f>
        <v>Elementos.Hidráulica</v>
      </c>
      <c r="N40" s="33" t="str">
        <f t="shared" ref="N40:N44" si="45">(SUBSTITUTE(SUBSTITUTE(CONCATENATE("",E40),"."," ")," De "," de "))</f>
        <v>Esgoto Visitas</v>
      </c>
      <c r="O40" s="30" t="str">
        <f t="shared" si="8"/>
        <v>Caixa.de.Areia</v>
      </c>
      <c r="P40" s="58" t="s">
        <v>122</v>
      </c>
      <c r="Q40" s="30" t="s">
        <v>130</v>
      </c>
      <c r="R40" s="34" t="s">
        <v>9</v>
      </c>
      <c r="S40" s="35" t="s">
        <v>168</v>
      </c>
      <c r="T40" s="35" t="s">
        <v>167</v>
      </c>
      <c r="U40" s="35" t="str">
        <f t="shared" ref="U40:U44" si="46">SUBSTITUTE(E40, "_", " ")</f>
        <v>Esgoto.Visitas</v>
      </c>
      <c r="V40" s="35" t="s">
        <v>169</v>
      </c>
      <c r="W40" s="65" t="str">
        <f t="shared" si="3"/>
        <v>Key-HSA-40</v>
      </c>
      <c r="X40" s="29" t="s">
        <v>114</v>
      </c>
      <c r="Y40" s="29" t="s">
        <v>113</v>
      </c>
      <c r="Z40" s="34" t="s">
        <v>134</v>
      </c>
      <c r="AA40" s="30" t="str">
        <f t="shared" si="34"/>
        <v>Sandboxes</v>
      </c>
    </row>
    <row r="41" spans="1:27" ht="6.65" customHeight="1" x14ac:dyDescent="0.4">
      <c r="A41" s="32">
        <v>41</v>
      </c>
      <c r="B41" s="1" t="s">
        <v>44</v>
      </c>
      <c r="C41" s="47" t="s">
        <v>140</v>
      </c>
      <c r="D41" s="1" t="s">
        <v>252</v>
      </c>
      <c r="E41" s="47" t="s">
        <v>237</v>
      </c>
      <c r="F41" s="47" t="s">
        <v>110</v>
      </c>
      <c r="G41" s="37" t="s">
        <v>9</v>
      </c>
      <c r="H41" s="37" t="s">
        <v>9</v>
      </c>
      <c r="I41" s="37" t="s">
        <v>9</v>
      </c>
      <c r="J41" s="37" t="s">
        <v>9</v>
      </c>
      <c r="K41" s="37" t="s">
        <v>9</v>
      </c>
      <c r="L41" s="33" t="str">
        <f t="shared" si="43"/>
        <v>Sistema.Predial</v>
      </c>
      <c r="M41" s="33" t="str">
        <f t="shared" si="44"/>
        <v>Elementos.Hidráulica</v>
      </c>
      <c r="N41" s="33" t="str">
        <f t="shared" si="45"/>
        <v>Esgoto Visitas</v>
      </c>
      <c r="O41" s="30" t="str">
        <f t="shared" si="8"/>
        <v>Caixa.de.Gordura</v>
      </c>
      <c r="P41" s="58" t="s">
        <v>123</v>
      </c>
      <c r="Q41" s="30" t="s">
        <v>131</v>
      </c>
      <c r="R41" s="34" t="s">
        <v>9</v>
      </c>
      <c r="S41" s="35" t="s">
        <v>168</v>
      </c>
      <c r="T41" s="35" t="s">
        <v>167</v>
      </c>
      <c r="U41" s="35" t="str">
        <f t="shared" si="46"/>
        <v>Esgoto.Visitas</v>
      </c>
      <c r="V41" s="35" t="s">
        <v>169</v>
      </c>
      <c r="W41" s="65" t="str">
        <f t="shared" si="3"/>
        <v>Key-HSA-41</v>
      </c>
      <c r="X41" s="29" t="s">
        <v>114</v>
      </c>
      <c r="Y41" s="29" t="s">
        <v>113</v>
      </c>
      <c r="Z41" s="34" t="s">
        <v>134</v>
      </c>
      <c r="AA41" s="30" t="str">
        <f t="shared" si="34"/>
        <v>Grease Traps</v>
      </c>
    </row>
    <row r="42" spans="1:27" ht="6.65" customHeight="1" x14ac:dyDescent="0.4">
      <c r="A42" s="32">
        <v>42</v>
      </c>
      <c r="B42" s="1" t="s">
        <v>44</v>
      </c>
      <c r="C42" s="47" t="s">
        <v>140</v>
      </c>
      <c r="D42" s="1" t="s">
        <v>252</v>
      </c>
      <c r="E42" s="47" t="s">
        <v>237</v>
      </c>
      <c r="F42" s="47" t="s">
        <v>108</v>
      </c>
      <c r="G42" s="37" t="s">
        <v>9</v>
      </c>
      <c r="H42" s="37" t="s">
        <v>9</v>
      </c>
      <c r="I42" s="37" t="s">
        <v>9</v>
      </c>
      <c r="J42" s="37" t="s">
        <v>9</v>
      </c>
      <c r="K42" s="37" t="s">
        <v>9</v>
      </c>
      <c r="L42" s="33" t="str">
        <f t="shared" ref="L42:L43" si="47">CONCATENATE("", C42)</f>
        <v>Sistema.Predial</v>
      </c>
      <c r="M42" s="33" t="str">
        <f t="shared" ref="M42:M43" si="48">CONCATENATE("", D42)</f>
        <v>Elementos.Hidráulica</v>
      </c>
      <c r="N42" s="33" t="str">
        <f t="shared" ref="N42:N43" si="49">(SUBSTITUTE(SUBSTITUTE(CONCATENATE("",E42),"."," ")," De "," de "))</f>
        <v>Esgoto Visitas</v>
      </c>
      <c r="O42" s="30" t="str">
        <f t="shared" si="8"/>
        <v>Caixa.de.Inspeção</v>
      </c>
      <c r="P42" s="58" t="s">
        <v>124</v>
      </c>
      <c r="Q42" s="30" t="s">
        <v>259</v>
      </c>
      <c r="R42" s="34" t="s">
        <v>9</v>
      </c>
      <c r="S42" s="35" t="s">
        <v>168</v>
      </c>
      <c r="T42" s="35" t="s">
        <v>167</v>
      </c>
      <c r="U42" s="35" t="str">
        <f t="shared" ref="U42:U43" si="50">SUBSTITUTE(E42, "_", " ")</f>
        <v>Esgoto.Visitas</v>
      </c>
      <c r="V42" s="35" t="s">
        <v>169</v>
      </c>
      <c r="W42" s="65" t="str">
        <f t="shared" si="3"/>
        <v>Key-HSA-42</v>
      </c>
      <c r="X42" s="29" t="s">
        <v>114</v>
      </c>
      <c r="Y42" s="29" t="s">
        <v>113</v>
      </c>
      <c r="Z42" s="34" t="s">
        <v>134</v>
      </c>
      <c r="AA42" s="30" t="str">
        <f t="shared" si="34"/>
        <v>Manholes</v>
      </c>
    </row>
    <row r="43" spans="1:27" ht="6.65" customHeight="1" x14ac:dyDescent="0.4">
      <c r="A43" s="32">
        <v>43</v>
      </c>
      <c r="B43" s="1" t="s">
        <v>44</v>
      </c>
      <c r="C43" s="47" t="s">
        <v>140</v>
      </c>
      <c r="D43" s="1" t="s">
        <v>252</v>
      </c>
      <c r="E43" s="47" t="s">
        <v>237</v>
      </c>
      <c r="F43" s="47" t="s">
        <v>112</v>
      </c>
      <c r="G43" s="37" t="s">
        <v>9</v>
      </c>
      <c r="H43" s="37" t="s">
        <v>9</v>
      </c>
      <c r="I43" s="37" t="s">
        <v>9</v>
      </c>
      <c r="J43" s="37" t="s">
        <v>9</v>
      </c>
      <c r="K43" s="37" t="s">
        <v>9</v>
      </c>
      <c r="L43" s="33" t="str">
        <f t="shared" si="47"/>
        <v>Sistema.Predial</v>
      </c>
      <c r="M43" s="33" t="str">
        <f t="shared" si="48"/>
        <v>Elementos.Hidráulica</v>
      </c>
      <c r="N43" s="33" t="str">
        <f t="shared" si="49"/>
        <v>Esgoto Visitas</v>
      </c>
      <c r="O43" s="30" t="str">
        <f t="shared" si="8"/>
        <v>Caixa.Sifonada</v>
      </c>
      <c r="P43" s="58" t="s">
        <v>125</v>
      </c>
      <c r="Q43" s="30" t="s">
        <v>132</v>
      </c>
      <c r="R43" s="34" t="s">
        <v>9</v>
      </c>
      <c r="S43" s="35" t="s">
        <v>168</v>
      </c>
      <c r="T43" s="35" t="s">
        <v>167</v>
      </c>
      <c r="U43" s="35" t="str">
        <f t="shared" si="50"/>
        <v>Esgoto.Visitas</v>
      </c>
      <c r="V43" s="35" t="s">
        <v>169</v>
      </c>
      <c r="W43" s="65" t="str">
        <f t="shared" si="3"/>
        <v>Key-HSA-43</v>
      </c>
      <c r="X43" s="29" t="s">
        <v>114</v>
      </c>
      <c r="Y43" s="29" t="s">
        <v>113</v>
      </c>
      <c r="Z43" s="34" t="s">
        <v>134</v>
      </c>
      <c r="AA43" s="30" t="str">
        <f t="shared" si="34"/>
        <v>Siphon Boxes</v>
      </c>
    </row>
    <row r="44" spans="1:27" ht="6.65" customHeight="1" x14ac:dyDescent="0.4">
      <c r="A44" s="32">
        <v>44</v>
      </c>
      <c r="B44" s="1" t="s">
        <v>44</v>
      </c>
      <c r="C44" s="47" t="s">
        <v>140</v>
      </c>
      <c r="D44" s="1" t="s">
        <v>252</v>
      </c>
      <c r="E44" s="47" t="s">
        <v>237</v>
      </c>
      <c r="F44" s="47" t="s">
        <v>109</v>
      </c>
      <c r="G44" s="37" t="s">
        <v>9</v>
      </c>
      <c r="H44" s="37" t="s">
        <v>9</v>
      </c>
      <c r="I44" s="37" t="s">
        <v>9</v>
      </c>
      <c r="J44" s="37" t="s">
        <v>9</v>
      </c>
      <c r="K44" s="37" t="s">
        <v>9</v>
      </c>
      <c r="L44" s="33" t="str">
        <f t="shared" si="43"/>
        <v>Sistema.Predial</v>
      </c>
      <c r="M44" s="33" t="str">
        <f t="shared" si="44"/>
        <v>Elementos.Hidráulica</v>
      </c>
      <c r="N44" s="33" t="str">
        <f t="shared" si="45"/>
        <v>Esgoto Visitas</v>
      </c>
      <c r="O44" s="30" t="str">
        <f t="shared" si="8"/>
        <v>Poço.de.Visita</v>
      </c>
      <c r="P44" s="58" t="s">
        <v>126</v>
      </c>
      <c r="Q44" s="30" t="s">
        <v>133</v>
      </c>
      <c r="R44" s="34" t="s">
        <v>9</v>
      </c>
      <c r="S44" s="35" t="s">
        <v>168</v>
      </c>
      <c r="T44" s="35" t="s">
        <v>167</v>
      </c>
      <c r="U44" s="35" t="str">
        <f t="shared" si="46"/>
        <v>Esgoto.Visitas</v>
      </c>
      <c r="V44" s="35" t="s">
        <v>169</v>
      </c>
      <c r="W44" s="65" t="str">
        <f t="shared" si="3"/>
        <v>Key-HSA-44</v>
      </c>
      <c r="X44" s="29" t="s">
        <v>114</v>
      </c>
      <c r="Y44" s="29" t="s">
        <v>113</v>
      </c>
      <c r="Z44" s="34" t="s">
        <v>134</v>
      </c>
      <c r="AA44" s="30" t="str">
        <f t="shared" si="34"/>
        <v>Manholes</v>
      </c>
    </row>
    <row r="45" spans="1:27" ht="6.65" customHeight="1" x14ac:dyDescent="0.4">
      <c r="A45" s="32">
        <v>45</v>
      </c>
      <c r="B45" s="1" t="s">
        <v>44</v>
      </c>
      <c r="C45" s="47" t="s">
        <v>140</v>
      </c>
      <c r="D45" s="1" t="s">
        <v>252</v>
      </c>
      <c r="E45" s="47" t="s">
        <v>238</v>
      </c>
      <c r="F45" s="47" t="s">
        <v>172</v>
      </c>
      <c r="G45" s="37" t="s">
        <v>9</v>
      </c>
      <c r="H45" s="37" t="s">
        <v>9</v>
      </c>
      <c r="I45" s="37" t="s">
        <v>9</v>
      </c>
      <c r="J45" s="37" t="s">
        <v>9</v>
      </c>
      <c r="K45" s="37" t="s">
        <v>9</v>
      </c>
      <c r="L45" s="33" t="str">
        <f t="shared" ref="L45" si="51">CONCATENATE("", C45)</f>
        <v>Sistema.Predial</v>
      </c>
      <c r="M45" s="33" t="str">
        <f t="shared" ref="M45" si="52">CONCATENATE("", D45)</f>
        <v>Elementos.Hidráulica</v>
      </c>
      <c r="N45" s="33" t="str">
        <f t="shared" ref="N45" si="53">(SUBSTITUTE(SUBSTITUTE(CONCATENATE("",E45),"."," ")," De "," de "))</f>
        <v>Esgoto Acessórios</v>
      </c>
      <c r="O45" s="30" t="str">
        <f t="shared" si="8"/>
        <v>Acessório.Sanitário</v>
      </c>
      <c r="P45" s="58" t="s">
        <v>244</v>
      </c>
      <c r="Q45" s="58" t="s">
        <v>173</v>
      </c>
      <c r="R45" s="34" t="s">
        <v>9</v>
      </c>
      <c r="S45" s="35" t="s">
        <v>168</v>
      </c>
      <c r="T45" s="35" t="s">
        <v>167</v>
      </c>
      <c r="U45" s="35" t="str">
        <f t="shared" ref="U45" si="54">SUBSTITUTE(E45, "_", " ")</f>
        <v>Esgoto.Acessórios</v>
      </c>
      <c r="V45" s="35" t="s">
        <v>169</v>
      </c>
      <c r="W45" s="65" t="str">
        <f t="shared" si="3"/>
        <v>Key-HSA-45</v>
      </c>
      <c r="X45" s="29" t="s">
        <v>258</v>
      </c>
      <c r="Y45" s="29" t="s">
        <v>257</v>
      </c>
      <c r="Z45" s="34" t="s">
        <v>134</v>
      </c>
      <c r="AA45" s="30" t="str">
        <f t="shared" ref="AA45" si="55">_xlfn.TRANSLATE(P45,"pt","en")</f>
        <v>Sanitary sewer system accessory like brackets, hooks, pedestals, etc.</v>
      </c>
    </row>
  </sheetData>
  <sortState xmlns:xlrd2="http://schemas.microsoft.com/office/spreadsheetml/2017/richdata2" ref="A7:AA936">
    <sortCondition ref="F7:F936"/>
  </sortState>
  <phoneticPr fontId="1" type="noConversion"/>
  <conditionalFormatting sqref="A2:A45">
    <cfRule type="cellIs" dxfId="31" priority="2" operator="equal">
      <formula>"null"</formula>
    </cfRule>
  </conditionalFormatting>
  <conditionalFormatting sqref="F1">
    <cfRule type="duplicateValues" dxfId="30" priority="1487"/>
  </conditionalFormatting>
  <conditionalFormatting sqref="F2:F6">
    <cfRule type="duplicateValues" dxfId="29" priority="1"/>
    <cfRule type="duplicateValues" dxfId="28" priority="3"/>
    <cfRule type="duplicateValues" dxfId="27" priority="4"/>
    <cfRule type="duplicateValues" dxfId="26" priority="5"/>
  </conditionalFormatting>
  <conditionalFormatting sqref="F7:F1048576 F1">
    <cfRule type="duplicateValues" dxfId="25" priority="15"/>
  </conditionalFormatting>
  <conditionalFormatting sqref="F16">
    <cfRule type="duplicateValues" dxfId="24" priority="17"/>
  </conditionalFormatting>
  <conditionalFormatting sqref="F35">
    <cfRule type="duplicateValues" dxfId="23" priority="37"/>
  </conditionalFormatting>
  <conditionalFormatting sqref="F38 F40:F1048576 F17:F33 F1 F7:F15">
    <cfRule type="duplicateValues" dxfId="22" priority="39"/>
  </conditionalFormatting>
  <conditionalFormatting sqref="F46:F1048576">
    <cfRule type="duplicateValues" dxfId="21" priority="244"/>
    <cfRule type="duplicateValues" dxfId="20" priority="246"/>
    <cfRule type="duplicateValues" dxfId="19" priority="1459"/>
    <cfRule type="duplicateValues" dxfId="18" priority="1480"/>
  </conditionalFormatting>
  <conditionalFormatting sqref="F1:O1 A1:D1 Q1:X1">
    <cfRule type="cellIs" dxfId="17" priority="51" operator="equal">
      <formula>"null"</formula>
    </cfRule>
  </conditionalFormatting>
  <conditionalFormatting sqref="P7:P9">
    <cfRule type="duplicateValues" dxfId="16" priority="22"/>
  </conditionalFormatting>
  <conditionalFormatting sqref="P10:P15 P17:P26">
    <cfRule type="duplicateValues" dxfId="15" priority="1500"/>
  </conditionalFormatting>
  <conditionalFormatting sqref="P27:P32">
    <cfRule type="duplicateValues" dxfId="14" priority="20"/>
  </conditionalFormatting>
  <conditionalFormatting sqref="P33">
    <cfRule type="duplicateValues" dxfId="13" priority="1493"/>
  </conditionalFormatting>
  <conditionalFormatting sqref="Q7:Q9">
    <cfRule type="duplicateValues" dxfId="12" priority="21"/>
  </conditionalFormatting>
  <conditionalFormatting sqref="Q26">
    <cfRule type="duplicateValues" dxfId="11" priority="23"/>
  </conditionalFormatting>
  <conditionalFormatting sqref="Q33">
    <cfRule type="duplicateValues" dxfId="10" priority="1494"/>
  </conditionalFormatting>
  <conditionalFormatting sqref="Z1:AA1">
    <cfRule type="cellIs" dxfId="9" priority="16" operator="equal">
      <formula>"null"</formula>
    </cfRule>
  </conditionalFormatting>
  <conditionalFormatting sqref="AA2:AA45">
    <cfRule type="cellIs" dxfId="8" priority="6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7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19"/>
  <sheetViews>
    <sheetView tabSelected="1" zoomScale="235" zoomScaleNormal="235" workbookViewId="0">
      <pane ySplit="1" topLeftCell="A2" activePane="bottomLeft" state="frozen"/>
      <selection pane="bottomLeft" sqref="A1:XFD1048576"/>
    </sheetView>
  </sheetViews>
  <sheetFormatPr defaultColWidth="11.53515625" defaultRowHeight="7.85" customHeight="1" x14ac:dyDescent="0.4"/>
  <cols>
    <col min="1" max="1" width="1.765625" bestFit="1" customWidth="1"/>
    <col min="2" max="2" width="7.23046875" bestFit="1" customWidth="1"/>
    <col min="3" max="3" width="9.53515625" bestFit="1" customWidth="1"/>
    <col min="4" max="4" width="6.23046875" bestFit="1" customWidth="1"/>
    <col min="5" max="5" width="6.53515625" bestFit="1" customWidth="1"/>
    <col min="6" max="6" width="4.07421875" bestFit="1" customWidth="1"/>
    <col min="7" max="7" width="56.3828125" bestFit="1" customWidth="1"/>
    <col min="8" max="8" width="4.07421875" bestFit="1" customWidth="1"/>
    <col min="9" max="9" width="17.07421875" bestFit="1" customWidth="1"/>
    <col min="10" max="10" width="5.84375" bestFit="1" customWidth="1"/>
    <col min="11" max="11" width="3.23046875" bestFit="1" customWidth="1"/>
    <col min="12" max="12" width="6.15234375" bestFit="1" customWidth="1"/>
    <col min="13" max="13" width="17.15234375" bestFit="1" customWidth="1"/>
    <col min="14" max="14" width="4.921875" bestFit="1" customWidth="1"/>
    <col min="15" max="15" width="5.765625" bestFit="1" customWidth="1"/>
    <col min="16" max="16" width="3.921875" bestFit="1" customWidth="1"/>
    <col min="17" max="17" width="14.15234375" bestFit="1" customWidth="1"/>
    <col min="18" max="18" width="5.765625" bestFit="1" customWidth="1"/>
    <col min="19" max="19" width="17.23046875" bestFit="1" customWidth="1"/>
  </cols>
  <sheetData>
    <row r="1" spans="1:19" ht="14.6" customHeight="1" x14ac:dyDescent="0.4">
      <c r="A1" s="17" t="s">
        <v>10</v>
      </c>
      <c r="B1" s="18" t="s">
        <v>74</v>
      </c>
      <c r="C1" s="18" t="s">
        <v>75</v>
      </c>
      <c r="D1" s="19" t="s">
        <v>76</v>
      </c>
      <c r="E1" s="19" t="s">
        <v>79</v>
      </c>
      <c r="F1" s="19" t="s">
        <v>76</v>
      </c>
      <c r="G1" s="19" t="s">
        <v>79</v>
      </c>
      <c r="H1" s="54" t="s">
        <v>77</v>
      </c>
      <c r="I1" s="19" t="s">
        <v>79</v>
      </c>
      <c r="J1" s="19" t="s">
        <v>76</v>
      </c>
      <c r="K1" s="19" t="s">
        <v>79</v>
      </c>
      <c r="L1" s="19" t="s">
        <v>76</v>
      </c>
      <c r="M1" s="19" t="s">
        <v>79</v>
      </c>
      <c r="N1" s="19" t="s">
        <v>76</v>
      </c>
      <c r="O1" s="19" t="s">
        <v>79</v>
      </c>
      <c r="P1" s="19" t="s">
        <v>76</v>
      </c>
      <c r="Q1" s="19" t="s">
        <v>79</v>
      </c>
      <c r="R1" s="19" t="s">
        <v>76</v>
      </c>
      <c r="S1" s="19" t="s">
        <v>79</v>
      </c>
    </row>
    <row r="2" spans="1:19" ht="7.85" customHeight="1" x14ac:dyDescent="0.4">
      <c r="A2" s="20">
        <v>1</v>
      </c>
      <c r="B2" s="21" t="s">
        <v>100</v>
      </c>
      <c r="C2" s="59" t="s">
        <v>267</v>
      </c>
      <c r="D2" s="56" t="s">
        <v>9</v>
      </c>
      <c r="E2" s="57" t="s">
        <v>9</v>
      </c>
      <c r="F2" s="22" t="s">
        <v>78</v>
      </c>
      <c r="G2" s="23" t="s">
        <v>139</v>
      </c>
      <c r="H2" s="55" t="s">
        <v>9</v>
      </c>
      <c r="I2" s="24" t="s">
        <v>9</v>
      </c>
      <c r="J2" s="55" t="s">
        <v>9</v>
      </c>
      <c r="K2" s="24" t="s">
        <v>9</v>
      </c>
      <c r="L2" s="55" t="s">
        <v>9</v>
      </c>
      <c r="M2" s="24" t="s">
        <v>9</v>
      </c>
      <c r="N2" s="55" t="s">
        <v>9</v>
      </c>
      <c r="O2" s="24" t="s">
        <v>9</v>
      </c>
      <c r="P2" s="55" t="s">
        <v>9</v>
      </c>
      <c r="Q2" s="24" t="s">
        <v>9</v>
      </c>
      <c r="R2" s="55" t="s">
        <v>9</v>
      </c>
      <c r="S2" s="24" t="s">
        <v>9</v>
      </c>
    </row>
    <row r="3" spans="1:19" ht="7.85" customHeight="1" x14ac:dyDescent="0.4">
      <c r="A3" s="20">
        <v>2</v>
      </c>
      <c r="B3" s="21" t="s">
        <v>228</v>
      </c>
      <c r="C3" s="47" t="s">
        <v>170</v>
      </c>
      <c r="D3" s="56" t="s">
        <v>83</v>
      </c>
      <c r="E3" s="38" t="s">
        <v>100</v>
      </c>
      <c r="F3" s="22" t="s">
        <v>78</v>
      </c>
      <c r="G3" s="23" t="s">
        <v>208</v>
      </c>
      <c r="H3" s="55" t="s">
        <v>78</v>
      </c>
      <c r="I3" s="24" t="s">
        <v>138</v>
      </c>
      <c r="J3" s="55" t="s">
        <v>9</v>
      </c>
      <c r="K3" s="24" t="s">
        <v>9</v>
      </c>
      <c r="L3" s="55" t="s">
        <v>9</v>
      </c>
      <c r="M3" s="24" t="s">
        <v>9</v>
      </c>
      <c r="N3" s="55" t="s">
        <v>9</v>
      </c>
      <c r="O3" s="24" t="s">
        <v>9</v>
      </c>
      <c r="P3" s="55" t="s">
        <v>9</v>
      </c>
      <c r="Q3" s="24" t="s">
        <v>9</v>
      </c>
      <c r="R3" s="55" t="s">
        <v>9</v>
      </c>
      <c r="S3" s="24" t="s">
        <v>248</v>
      </c>
    </row>
    <row r="4" spans="1:19" ht="7.85" customHeight="1" x14ac:dyDescent="0.4">
      <c r="A4" s="20">
        <v>3</v>
      </c>
      <c r="B4" s="21" t="s">
        <v>229</v>
      </c>
      <c r="C4" s="47" t="s">
        <v>240</v>
      </c>
      <c r="D4" s="56" t="s">
        <v>83</v>
      </c>
      <c r="E4" s="38" t="s">
        <v>100</v>
      </c>
      <c r="F4" s="22" t="s">
        <v>78</v>
      </c>
      <c r="G4" s="23" t="s">
        <v>209</v>
      </c>
      <c r="H4" s="55" t="s">
        <v>78</v>
      </c>
      <c r="I4" s="24" t="s">
        <v>138</v>
      </c>
      <c r="J4" s="55" t="s">
        <v>9</v>
      </c>
      <c r="K4" s="24" t="s">
        <v>9</v>
      </c>
      <c r="L4" s="55" t="s">
        <v>9</v>
      </c>
      <c r="M4" s="24" t="s">
        <v>9</v>
      </c>
      <c r="N4" s="55" t="s">
        <v>9</v>
      </c>
      <c r="O4" s="24" t="s">
        <v>9</v>
      </c>
      <c r="P4" s="55" t="s">
        <v>9</v>
      </c>
      <c r="Q4" s="24" t="s">
        <v>9</v>
      </c>
      <c r="R4" s="55" t="s">
        <v>9</v>
      </c>
      <c r="S4" s="24" t="s">
        <v>248</v>
      </c>
    </row>
    <row r="5" spans="1:19" ht="7.85" customHeight="1" x14ac:dyDescent="0.4">
      <c r="A5" s="20">
        <v>4</v>
      </c>
      <c r="B5" s="21" t="s">
        <v>242</v>
      </c>
      <c r="C5" s="47" t="s">
        <v>241</v>
      </c>
      <c r="D5" s="56" t="s">
        <v>83</v>
      </c>
      <c r="E5" s="38" t="s">
        <v>100</v>
      </c>
      <c r="F5" s="22" t="s">
        <v>78</v>
      </c>
      <c r="G5" s="23" t="s">
        <v>209</v>
      </c>
      <c r="H5" s="55" t="s">
        <v>78</v>
      </c>
      <c r="I5" s="24" t="s">
        <v>138</v>
      </c>
      <c r="J5" s="55" t="s">
        <v>9</v>
      </c>
      <c r="K5" s="24" t="s">
        <v>9</v>
      </c>
      <c r="L5" s="55" t="s">
        <v>9</v>
      </c>
      <c r="M5" s="24" t="s">
        <v>9</v>
      </c>
      <c r="N5" s="55" t="s">
        <v>9</v>
      </c>
      <c r="O5" s="24" t="s">
        <v>9</v>
      </c>
      <c r="P5" s="55" t="s">
        <v>9</v>
      </c>
      <c r="Q5" s="24" t="s">
        <v>9</v>
      </c>
      <c r="R5" s="55" t="s">
        <v>9</v>
      </c>
      <c r="S5" s="24" t="s">
        <v>248</v>
      </c>
    </row>
    <row r="6" spans="1:19" ht="7.85" customHeight="1" x14ac:dyDescent="0.4">
      <c r="A6" s="20">
        <v>5</v>
      </c>
      <c r="B6" s="53" t="s">
        <v>210</v>
      </c>
      <c r="C6" s="47" t="s">
        <v>176</v>
      </c>
      <c r="D6" s="56" t="s">
        <v>137</v>
      </c>
      <c r="E6" s="38" t="s">
        <v>228</v>
      </c>
      <c r="F6" s="22" t="s">
        <v>78</v>
      </c>
      <c r="G6" s="23" t="s">
        <v>174</v>
      </c>
      <c r="H6" s="55" t="s">
        <v>9</v>
      </c>
      <c r="I6" s="24" t="s">
        <v>9</v>
      </c>
      <c r="J6" s="55" t="s">
        <v>277</v>
      </c>
      <c r="K6" s="24" t="s">
        <v>135</v>
      </c>
      <c r="L6" s="55" t="s">
        <v>278</v>
      </c>
      <c r="M6" s="24" t="s">
        <v>102</v>
      </c>
      <c r="N6" s="55" t="s">
        <v>101</v>
      </c>
      <c r="O6" s="24" t="s">
        <v>136</v>
      </c>
      <c r="P6" s="55" t="s">
        <v>103</v>
      </c>
      <c r="Q6" s="24" t="s">
        <v>205</v>
      </c>
      <c r="R6" s="55" t="s">
        <v>104</v>
      </c>
      <c r="S6" s="24" t="s">
        <v>249</v>
      </c>
    </row>
    <row r="7" spans="1:19" ht="7.85" customHeight="1" x14ac:dyDescent="0.4">
      <c r="A7" s="20">
        <v>6</v>
      </c>
      <c r="B7" s="53" t="s">
        <v>211</v>
      </c>
      <c r="C7" s="47" t="s">
        <v>176</v>
      </c>
      <c r="D7" s="56" t="s">
        <v>137</v>
      </c>
      <c r="E7" s="38" t="s">
        <v>228</v>
      </c>
      <c r="F7" s="22" t="s">
        <v>78</v>
      </c>
      <c r="G7" s="23" t="s">
        <v>174</v>
      </c>
      <c r="H7" s="55" t="s">
        <v>9</v>
      </c>
      <c r="I7" s="24" t="s">
        <v>9</v>
      </c>
      <c r="J7" s="55" t="s">
        <v>277</v>
      </c>
      <c r="K7" s="24" t="s">
        <v>135</v>
      </c>
      <c r="L7" s="55" t="s">
        <v>278</v>
      </c>
      <c r="M7" s="24" t="s">
        <v>102</v>
      </c>
      <c r="N7" s="55" t="s">
        <v>101</v>
      </c>
      <c r="O7" s="24" t="s">
        <v>136</v>
      </c>
      <c r="P7" s="55" t="s">
        <v>103</v>
      </c>
      <c r="Q7" s="24" t="s">
        <v>205</v>
      </c>
      <c r="R7" s="55" t="s">
        <v>104</v>
      </c>
      <c r="S7" s="24" t="s">
        <v>249</v>
      </c>
    </row>
    <row r="8" spans="1:19" ht="7.85" customHeight="1" x14ac:dyDescent="0.4">
      <c r="A8" s="20">
        <v>7</v>
      </c>
      <c r="B8" s="53" t="s">
        <v>212</v>
      </c>
      <c r="C8" s="47" t="s">
        <v>233</v>
      </c>
      <c r="D8" s="56" t="s">
        <v>137</v>
      </c>
      <c r="E8" s="38" t="s">
        <v>229</v>
      </c>
      <c r="F8" s="22" t="s">
        <v>78</v>
      </c>
      <c r="G8" s="23" t="s">
        <v>175</v>
      </c>
      <c r="H8" s="55" t="s">
        <v>9</v>
      </c>
      <c r="I8" s="24" t="s">
        <v>9</v>
      </c>
      <c r="J8" s="55" t="s">
        <v>277</v>
      </c>
      <c r="K8" s="24" t="s">
        <v>135</v>
      </c>
      <c r="L8" s="55" t="s">
        <v>278</v>
      </c>
      <c r="M8" s="24" t="s">
        <v>102</v>
      </c>
      <c r="N8" s="55" t="s">
        <v>101</v>
      </c>
      <c r="O8" s="24" t="s">
        <v>207</v>
      </c>
      <c r="P8" s="55" t="s">
        <v>103</v>
      </c>
      <c r="Q8" s="24" t="s">
        <v>205</v>
      </c>
      <c r="R8" s="55" t="s">
        <v>104</v>
      </c>
      <c r="S8" s="24" t="s">
        <v>249</v>
      </c>
    </row>
    <row r="9" spans="1:19" ht="7.85" customHeight="1" x14ac:dyDescent="0.4">
      <c r="A9" s="20">
        <v>8</v>
      </c>
      <c r="B9" s="53" t="s">
        <v>213</v>
      </c>
      <c r="C9" s="47" t="s">
        <v>233</v>
      </c>
      <c r="D9" s="56" t="s">
        <v>137</v>
      </c>
      <c r="E9" s="38" t="s">
        <v>229</v>
      </c>
      <c r="F9" s="22" t="s">
        <v>78</v>
      </c>
      <c r="G9" s="23" t="s">
        <v>175</v>
      </c>
      <c r="H9" s="55" t="s">
        <v>9</v>
      </c>
      <c r="I9" s="24" t="s">
        <v>9</v>
      </c>
      <c r="J9" s="55" t="s">
        <v>277</v>
      </c>
      <c r="K9" s="24" t="s">
        <v>135</v>
      </c>
      <c r="L9" s="55" t="s">
        <v>278</v>
      </c>
      <c r="M9" s="24" t="s">
        <v>102</v>
      </c>
      <c r="N9" s="55" t="s">
        <v>101</v>
      </c>
      <c r="O9" s="24" t="s">
        <v>207</v>
      </c>
      <c r="P9" s="55" t="s">
        <v>103</v>
      </c>
      <c r="Q9" s="24" t="s">
        <v>205</v>
      </c>
      <c r="R9" s="55" t="s">
        <v>104</v>
      </c>
      <c r="S9" s="24" t="s">
        <v>249</v>
      </c>
    </row>
    <row r="10" spans="1:19" ht="7.85" customHeight="1" x14ac:dyDescent="0.4">
      <c r="A10" s="20">
        <v>9</v>
      </c>
      <c r="B10" s="53" t="s">
        <v>214</v>
      </c>
      <c r="C10" s="47" t="s">
        <v>233</v>
      </c>
      <c r="D10" s="56" t="s">
        <v>137</v>
      </c>
      <c r="E10" s="38" t="s">
        <v>229</v>
      </c>
      <c r="F10" s="22" t="s">
        <v>78</v>
      </c>
      <c r="G10" s="23" t="s">
        <v>175</v>
      </c>
      <c r="H10" s="55" t="s">
        <v>9</v>
      </c>
      <c r="I10" s="24" t="s">
        <v>9</v>
      </c>
      <c r="J10" s="55" t="s">
        <v>277</v>
      </c>
      <c r="K10" s="24" t="s">
        <v>135</v>
      </c>
      <c r="L10" s="55" t="s">
        <v>278</v>
      </c>
      <c r="M10" s="24" t="s">
        <v>102</v>
      </c>
      <c r="N10" s="55" t="s">
        <v>101</v>
      </c>
      <c r="O10" s="24" t="s">
        <v>207</v>
      </c>
      <c r="P10" s="55" t="s">
        <v>103</v>
      </c>
      <c r="Q10" s="24" t="s">
        <v>205</v>
      </c>
      <c r="R10" s="55" t="s">
        <v>104</v>
      </c>
      <c r="S10" s="24" t="s">
        <v>249</v>
      </c>
    </row>
    <row r="11" spans="1:19" ht="7.85" customHeight="1" x14ac:dyDescent="0.4">
      <c r="A11" s="20">
        <v>10</v>
      </c>
      <c r="B11" s="53" t="s">
        <v>215</v>
      </c>
      <c r="C11" s="47" t="s">
        <v>233</v>
      </c>
      <c r="D11" s="56" t="s">
        <v>137</v>
      </c>
      <c r="E11" s="38" t="s">
        <v>229</v>
      </c>
      <c r="F11" s="22" t="s">
        <v>78</v>
      </c>
      <c r="G11" s="23" t="s">
        <v>175</v>
      </c>
      <c r="H11" s="55" t="s">
        <v>9</v>
      </c>
      <c r="I11" s="24" t="s">
        <v>9</v>
      </c>
      <c r="J11" s="55" t="s">
        <v>277</v>
      </c>
      <c r="K11" s="24" t="s">
        <v>135</v>
      </c>
      <c r="L11" s="55" t="s">
        <v>278</v>
      </c>
      <c r="M11" s="24" t="s">
        <v>102</v>
      </c>
      <c r="N11" s="55" t="s">
        <v>101</v>
      </c>
      <c r="O11" s="24" t="s">
        <v>207</v>
      </c>
      <c r="P11" s="55" t="s">
        <v>103</v>
      </c>
      <c r="Q11" s="24" t="s">
        <v>205</v>
      </c>
      <c r="R11" s="55" t="s">
        <v>104</v>
      </c>
      <c r="S11" s="24" t="s">
        <v>249</v>
      </c>
    </row>
    <row r="12" spans="1:19" ht="7.85" customHeight="1" x14ac:dyDescent="0.4">
      <c r="A12" s="20">
        <v>11</v>
      </c>
      <c r="B12" s="53" t="s">
        <v>216</v>
      </c>
      <c r="C12" s="47" t="s">
        <v>233</v>
      </c>
      <c r="D12" s="56" t="s">
        <v>137</v>
      </c>
      <c r="E12" s="38" t="s">
        <v>229</v>
      </c>
      <c r="F12" s="22" t="s">
        <v>78</v>
      </c>
      <c r="G12" s="23" t="s">
        <v>175</v>
      </c>
      <c r="H12" s="55" t="s">
        <v>9</v>
      </c>
      <c r="I12" s="24" t="s">
        <v>9</v>
      </c>
      <c r="J12" s="55" t="s">
        <v>277</v>
      </c>
      <c r="K12" s="24" t="s">
        <v>135</v>
      </c>
      <c r="L12" s="55" t="s">
        <v>278</v>
      </c>
      <c r="M12" s="24" t="s">
        <v>102</v>
      </c>
      <c r="N12" s="55" t="s">
        <v>101</v>
      </c>
      <c r="O12" s="24" t="s">
        <v>207</v>
      </c>
      <c r="P12" s="55" t="s">
        <v>103</v>
      </c>
      <c r="Q12" s="24" t="s">
        <v>205</v>
      </c>
      <c r="R12" s="55" t="s">
        <v>104</v>
      </c>
      <c r="S12" s="24" t="s">
        <v>249</v>
      </c>
    </row>
    <row r="13" spans="1:19" ht="7.85" customHeight="1" x14ac:dyDescent="0.4">
      <c r="A13" s="20">
        <v>12</v>
      </c>
      <c r="B13" s="53" t="s">
        <v>217</v>
      </c>
      <c r="C13" s="47" t="s">
        <v>233</v>
      </c>
      <c r="D13" s="56" t="s">
        <v>137</v>
      </c>
      <c r="E13" s="38" t="s">
        <v>229</v>
      </c>
      <c r="F13" s="22" t="s">
        <v>78</v>
      </c>
      <c r="G13" s="23" t="s">
        <v>175</v>
      </c>
      <c r="H13" s="55" t="s">
        <v>9</v>
      </c>
      <c r="I13" s="24" t="s">
        <v>9</v>
      </c>
      <c r="J13" s="55" t="s">
        <v>277</v>
      </c>
      <c r="K13" s="24" t="s">
        <v>135</v>
      </c>
      <c r="L13" s="55" t="s">
        <v>278</v>
      </c>
      <c r="M13" s="24" t="s">
        <v>102</v>
      </c>
      <c r="N13" s="55" t="s">
        <v>101</v>
      </c>
      <c r="O13" s="24" t="s">
        <v>207</v>
      </c>
      <c r="P13" s="55" t="s">
        <v>103</v>
      </c>
      <c r="Q13" s="24" t="s">
        <v>205</v>
      </c>
      <c r="R13" s="55" t="s">
        <v>104</v>
      </c>
      <c r="S13" s="24" t="s">
        <v>249</v>
      </c>
    </row>
    <row r="14" spans="1:19" ht="7.85" customHeight="1" x14ac:dyDescent="0.4">
      <c r="A14" s="20">
        <v>13</v>
      </c>
      <c r="B14" s="53" t="s">
        <v>218</v>
      </c>
      <c r="C14" s="47" t="s">
        <v>234</v>
      </c>
      <c r="D14" s="56" t="s">
        <v>137</v>
      </c>
      <c r="E14" s="38" t="s">
        <v>242</v>
      </c>
      <c r="F14" s="22" t="s">
        <v>78</v>
      </c>
      <c r="G14" s="23" t="s">
        <v>204</v>
      </c>
      <c r="H14" s="55" t="s">
        <v>9</v>
      </c>
      <c r="I14" s="24" t="s">
        <v>9</v>
      </c>
      <c r="J14" s="55" t="s">
        <v>277</v>
      </c>
      <c r="K14" s="24" t="s">
        <v>135</v>
      </c>
      <c r="L14" s="55" t="s">
        <v>278</v>
      </c>
      <c r="M14" s="24" t="s">
        <v>102</v>
      </c>
      <c r="N14" s="55" t="s">
        <v>101</v>
      </c>
      <c r="O14" s="24" t="s">
        <v>207</v>
      </c>
      <c r="P14" s="55" t="s">
        <v>103</v>
      </c>
      <c r="Q14" s="24" t="s">
        <v>205</v>
      </c>
      <c r="R14" s="55" t="s">
        <v>104</v>
      </c>
      <c r="S14" s="24" t="s">
        <v>249</v>
      </c>
    </row>
    <row r="15" spans="1:19" ht="7.85" customHeight="1" x14ac:dyDescent="0.4">
      <c r="A15" s="20">
        <v>14</v>
      </c>
      <c r="B15" s="53" t="s">
        <v>219</v>
      </c>
      <c r="C15" s="47" t="s">
        <v>234</v>
      </c>
      <c r="D15" s="56" t="s">
        <v>137</v>
      </c>
      <c r="E15" s="38" t="s">
        <v>242</v>
      </c>
      <c r="F15" s="22" t="s">
        <v>78</v>
      </c>
      <c r="G15" s="23" t="s">
        <v>204</v>
      </c>
      <c r="H15" s="55" t="s">
        <v>9</v>
      </c>
      <c r="I15" s="24" t="s">
        <v>9</v>
      </c>
      <c r="J15" s="55" t="s">
        <v>277</v>
      </c>
      <c r="K15" s="24" t="s">
        <v>135</v>
      </c>
      <c r="L15" s="55" t="s">
        <v>278</v>
      </c>
      <c r="M15" s="24" t="s">
        <v>102</v>
      </c>
      <c r="N15" s="55" t="s">
        <v>101</v>
      </c>
      <c r="O15" s="24" t="s">
        <v>207</v>
      </c>
      <c r="P15" s="55" t="s">
        <v>103</v>
      </c>
      <c r="Q15" s="24" t="s">
        <v>205</v>
      </c>
      <c r="R15" s="55" t="s">
        <v>104</v>
      </c>
      <c r="S15" s="24" t="s">
        <v>249</v>
      </c>
    </row>
    <row r="16" spans="1:19" ht="7.85" customHeight="1" x14ac:dyDescent="0.4">
      <c r="A16" s="20">
        <v>15</v>
      </c>
      <c r="B16" s="53" t="s">
        <v>220</v>
      </c>
      <c r="C16" s="47" t="s">
        <v>234</v>
      </c>
      <c r="D16" s="56" t="s">
        <v>137</v>
      </c>
      <c r="E16" s="38" t="s">
        <v>242</v>
      </c>
      <c r="F16" s="22" t="s">
        <v>78</v>
      </c>
      <c r="G16" s="23" t="s">
        <v>204</v>
      </c>
      <c r="H16" s="55" t="s">
        <v>9</v>
      </c>
      <c r="I16" s="24" t="s">
        <v>9</v>
      </c>
      <c r="J16" s="55" t="s">
        <v>277</v>
      </c>
      <c r="K16" s="24" t="s">
        <v>135</v>
      </c>
      <c r="L16" s="55" t="s">
        <v>278</v>
      </c>
      <c r="M16" s="24" t="s">
        <v>102</v>
      </c>
      <c r="N16" s="55" t="s">
        <v>101</v>
      </c>
      <c r="O16" s="24" t="s">
        <v>207</v>
      </c>
      <c r="P16" s="55" t="s">
        <v>103</v>
      </c>
      <c r="Q16" s="24" t="s">
        <v>205</v>
      </c>
      <c r="R16" s="55" t="s">
        <v>104</v>
      </c>
      <c r="S16" s="24" t="s">
        <v>249</v>
      </c>
    </row>
    <row r="17" spans="1:19" ht="7.85" customHeight="1" x14ac:dyDescent="0.4">
      <c r="A17" s="20">
        <v>16</v>
      </c>
      <c r="B17" s="53" t="s">
        <v>221</v>
      </c>
      <c r="C17" s="47" t="s">
        <v>234</v>
      </c>
      <c r="D17" s="56" t="s">
        <v>137</v>
      </c>
      <c r="E17" s="38" t="s">
        <v>242</v>
      </c>
      <c r="F17" s="22" t="s">
        <v>78</v>
      </c>
      <c r="G17" s="23" t="s">
        <v>204</v>
      </c>
      <c r="H17" s="55" t="s">
        <v>9</v>
      </c>
      <c r="I17" s="24" t="s">
        <v>9</v>
      </c>
      <c r="J17" s="55" t="s">
        <v>277</v>
      </c>
      <c r="K17" s="24" t="s">
        <v>135</v>
      </c>
      <c r="L17" s="55" t="s">
        <v>278</v>
      </c>
      <c r="M17" s="24" t="s">
        <v>102</v>
      </c>
      <c r="N17" s="55" t="s">
        <v>101</v>
      </c>
      <c r="O17" s="24" t="s">
        <v>207</v>
      </c>
      <c r="P17" s="55" t="s">
        <v>103</v>
      </c>
      <c r="Q17" s="24" t="s">
        <v>205</v>
      </c>
      <c r="R17" s="55" t="s">
        <v>104</v>
      </c>
      <c r="S17" s="24" t="s">
        <v>249</v>
      </c>
    </row>
    <row r="18" spans="1:19" ht="7.85" customHeight="1" x14ac:dyDescent="0.4">
      <c r="A18" s="20">
        <v>17</v>
      </c>
      <c r="B18" s="53" t="s">
        <v>222</v>
      </c>
      <c r="C18" s="47" t="s">
        <v>234</v>
      </c>
      <c r="D18" s="56" t="s">
        <v>137</v>
      </c>
      <c r="E18" s="38" t="s">
        <v>242</v>
      </c>
      <c r="F18" s="22" t="s">
        <v>78</v>
      </c>
      <c r="G18" s="23" t="s">
        <v>204</v>
      </c>
      <c r="H18" s="55" t="s">
        <v>9</v>
      </c>
      <c r="I18" s="24" t="s">
        <v>9</v>
      </c>
      <c r="J18" s="55" t="s">
        <v>277</v>
      </c>
      <c r="K18" s="24" t="s">
        <v>135</v>
      </c>
      <c r="L18" s="55" t="s">
        <v>278</v>
      </c>
      <c r="M18" s="24" t="s">
        <v>102</v>
      </c>
      <c r="N18" s="55" t="s">
        <v>101</v>
      </c>
      <c r="O18" s="24" t="s">
        <v>207</v>
      </c>
      <c r="P18" s="55" t="s">
        <v>103</v>
      </c>
      <c r="Q18" s="24" t="s">
        <v>205</v>
      </c>
      <c r="R18" s="55" t="s">
        <v>104</v>
      </c>
      <c r="S18" s="24" t="s">
        <v>249</v>
      </c>
    </row>
    <row r="19" spans="1:19" ht="7.85" customHeight="1" x14ac:dyDescent="0.4">
      <c r="A19" s="20">
        <v>18</v>
      </c>
      <c r="B19" s="53" t="s">
        <v>223</v>
      </c>
      <c r="C19" s="47" t="s">
        <v>234</v>
      </c>
      <c r="D19" s="56" t="s">
        <v>137</v>
      </c>
      <c r="E19" s="38" t="s">
        <v>242</v>
      </c>
      <c r="F19" s="22" t="s">
        <v>78</v>
      </c>
      <c r="G19" s="23" t="s">
        <v>204</v>
      </c>
      <c r="H19" s="55" t="s">
        <v>9</v>
      </c>
      <c r="I19" s="24" t="s">
        <v>9</v>
      </c>
      <c r="J19" s="55" t="s">
        <v>277</v>
      </c>
      <c r="K19" s="24" t="s">
        <v>135</v>
      </c>
      <c r="L19" s="55" t="s">
        <v>278</v>
      </c>
      <c r="M19" s="24" t="s">
        <v>102</v>
      </c>
      <c r="N19" s="55" t="s">
        <v>101</v>
      </c>
      <c r="O19" s="24" t="s">
        <v>207</v>
      </c>
      <c r="P19" s="55" t="s">
        <v>103</v>
      </c>
      <c r="Q19" s="24" t="s">
        <v>205</v>
      </c>
      <c r="R19" s="55" t="s">
        <v>104</v>
      </c>
      <c r="S19" s="24" t="s">
        <v>249</v>
      </c>
    </row>
  </sheetData>
  <phoneticPr fontId="1" type="noConversion"/>
  <conditionalFormatting sqref="C3:C5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07421875" style="26" customWidth="1"/>
    <col min="2" max="2" width="5.921875" style="25" bestFit="1" customWidth="1"/>
    <col min="3" max="3" width="11.23046875" style="25" bestFit="1" customWidth="1"/>
    <col min="4" max="7" width="10.84375" style="25" bestFit="1" customWidth="1"/>
  </cols>
  <sheetData>
    <row r="1" spans="1:7" ht="33" customHeight="1" x14ac:dyDescent="0.4">
      <c r="A1" s="31">
        <v>0</v>
      </c>
      <c r="B1" s="27" t="s">
        <v>80</v>
      </c>
      <c r="C1" s="28" t="s">
        <v>81</v>
      </c>
      <c r="D1" s="28" t="s">
        <v>82</v>
      </c>
      <c r="E1" s="28" t="s">
        <v>82</v>
      </c>
      <c r="F1" s="28" t="s">
        <v>82</v>
      </c>
      <c r="G1" s="28" t="s">
        <v>82</v>
      </c>
    </row>
    <row r="2" spans="1:7" ht="8.25" customHeight="1" x14ac:dyDescent="0.4">
      <c r="A2" s="32">
        <v>2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2026-07-11T12:04:35Z</dcterms:modified>
  <dc:language>pt-BR</dc:language>
</cp:coreProperties>
</file>