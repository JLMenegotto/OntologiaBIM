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FABR\"/>
    </mc:Choice>
  </mc:AlternateContent>
  <xr:revisionPtr revIDLastSave="0" documentId="13_ncr:1_{CE6B26F3-317C-4048-AAD8-BD3F2507CCE4}" xr6:coauthVersionLast="47" xr6:coauthVersionMax="47" xr10:uidLastSave="{00000000-0000-0000-0000-000000000000}"/>
  <bookViews>
    <workbookView xWindow="-103" yWindow="-103" windowWidth="22149" windowHeight="13200" tabRatio="527" activeTab="1" xr2:uid="{6AA21774-678E-47D1-B8DD-6444A2CEB00E}"/>
  </bookViews>
  <sheets>
    <sheet name="Projeto" sheetId="31" r:id="rId1"/>
    <sheet name="Classes" sheetId="39" r:id="rId2"/>
    <sheet name="Disjunt" sheetId="36" r:id="rId3"/>
    <sheet name="Interop" sheetId="37" r:id="rId4"/>
    <sheet name="FatosIn" sheetId="38" r:id="rId5"/>
  </sheets>
  <definedNames>
    <definedName name="_xlnm._FilterDatabase" localSheetId="1" hidden="1">Classes!$F$1:$F$114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9" l="1"/>
  <c r="W4" i="39"/>
  <c r="W5" i="39"/>
  <c r="W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38" i="39"/>
  <c r="W39" i="39"/>
  <c r="W40" i="39"/>
  <c r="W41" i="39"/>
  <c r="W42" i="39"/>
  <c r="W43" i="39"/>
  <c r="W44" i="39"/>
  <c r="W45" i="39"/>
  <c r="W46" i="39"/>
  <c r="W47" i="39"/>
  <c r="W48" i="39"/>
  <c r="W49" i="39"/>
  <c r="W50" i="39"/>
  <c r="W51" i="39"/>
  <c r="W52" i="39"/>
  <c r="W53" i="39"/>
  <c r="W54" i="39"/>
  <c r="W55" i="39"/>
  <c r="W56" i="39"/>
  <c r="W57" i="39"/>
  <c r="W58" i="39"/>
  <c r="W59" i="39"/>
  <c r="W60" i="39"/>
  <c r="W61" i="39"/>
  <c r="W62" i="39"/>
  <c r="W63" i="39"/>
  <c r="W64" i="39"/>
  <c r="W65" i="39"/>
  <c r="W66" i="39"/>
  <c r="W67" i="39"/>
  <c r="W68" i="39"/>
  <c r="W69" i="39"/>
  <c r="W70" i="39"/>
  <c r="W71" i="39"/>
  <c r="W72" i="39"/>
  <c r="W73" i="39"/>
  <c r="W74" i="39"/>
  <c r="W75" i="39"/>
  <c r="W76" i="39"/>
  <c r="W77" i="39"/>
  <c r="W78" i="39"/>
  <c r="W79" i="39"/>
  <c r="W80" i="39"/>
  <c r="W81" i="39"/>
  <c r="W82" i="39"/>
  <c r="W83" i="39"/>
  <c r="W84" i="39"/>
  <c r="W85" i="39"/>
  <c r="W86" i="39"/>
  <c r="W87" i="39"/>
  <c r="W88" i="39"/>
  <c r="W89" i="39"/>
  <c r="W90" i="39"/>
  <c r="W91" i="39"/>
  <c r="W92" i="39"/>
  <c r="W93" i="39"/>
  <c r="W94" i="39"/>
  <c r="W95" i="39"/>
  <c r="W96" i="39"/>
  <c r="W97" i="39"/>
  <c r="W98" i="39"/>
  <c r="W99" i="39"/>
  <c r="W100" i="39"/>
  <c r="W101" i="39"/>
  <c r="W102" i="39"/>
  <c r="W103" i="39"/>
  <c r="W104" i="39"/>
  <c r="W105" i="39"/>
  <c r="W106" i="39"/>
  <c r="W107" i="39"/>
  <c r="W108" i="39"/>
  <c r="W109" i="39"/>
  <c r="W110" i="39"/>
  <c r="W111" i="39"/>
  <c r="W112" i="39"/>
  <c r="W113" i="39"/>
  <c r="W114" i="39"/>
  <c r="W115" i="39"/>
  <c r="W116" i="39"/>
  <c r="W117" i="39"/>
  <c r="W118" i="39"/>
  <c r="W119" i="39"/>
  <c r="W120" i="39"/>
  <c r="W121" i="39"/>
  <c r="W122" i="39"/>
  <c r="W123" i="39"/>
  <c r="W124" i="39"/>
  <c r="W125" i="39"/>
  <c r="W126" i="39"/>
  <c r="W127" i="39"/>
  <c r="W128" i="39"/>
  <c r="W129" i="39"/>
  <c r="W130" i="39"/>
  <c r="W131" i="39"/>
  <c r="W132" i="39"/>
  <c r="W133" i="39"/>
  <c r="W134" i="39"/>
  <c r="W135" i="39"/>
  <c r="W136" i="39"/>
  <c r="W137" i="39"/>
  <c r="W138" i="39"/>
  <c r="W139" i="39"/>
  <c r="W140" i="39"/>
  <c r="W141" i="39"/>
  <c r="W142" i="39"/>
  <c r="W143" i="39"/>
  <c r="W144" i="39"/>
  <c r="W145" i="39"/>
  <c r="W146" i="39"/>
  <c r="W147" i="39"/>
  <c r="W148" i="39"/>
  <c r="W149" i="39"/>
  <c r="W150" i="39"/>
  <c r="W151" i="39"/>
  <c r="W152" i="39"/>
  <c r="W2" i="39"/>
  <c r="U6" i="39"/>
  <c r="T6" i="39"/>
  <c r="S6" i="39"/>
  <c r="O6" i="39"/>
  <c r="N6" i="39"/>
  <c r="M6" i="39"/>
  <c r="L6" i="39"/>
  <c r="U5" i="39"/>
  <c r="T5" i="39"/>
  <c r="S5" i="39"/>
  <c r="O5" i="39"/>
  <c r="N5" i="39"/>
  <c r="M5" i="39"/>
  <c r="L5" i="39"/>
  <c r="U4" i="39"/>
  <c r="T4" i="39"/>
  <c r="S4" i="39"/>
  <c r="O4" i="39"/>
  <c r="N4" i="39"/>
  <c r="M4" i="39"/>
  <c r="L4" i="39"/>
  <c r="U3" i="39"/>
  <c r="T3" i="39"/>
  <c r="S3" i="39"/>
  <c r="O3" i="39"/>
  <c r="N3" i="39"/>
  <c r="M3" i="39"/>
  <c r="L3" i="39"/>
  <c r="U2" i="39"/>
  <c r="T2" i="39"/>
  <c r="S2" i="39"/>
  <c r="O2" i="39"/>
  <c r="N2" i="39"/>
  <c r="M2" i="39"/>
  <c r="L2" i="39"/>
  <c r="U152" i="39"/>
  <c r="T152" i="39"/>
  <c r="S152" i="39"/>
  <c r="O152" i="39"/>
  <c r="N152" i="39"/>
  <c r="M152" i="39"/>
  <c r="L152" i="39"/>
  <c r="U151" i="39"/>
  <c r="T151" i="39"/>
  <c r="S151" i="39"/>
  <c r="O151" i="39"/>
  <c r="N151" i="39"/>
  <c r="M151" i="39"/>
  <c r="L151" i="39"/>
  <c r="U150" i="39"/>
  <c r="T150" i="39"/>
  <c r="S150" i="39"/>
  <c r="O150" i="39"/>
  <c r="N150" i="39"/>
  <c r="M150" i="39"/>
  <c r="L150" i="39"/>
  <c r="U149" i="39"/>
  <c r="T149" i="39"/>
  <c r="S149" i="39"/>
  <c r="O149" i="39"/>
  <c r="N149" i="39"/>
  <c r="M149" i="39"/>
  <c r="L149" i="39"/>
  <c r="U148" i="39"/>
  <c r="T148" i="39"/>
  <c r="S148" i="39"/>
  <c r="O148" i="39"/>
  <c r="N148" i="39"/>
  <c r="M148" i="39"/>
  <c r="L148" i="39"/>
  <c r="U147" i="39"/>
  <c r="T147" i="39"/>
  <c r="S147" i="39"/>
  <c r="O147" i="39"/>
  <c r="N147" i="39"/>
  <c r="M147" i="39"/>
  <c r="L147" i="39"/>
  <c r="U146" i="39"/>
  <c r="T146" i="39"/>
  <c r="S146" i="39"/>
  <c r="O146" i="39"/>
  <c r="N146" i="39"/>
  <c r="M146" i="39"/>
  <c r="L146" i="39"/>
  <c r="U145" i="39"/>
  <c r="T145" i="39"/>
  <c r="S145" i="39"/>
  <c r="O145" i="39"/>
  <c r="N145" i="39"/>
  <c r="M145" i="39"/>
  <c r="L145" i="39"/>
  <c r="U144" i="39"/>
  <c r="T144" i="39"/>
  <c r="S144" i="39"/>
  <c r="O144" i="39"/>
  <c r="N144" i="39"/>
  <c r="M144" i="39"/>
  <c r="L144" i="39"/>
  <c r="U143" i="39"/>
  <c r="T143" i="39"/>
  <c r="S143" i="39"/>
  <c r="O143" i="39"/>
  <c r="N143" i="39"/>
  <c r="M143" i="39"/>
  <c r="L143" i="39"/>
  <c r="U142" i="39"/>
  <c r="T142" i="39"/>
  <c r="S142" i="39"/>
  <c r="O142" i="39"/>
  <c r="N142" i="39"/>
  <c r="M142" i="39"/>
  <c r="L142" i="39"/>
  <c r="U141" i="39"/>
  <c r="T141" i="39"/>
  <c r="S141" i="39"/>
  <c r="O141" i="39"/>
  <c r="N141" i="39"/>
  <c r="M141" i="39"/>
  <c r="L141" i="39"/>
  <c r="U140" i="39"/>
  <c r="T140" i="39"/>
  <c r="S140" i="39"/>
  <c r="O140" i="39"/>
  <c r="N140" i="39"/>
  <c r="M140" i="39"/>
  <c r="L140" i="39"/>
  <c r="U139" i="39"/>
  <c r="T139" i="39"/>
  <c r="S139" i="39"/>
  <c r="O139" i="39"/>
  <c r="N139" i="39"/>
  <c r="M139" i="39"/>
  <c r="L139" i="39"/>
  <c r="U138" i="39"/>
  <c r="T138" i="39"/>
  <c r="S138" i="39"/>
  <c r="O138" i="39"/>
  <c r="N138" i="39"/>
  <c r="M138" i="39"/>
  <c r="L138" i="39"/>
  <c r="U137" i="39"/>
  <c r="T137" i="39"/>
  <c r="S137" i="39"/>
  <c r="O137" i="39"/>
  <c r="N137" i="39"/>
  <c r="M137" i="39"/>
  <c r="L137" i="39"/>
  <c r="U136" i="39"/>
  <c r="T136" i="39"/>
  <c r="S136" i="39"/>
  <c r="O136" i="39"/>
  <c r="N136" i="39"/>
  <c r="M136" i="39"/>
  <c r="L136" i="39"/>
  <c r="U135" i="39"/>
  <c r="T135" i="39"/>
  <c r="S135" i="39"/>
  <c r="O135" i="39"/>
  <c r="N135" i="39"/>
  <c r="M135" i="39"/>
  <c r="L135" i="39"/>
  <c r="U134" i="39"/>
  <c r="T134" i="39"/>
  <c r="S134" i="39"/>
  <c r="O134" i="39"/>
  <c r="N134" i="39"/>
  <c r="M134" i="39"/>
  <c r="L134" i="39"/>
  <c r="U133" i="39"/>
  <c r="T133" i="39"/>
  <c r="S133" i="39"/>
  <c r="O133" i="39"/>
  <c r="N133" i="39"/>
  <c r="M133" i="39"/>
  <c r="L133" i="39"/>
  <c r="U132" i="39"/>
  <c r="T132" i="39"/>
  <c r="S132" i="39"/>
  <c r="O132" i="39"/>
  <c r="N132" i="39"/>
  <c r="M132" i="39"/>
  <c r="L132" i="39"/>
  <c r="U131" i="39"/>
  <c r="T131" i="39"/>
  <c r="S131" i="39"/>
  <c r="O131" i="39"/>
  <c r="N131" i="39"/>
  <c r="M131" i="39"/>
  <c r="L131" i="39"/>
  <c r="U130" i="39"/>
  <c r="T130" i="39"/>
  <c r="S130" i="39"/>
  <c r="O130" i="39"/>
  <c r="N130" i="39"/>
  <c r="M130" i="39"/>
  <c r="L130" i="39"/>
  <c r="U129" i="39"/>
  <c r="T129" i="39"/>
  <c r="S129" i="39"/>
  <c r="O129" i="39"/>
  <c r="N129" i="39"/>
  <c r="M129" i="39"/>
  <c r="L129" i="39"/>
  <c r="U128" i="39"/>
  <c r="T128" i="39"/>
  <c r="S128" i="39"/>
  <c r="O128" i="39"/>
  <c r="N128" i="39"/>
  <c r="M128" i="39"/>
  <c r="L128" i="39"/>
  <c r="U127" i="39"/>
  <c r="T127" i="39"/>
  <c r="S127" i="39"/>
  <c r="O127" i="39"/>
  <c r="N127" i="39"/>
  <c r="M127" i="39"/>
  <c r="L127" i="39"/>
  <c r="U126" i="39"/>
  <c r="T126" i="39"/>
  <c r="S126" i="39"/>
  <c r="O126" i="39"/>
  <c r="N126" i="39"/>
  <c r="M126" i="39"/>
  <c r="L126" i="39"/>
  <c r="U125" i="39"/>
  <c r="T125" i="39"/>
  <c r="S125" i="39"/>
  <c r="O125" i="39"/>
  <c r="N125" i="39"/>
  <c r="M125" i="39"/>
  <c r="L125" i="39"/>
  <c r="U124" i="39"/>
  <c r="T124" i="39"/>
  <c r="S124" i="39"/>
  <c r="O124" i="39"/>
  <c r="N124" i="39"/>
  <c r="M124" i="39"/>
  <c r="L124" i="39"/>
  <c r="AA6" i="39"/>
  <c r="AA5" i="39"/>
  <c r="AA4" i="39"/>
  <c r="AA3" i="39"/>
  <c r="AA2" i="39"/>
  <c r="U123" i="39" l="1"/>
  <c r="T123" i="39"/>
  <c r="S123" i="39"/>
  <c r="O123" i="39"/>
  <c r="N123" i="39"/>
  <c r="M123" i="39"/>
  <c r="L123" i="39"/>
  <c r="U122" i="39"/>
  <c r="T122" i="39"/>
  <c r="S122" i="39"/>
  <c r="O122" i="39"/>
  <c r="N122" i="39"/>
  <c r="M122" i="39"/>
  <c r="L122" i="39"/>
  <c r="U69" i="39"/>
  <c r="T69" i="39"/>
  <c r="S69" i="39"/>
  <c r="O69" i="39"/>
  <c r="N69" i="39"/>
  <c r="M69" i="39"/>
  <c r="L69" i="39"/>
  <c r="U51" i="39"/>
  <c r="T51" i="39"/>
  <c r="S51" i="39"/>
  <c r="O51" i="39"/>
  <c r="N51" i="39"/>
  <c r="M51" i="39"/>
  <c r="L51" i="39"/>
  <c r="U15" i="39"/>
  <c r="T15" i="39"/>
  <c r="S15" i="39"/>
  <c r="O15" i="39"/>
  <c r="N15" i="39"/>
  <c r="M15" i="39"/>
  <c r="L15" i="39"/>
  <c r="U78" i="39"/>
  <c r="T78" i="39"/>
  <c r="S78" i="39"/>
  <c r="O78" i="39"/>
  <c r="N78" i="39"/>
  <c r="M78" i="39"/>
  <c r="L78" i="39"/>
  <c r="U114" i="39"/>
  <c r="T114" i="39"/>
  <c r="S114" i="39"/>
  <c r="O114" i="39"/>
  <c r="N114" i="39"/>
  <c r="M114" i="39"/>
  <c r="L114" i="39"/>
  <c r="U105" i="39"/>
  <c r="T105" i="39"/>
  <c r="S105" i="39"/>
  <c r="O105" i="39"/>
  <c r="N105" i="39"/>
  <c r="M105" i="39"/>
  <c r="L105" i="39"/>
  <c r="U96" i="39"/>
  <c r="T96" i="39"/>
  <c r="S96" i="39"/>
  <c r="O96" i="39"/>
  <c r="N96" i="39"/>
  <c r="M96" i="39"/>
  <c r="L96" i="39"/>
  <c r="U87" i="39"/>
  <c r="T87" i="39"/>
  <c r="S87" i="39"/>
  <c r="O87" i="39"/>
  <c r="N87" i="39"/>
  <c r="M87" i="39"/>
  <c r="L87" i="39"/>
  <c r="U60" i="39"/>
  <c r="T60" i="39"/>
  <c r="S60" i="39"/>
  <c r="O60" i="39"/>
  <c r="N60" i="39"/>
  <c r="M60" i="39"/>
  <c r="L60" i="39"/>
  <c r="U42" i="39"/>
  <c r="T42" i="39"/>
  <c r="S42" i="39"/>
  <c r="O42" i="39"/>
  <c r="N42" i="39"/>
  <c r="M42" i="39"/>
  <c r="L42" i="39"/>
  <c r="U33" i="39"/>
  <c r="T33" i="39"/>
  <c r="S33" i="39"/>
  <c r="O33" i="39"/>
  <c r="N33" i="39"/>
  <c r="M33" i="39"/>
  <c r="L33" i="39"/>
  <c r="U24" i="39"/>
  <c r="T24" i="39"/>
  <c r="S24" i="39"/>
  <c r="O24" i="39"/>
  <c r="N24" i="39"/>
  <c r="M24" i="39"/>
  <c r="L24" i="39"/>
  <c r="U115" i="39"/>
  <c r="T115" i="39"/>
  <c r="S115" i="39"/>
  <c r="O115" i="39"/>
  <c r="N115" i="39"/>
  <c r="M115" i="39"/>
  <c r="L115" i="39"/>
  <c r="U121" i="39"/>
  <c r="T121" i="39"/>
  <c r="S121" i="39"/>
  <c r="O121" i="39"/>
  <c r="N121" i="39"/>
  <c r="M121" i="39"/>
  <c r="L121" i="39"/>
  <c r="U120" i="39"/>
  <c r="T120" i="39"/>
  <c r="S120" i="39"/>
  <c r="O120" i="39"/>
  <c r="N120" i="39"/>
  <c r="M120" i="39"/>
  <c r="L120" i="39"/>
  <c r="U119" i="39"/>
  <c r="T119" i="39"/>
  <c r="S119" i="39"/>
  <c r="O119" i="39"/>
  <c r="N119" i="39"/>
  <c r="M119" i="39"/>
  <c r="L119" i="39"/>
  <c r="U118" i="39"/>
  <c r="T118" i="39"/>
  <c r="S118" i="39"/>
  <c r="O118" i="39"/>
  <c r="N118" i="39"/>
  <c r="M118" i="39"/>
  <c r="L118" i="39"/>
  <c r="U116" i="39"/>
  <c r="T116" i="39"/>
  <c r="S116" i="39"/>
  <c r="O116" i="39"/>
  <c r="N116" i="39"/>
  <c r="M116" i="39"/>
  <c r="L116" i="39"/>
  <c r="U97" i="39"/>
  <c r="T97" i="39"/>
  <c r="S97" i="39"/>
  <c r="O97" i="39"/>
  <c r="N97" i="39"/>
  <c r="M97" i="39"/>
  <c r="L97" i="39"/>
  <c r="U104" i="39"/>
  <c r="T104" i="39"/>
  <c r="S104" i="39"/>
  <c r="O104" i="39"/>
  <c r="N104" i="39"/>
  <c r="M104" i="39"/>
  <c r="L104" i="39"/>
  <c r="U103" i="39"/>
  <c r="T103" i="39"/>
  <c r="S103" i="39"/>
  <c r="O103" i="39"/>
  <c r="N103" i="39"/>
  <c r="M103" i="39"/>
  <c r="L103" i="39"/>
  <c r="U102" i="39"/>
  <c r="T102" i="39"/>
  <c r="S102" i="39"/>
  <c r="O102" i="39"/>
  <c r="N102" i="39"/>
  <c r="M102" i="39"/>
  <c r="L102" i="39"/>
  <c r="U101" i="39"/>
  <c r="T101" i="39"/>
  <c r="S101" i="39"/>
  <c r="O101" i="39"/>
  <c r="N101" i="39"/>
  <c r="M101" i="39"/>
  <c r="L101" i="39"/>
  <c r="U100" i="39"/>
  <c r="T100" i="39"/>
  <c r="S100" i="39"/>
  <c r="O100" i="39"/>
  <c r="N100" i="39"/>
  <c r="M100" i="39"/>
  <c r="L100" i="39"/>
  <c r="U98" i="39"/>
  <c r="T98" i="39"/>
  <c r="S98" i="39"/>
  <c r="O98" i="39"/>
  <c r="N98" i="39"/>
  <c r="M98" i="39"/>
  <c r="L98" i="39"/>
  <c r="U61" i="39"/>
  <c r="T61" i="39"/>
  <c r="S61" i="39"/>
  <c r="O61" i="39"/>
  <c r="N61" i="39"/>
  <c r="M61" i="39"/>
  <c r="L61" i="39"/>
  <c r="U68" i="39"/>
  <c r="T68" i="39"/>
  <c r="S68" i="39"/>
  <c r="O68" i="39"/>
  <c r="N68" i="39"/>
  <c r="M68" i="39"/>
  <c r="L68" i="39"/>
  <c r="U67" i="39"/>
  <c r="T67" i="39"/>
  <c r="S67" i="39"/>
  <c r="O67" i="39"/>
  <c r="N67" i="39"/>
  <c r="M67" i="39"/>
  <c r="L67" i="39"/>
  <c r="U66" i="39"/>
  <c r="T66" i="39"/>
  <c r="S66" i="39"/>
  <c r="O66" i="39"/>
  <c r="N66" i="39"/>
  <c r="M66" i="39"/>
  <c r="L66" i="39"/>
  <c r="U65" i="39"/>
  <c r="T65" i="39"/>
  <c r="S65" i="39"/>
  <c r="O65" i="39"/>
  <c r="N65" i="39"/>
  <c r="M65" i="39"/>
  <c r="L65" i="39"/>
  <c r="U64" i="39"/>
  <c r="T64" i="39"/>
  <c r="S64" i="39"/>
  <c r="O64" i="39"/>
  <c r="N64" i="39"/>
  <c r="M64" i="39"/>
  <c r="L64" i="39"/>
  <c r="U62" i="39"/>
  <c r="T62" i="39"/>
  <c r="S62" i="39"/>
  <c r="O62" i="39"/>
  <c r="N62" i="39"/>
  <c r="M62" i="39"/>
  <c r="L62" i="39"/>
  <c r="U43" i="39"/>
  <c r="T43" i="39"/>
  <c r="S43" i="39"/>
  <c r="O43" i="39"/>
  <c r="N43" i="39"/>
  <c r="M43" i="39"/>
  <c r="L43" i="39"/>
  <c r="U50" i="39"/>
  <c r="T50" i="39"/>
  <c r="S50" i="39"/>
  <c r="O50" i="39"/>
  <c r="N50" i="39"/>
  <c r="M50" i="39"/>
  <c r="L50" i="39"/>
  <c r="U49" i="39"/>
  <c r="T49" i="39"/>
  <c r="S49" i="39"/>
  <c r="O49" i="39"/>
  <c r="N49" i="39"/>
  <c r="M49" i="39"/>
  <c r="L49" i="39"/>
  <c r="U48" i="39"/>
  <c r="T48" i="39"/>
  <c r="S48" i="39"/>
  <c r="O48" i="39"/>
  <c r="N48" i="39"/>
  <c r="M48" i="39"/>
  <c r="L48" i="39"/>
  <c r="U47" i="39"/>
  <c r="T47" i="39"/>
  <c r="S47" i="39"/>
  <c r="O47" i="39"/>
  <c r="N47" i="39"/>
  <c r="M47" i="39"/>
  <c r="L47" i="39"/>
  <c r="U46" i="39"/>
  <c r="T46" i="39"/>
  <c r="S46" i="39"/>
  <c r="O46" i="39"/>
  <c r="N46" i="39"/>
  <c r="M46" i="39"/>
  <c r="L46" i="39"/>
  <c r="U44" i="39"/>
  <c r="T44" i="39"/>
  <c r="S44" i="39"/>
  <c r="O44" i="39"/>
  <c r="N44" i="39"/>
  <c r="M44" i="39"/>
  <c r="L44" i="39"/>
  <c r="U7" i="39"/>
  <c r="T7" i="39"/>
  <c r="S7" i="39"/>
  <c r="O7" i="39"/>
  <c r="N7" i="39"/>
  <c r="M7" i="39"/>
  <c r="L7" i="39"/>
  <c r="U14" i="39"/>
  <c r="T14" i="39"/>
  <c r="S14" i="39"/>
  <c r="O14" i="39"/>
  <c r="N14" i="39"/>
  <c r="M14" i="39"/>
  <c r="L14" i="39"/>
  <c r="U13" i="39"/>
  <c r="T13" i="39"/>
  <c r="S13" i="39"/>
  <c r="O13" i="39"/>
  <c r="N13" i="39"/>
  <c r="M13" i="39"/>
  <c r="L13" i="39"/>
  <c r="U12" i="39"/>
  <c r="T12" i="39"/>
  <c r="S12" i="39"/>
  <c r="O12" i="39"/>
  <c r="N12" i="39"/>
  <c r="M12" i="39"/>
  <c r="L12" i="39"/>
  <c r="U11" i="39"/>
  <c r="T11" i="39"/>
  <c r="S11" i="39"/>
  <c r="O11" i="39"/>
  <c r="N11" i="39"/>
  <c r="M11" i="39"/>
  <c r="L11" i="39"/>
  <c r="U10" i="39"/>
  <c r="T10" i="39"/>
  <c r="S10" i="39"/>
  <c r="O10" i="39"/>
  <c r="N10" i="39"/>
  <c r="M10" i="39"/>
  <c r="L10" i="39"/>
  <c r="U8" i="39"/>
  <c r="T8" i="39"/>
  <c r="S8" i="39"/>
  <c r="O8" i="39"/>
  <c r="N8" i="39"/>
  <c r="M8" i="39"/>
  <c r="L8" i="39"/>
  <c r="U70" i="39"/>
  <c r="T70" i="39"/>
  <c r="S70" i="39"/>
  <c r="O70" i="39"/>
  <c r="N70" i="39"/>
  <c r="M70" i="39"/>
  <c r="L70" i="39"/>
  <c r="U77" i="39"/>
  <c r="T77" i="39"/>
  <c r="S77" i="39"/>
  <c r="O77" i="39"/>
  <c r="N77" i="39"/>
  <c r="M77" i="39"/>
  <c r="L77" i="39"/>
  <c r="U76" i="39"/>
  <c r="T76" i="39"/>
  <c r="S76" i="39"/>
  <c r="O76" i="39"/>
  <c r="N76" i="39"/>
  <c r="M76" i="39"/>
  <c r="L76" i="39"/>
  <c r="U75" i="39"/>
  <c r="T75" i="39"/>
  <c r="S75" i="39"/>
  <c r="O75" i="39"/>
  <c r="N75" i="39"/>
  <c r="M75" i="39"/>
  <c r="L75" i="39"/>
  <c r="U74" i="39"/>
  <c r="T74" i="39"/>
  <c r="S74" i="39"/>
  <c r="O74" i="39"/>
  <c r="N74" i="39"/>
  <c r="M74" i="39"/>
  <c r="L74" i="39"/>
  <c r="U73" i="39"/>
  <c r="T73" i="39"/>
  <c r="S73" i="39"/>
  <c r="O73" i="39"/>
  <c r="N73" i="39"/>
  <c r="M73" i="39"/>
  <c r="L73" i="39"/>
  <c r="U71" i="39"/>
  <c r="T71" i="39"/>
  <c r="S71" i="39"/>
  <c r="O71" i="39"/>
  <c r="N71" i="39"/>
  <c r="M71" i="39"/>
  <c r="L71" i="39"/>
  <c r="U106" i="39"/>
  <c r="T106" i="39"/>
  <c r="S106" i="39"/>
  <c r="O106" i="39"/>
  <c r="N106" i="39"/>
  <c r="M106" i="39"/>
  <c r="L106" i="39"/>
  <c r="U113" i="39"/>
  <c r="T113" i="39"/>
  <c r="S113" i="39"/>
  <c r="O113" i="39"/>
  <c r="N113" i="39"/>
  <c r="M113" i="39"/>
  <c r="L113" i="39"/>
  <c r="U112" i="39"/>
  <c r="T112" i="39"/>
  <c r="S112" i="39"/>
  <c r="O112" i="39"/>
  <c r="N112" i="39"/>
  <c r="M112" i="39"/>
  <c r="L112" i="39"/>
  <c r="U111" i="39"/>
  <c r="T111" i="39"/>
  <c r="S111" i="39"/>
  <c r="O111" i="39"/>
  <c r="N111" i="39"/>
  <c r="M111" i="39"/>
  <c r="L111" i="39"/>
  <c r="U110" i="39"/>
  <c r="T110" i="39"/>
  <c r="S110" i="39"/>
  <c r="O110" i="39"/>
  <c r="N110" i="39"/>
  <c r="M110" i="39"/>
  <c r="L110" i="39"/>
  <c r="U109" i="39"/>
  <c r="T109" i="39"/>
  <c r="S109" i="39"/>
  <c r="O109" i="39"/>
  <c r="N109" i="39"/>
  <c r="M109" i="39"/>
  <c r="L109" i="39"/>
  <c r="U107" i="39"/>
  <c r="T107" i="39"/>
  <c r="S107" i="39"/>
  <c r="O107" i="39"/>
  <c r="N107" i="39"/>
  <c r="M107" i="39"/>
  <c r="L107" i="39"/>
  <c r="U88" i="39"/>
  <c r="T88" i="39"/>
  <c r="S88" i="39"/>
  <c r="O88" i="39"/>
  <c r="N88" i="39"/>
  <c r="M88" i="39"/>
  <c r="L88" i="39"/>
  <c r="U95" i="39"/>
  <c r="T95" i="39"/>
  <c r="S95" i="39"/>
  <c r="O95" i="39"/>
  <c r="N95" i="39"/>
  <c r="M95" i="39"/>
  <c r="L95" i="39"/>
  <c r="U94" i="39"/>
  <c r="T94" i="39"/>
  <c r="S94" i="39"/>
  <c r="O94" i="39"/>
  <c r="N94" i="39"/>
  <c r="M94" i="39"/>
  <c r="L94" i="39"/>
  <c r="U93" i="39"/>
  <c r="T93" i="39"/>
  <c r="S93" i="39"/>
  <c r="O93" i="39"/>
  <c r="N93" i="39"/>
  <c r="M93" i="39"/>
  <c r="L93" i="39"/>
  <c r="U92" i="39"/>
  <c r="T92" i="39"/>
  <c r="S92" i="39"/>
  <c r="O92" i="39"/>
  <c r="N92" i="39"/>
  <c r="M92" i="39"/>
  <c r="L92" i="39"/>
  <c r="U91" i="39"/>
  <c r="T91" i="39"/>
  <c r="S91" i="39"/>
  <c r="O91" i="39"/>
  <c r="N91" i="39"/>
  <c r="M91" i="39"/>
  <c r="L91" i="39"/>
  <c r="U89" i="39"/>
  <c r="T89" i="39"/>
  <c r="S89" i="39"/>
  <c r="O89" i="39"/>
  <c r="N89" i="39"/>
  <c r="M89" i="39"/>
  <c r="L89" i="39"/>
  <c r="U79" i="39"/>
  <c r="T79" i="39"/>
  <c r="S79" i="39"/>
  <c r="O79" i="39"/>
  <c r="N79" i="39"/>
  <c r="M79" i="39"/>
  <c r="L79" i="39"/>
  <c r="U86" i="39"/>
  <c r="T86" i="39"/>
  <c r="S86" i="39"/>
  <c r="O86" i="39"/>
  <c r="N86" i="39"/>
  <c r="M86" i="39"/>
  <c r="L86" i="39"/>
  <c r="U85" i="39"/>
  <c r="T85" i="39"/>
  <c r="S85" i="39"/>
  <c r="O85" i="39"/>
  <c r="N85" i="39"/>
  <c r="M85" i="39"/>
  <c r="L85" i="39"/>
  <c r="U84" i="39"/>
  <c r="T84" i="39"/>
  <c r="S84" i="39"/>
  <c r="O84" i="39"/>
  <c r="N84" i="39"/>
  <c r="M84" i="39"/>
  <c r="L84" i="39"/>
  <c r="U83" i="39"/>
  <c r="T83" i="39"/>
  <c r="S83" i="39"/>
  <c r="O83" i="39"/>
  <c r="N83" i="39"/>
  <c r="M83" i="39"/>
  <c r="L83" i="39"/>
  <c r="U82" i="39"/>
  <c r="T82" i="39"/>
  <c r="S82" i="39"/>
  <c r="O82" i="39"/>
  <c r="N82" i="39"/>
  <c r="M82" i="39"/>
  <c r="L82" i="39"/>
  <c r="U80" i="39"/>
  <c r="T80" i="39"/>
  <c r="S80" i="39"/>
  <c r="O80" i="39"/>
  <c r="N80" i="39"/>
  <c r="M80" i="39"/>
  <c r="L80" i="39"/>
  <c r="U52" i="39"/>
  <c r="T52" i="39"/>
  <c r="S52" i="39"/>
  <c r="O52" i="39"/>
  <c r="N52" i="39"/>
  <c r="M52" i="39"/>
  <c r="L52" i="39"/>
  <c r="U59" i="39"/>
  <c r="T59" i="39"/>
  <c r="S59" i="39"/>
  <c r="O59" i="39"/>
  <c r="N59" i="39"/>
  <c r="M59" i="39"/>
  <c r="L59" i="39"/>
  <c r="U58" i="39"/>
  <c r="T58" i="39"/>
  <c r="S58" i="39"/>
  <c r="O58" i="39"/>
  <c r="N58" i="39"/>
  <c r="M58" i="39"/>
  <c r="L58" i="39"/>
  <c r="U57" i="39"/>
  <c r="T57" i="39"/>
  <c r="S57" i="39"/>
  <c r="O57" i="39"/>
  <c r="N57" i="39"/>
  <c r="M57" i="39"/>
  <c r="L57" i="39"/>
  <c r="U56" i="39"/>
  <c r="T56" i="39"/>
  <c r="S56" i="39"/>
  <c r="O56" i="39"/>
  <c r="N56" i="39"/>
  <c r="M56" i="39"/>
  <c r="L56" i="39"/>
  <c r="U55" i="39"/>
  <c r="T55" i="39"/>
  <c r="S55" i="39"/>
  <c r="O55" i="39"/>
  <c r="N55" i="39"/>
  <c r="M55" i="39"/>
  <c r="L55" i="39"/>
  <c r="U53" i="39"/>
  <c r="T53" i="39"/>
  <c r="S53" i="39"/>
  <c r="O53" i="39"/>
  <c r="N53" i="39"/>
  <c r="M53" i="39"/>
  <c r="L53" i="39"/>
  <c r="U34" i="39"/>
  <c r="T34" i="39"/>
  <c r="S34" i="39"/>
  <c r="O34" i="39"/>
  <c r="N34" i="39"/>
  <c r="M34" i="39"/>
  <c r="L34" i="39"/>
  <c r="U41" i="39"/>
  <c r="T41" i="39"/>
  <c r="S41" i="39"/>
  <c r="O41" i="39"/>
  <c r="N41" i="39"/>
  <c r="M41" i="39"/>
  <c r="L41" i="39"/>
  <c r="U40" i="39"/>
  <c r="T40" i="39"/>
  <c r="S40" i="39"/>
  <c r="O40" i="39"/>
  <c r="N40" i="39"/>
  <c r="M40" i="39"/>
  <c r="L40" i="39"/>
  <c r="U39" i="39"/>
  <c r="T39" i="39"/>
  <c r="S39" i="39"/>
  <c r="O39" i="39"/>
  <c r="N39" i="39"/>
  <c r="M39" i="39"/>
  <c r="L39" i="39"/>
  <c r="U38" i="39"/>
  <c r="T38" i="39"/>
  <c r="S38" i="39"/>
  <c r="O38" i="39"/>
  <c r="N38" i="39"/>
  <c r="M38" i="39"/>
  <c r="L38" i="39"/>
  <c r="U37" i="39"/>
  <c r="T37" i="39"/>
  <c r="S37" i="39"/>
  <c r="O37" i="39"/>
  <c r="N37" i="39"/>
  <c r="M37" i="39"/>
  <c r="L37" i="39"/>
  <c r="U35" i="39"/>
  <c r="T35" i="39"/>
  <c r="S35" i="39"/>
  <c r="O35" i="39"/>
  <c r="N35" i="39"/>
  <c r="M35" i="39"/>
  <c r="L35" i="39"/>
  <c r="U25" i="39"/>
  <c r="T25" i="39"/>
  <c r="S25" i="39"/>
  <c r="O25" i="39"/>
  <c r="N25" i="39"/>
  <c r="M25" i="39"/>
  <c r="L25" i="39"/>
  <c r="U32" i="39"/>
  <c r="T32" i="39"/>
  <c r="S32" i="39"/>
  <c r="O32" i="39"/>
  <c r="N32" i="39"/>
  <c r="M32" i="39"/>
  <c r="L32" i="39"/>
  <c r="U31" i="39"/>
  <c r="T31" i="39"/>
  <c r="S31" i="39"/>
  <c r="O31" i="39"/>
  <c r="N31" i="39"/>
  <c r="M31" i="39"/>
  <c r="L31" i="39"/>
  <c r="U30" i="39"/>
  <c r="T30" i="39"/>
  <c r="S30" i="39"/>
  <c r="O30" i="39"/>
  <c r="N30" i="39"/>
  <c r="M30" i="39"/>
  <c r="L30" i="39"/>
  <c r="U29" i="39"/>
  <c r="T29" i="39"/>
  <c r="S29" i="39"/>
  <c r="O29" i="39"/>
  <c r="N29" i="39"/>
  <c r="M29" i="39"/>
  <c r="L29" i="39"/>
  <c r="U28" i="39"/>
  <c r="T28" i="39"/>
  <c r="S28" i="39"/>
  <c r="O28" i="39"/>
  <c r="N28" i="39"/>
  <c r="M28" i="39"/>
  <c r="L28" i="39"/>
  <c r="U26" i="39"/>
  <c r="T26" i="39"/>
  <c r="S26" i="39"/>
  <c r="O26" i="39"/>
  <c r="N26" i="39"/>
  <c r="M26" i="39"/>
  <c r="L26" i="39"/>
  <c r="U16" i="39"/>
  <c r="T16" i="39"/>
  <c r="S16" i="39"/>
  <c r="O16" i="39"/>
  <c r="N16" i="39"/>
  <c r="M16" i="39"/>
  <c r="L16" i="39"/>
  <c r="U23" i="39"/>
  <c r="T23" i="39"/>
  <c r="S23" i="39"/>
  <c r="O23" i="39"/>
  <c r="N23" i="39"/>
  <c r="M23" i="39"/>
  <c r="L23" i="39"/>
  <c r="U22" i="39"/>
  <c r="T22" i="39"/>
  <c r="S22" i="39"/>
  <c r="O22" i="39"/>
  <c r="N22" i="39"/>
  <c r="M22" i="39"/>
  <c r="L22" i="39"/>
  <c r="U21" i="39"/>
  <c r="T21" i="39"/>
  <c r="S21" i="39"/>
  <c r="O21" i="39"/>
  <c r="N21" i="39"/>
  <c r="M21" i="39"/>
  <c r="L21" i="39"/>
  <c r="U20" i="39"/>
  <c r="T20" i="39"/>
  <c r="S20" i="39"/>
  <c r="O20" i="39"/>
  <c r="N20" i="39"/>
  <c r="M20" i="39"/>
  <c r="L20" i="39"/>
  <c r="U19" i="39"/>
  <c r="T19" i="39"/>
  <c r="S19" i="39"/>
  <c r="O19" i="39"/>
  <c r="N19" i="39"/>
  <c r="M19" i="39"/>
  <c r="L19" i="39"/>
  <c r="U17" i="39"/>
  <c r="T17" i="39"/>
  <c r="S17" i="39"/>
  <c r="O17" i="39"/>
  <c r="N17" i="39"/>
  <c r="M17" i="39"/>
  <c r="L17" i="39"/>
  <c r="B23" i="31" l="1"/>
  <c r="B24" i="31"/>
  <c r="B18" i="31" l="1"/>
  <c r="B6" i="31" l="1"/>
  <c r="B5" i="31"/>
</calcChain>
</file>

<file path=xl/sharedStrings.xml><?xml version="1.0" encoding="utf-8"?>
<sst xmlns="http://schemas.openxmlformats.org/spreadsheetml/2006/main" count="3331" uniqueCount="889">
  <si>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</si>
  <si>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</si>
  <si>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</si>
  <si>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</si>
  <si>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</si>
  <si>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</si>
  <si>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</si>
  <si>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</si>
  <si>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</si>
  <si>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</si>
  <si>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</si>
  <si>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</si>
  <si>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</si>
  <si>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Indivíduo</t>
  </si>
  <si>
    <t>Classe</t>
  </si>
  <si>
    <t>Fato</t>
  </si>
  <si>
    <t>descrição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</si>
  <si>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</si>
  <si>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</si>
  <si>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</si>
  <si>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</si>
  <si>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</si>
  <si>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</si>
  <si>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</si>
  <si>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</si>
  <si>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</si>
  <si>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</si>
  <si>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</si>
  <si>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</si>
  <si>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</si>
  <si>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N°</t>
  </si>
  <si>
    <t>https://github.com/JLMenegotto/RepoOnto#</t>
  </si>
  <si>
    <t>Explicação</t>
  </si>
  <si>
    <t>Explicación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</si>
  <si>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</si>
  <si>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</si>
  <si>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</si>
  <si>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</si>
  <si>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</si>
  <si>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</si>
  <si>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</si>
  <si>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</si>
  <si>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</si>
  <si>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</si>
  <si>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</si>
  <si>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</si>
  <si>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</si>
  <si>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</si>
  <si>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</si>
  <si>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</si>
  <si>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</si>
  <si>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</si>
  <si>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</si>
  <si>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</si>
  <si>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</si>
  <si>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</si>
  <si>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</si>
  <si>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</si>
  <si>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</si>
  <si>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</si>
  <si>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</si>
  <si>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</si>
  <si>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</si>
  <si>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</si>
  <si>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</si>
  <si>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</si>
  <si>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</si>
  <si>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</si>
  <si>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</si>
  <si>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</si>
  <si>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</si>
  <si>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</si>
  <si>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</si>
  <si>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</si>
  <si>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</si>
  <si>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</si>
  <si>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</si>
  <si>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Brasil - Rio de Janeiro</t>
  </si>
  <si>
    <t>é.pertencente.a</t>
  </si>
  <si>
    <t>CategoriaRvt</t>
  </si>
  <si>
    <t>ClasseIfc</t>
  </si>
  <si>
    <t>00.Super
Class
5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</si>
  <si>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</si>
  <si>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</si>
  <si>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</si>
  <si>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</si>
  <si>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</si>
  <si>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</si>
  <si>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</si>
  <si>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</si>
  <si>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Fabricantes_e_Fornecedores</t>
  </si>
  <si>
    <t>Dados de fabricantes e fornecedores de produtos para a construção ciivil</t>
  </si>
  <si>
    <t>Formalizar dados de fabricantes e fornecedores de produtos para a construção</t>
  </si>
  <si>
    <t>Contêiner</t>
  </si>
  <si>
    <t>Fornecedores</t>
  </si>
  <si>
    <t>Segmento.de.Arquitetura</t>
  </si>
  <si>
    <t>Segmento.de.Estrutura</t>
  </si>
  <si>
    <t>Segmento.de.Instalações</t>
  </si>
  <si>
    <t>Segmento.de.Inovação</t>
  </si>
  <si>
    <t>Segmento.de.Mobiliário</t>
  </si>
  <si>
    <t>Segmento.Hospitalar</t>
  </si>
  <si>
    <t>Segmento.Laboratorial</t>
  </si>
  <si>
    <t>Fornecedor do segmento de estrutura: é um serviço</t>
  </si>
  <si>
    <t>Fornecedor do segmento de estrutura: é um consultor autônomo</t>
  </si>
  <si>
    <t>Fornecedor do segmento de estrutura: é uma empresa consultora</t>
  </si>
  <si>
    <t>Fornecedor do segmento de estrutura: é um fabricante de produtos</t>
  </si>
  <si>
    <t>Fornecedor do segmento de instalações: é um serviço</t>
  </si>
  <si>
    <t>Fornecedor do segmento de instalações: é um consultor autônomo</t>
  </si>
  <si>
    <t>Fornecedor do segmento de instalações: é uma empresa consultora</t>
  </si>
  <si>
    <t>Fornecedor do segmento de instalações: é um fabricante de produtos</t>
  </si>
  <si>
    <t>Fornecedor do segmento de mobiliário: é um serviço</t>
  </si>
  <si>
    <t>Fornecedor do segmento de mobiliário: é um consultor autônomo</t>
  </si>
  <si>
    <t>Fornecedor do segmento de mobiliário: é uma empresa consultora</t>
  </si>
  <si>
    <t>Fornecedor do segmento de mobiliário: é um fabricante de produtos</t>
  </si>
  <si>
    <t>Fornecedor do segmento de laboratorial: é um serviço</t>
  </si>
  <si>
    <t>Fornecedor do segmento de laboratorial: é um consultor autônomo</t>
  </si>
  <si>
    <t>Fornecedor do segmento de laboratorial: é uma empresa consultora</t>
  </si>
  <si>
    <t>Fornecedor do segmento de laboratorial: é um fabricante de produtos</t>
  </si>
  <si>
    <t>Fornecedor do segmento de inovação: é um serviço</t>
  </si>
  <si>
    <t>Fornecedor do segmento de inovação: é um consultor autônomo</t>
  </si>
  <si>
    <t>Fornecedor do segmento de inovação: é uma empresa consultora</t>
  </si>
  <si>
    <t>Fornecedor do segmento de inovação: é um fabricante de produtos</t>
  </si>
  <si>
    <t>Fornecedor do segmento de geotécnica: é um serviço</t>
  </si>
  <si>
    <t>Fornecedor do segmento de geotécnica: é um consultor autônomo</t>
  </si>
  <si>
    <t>Fornecedor do segmento de geotécnica: é uma empresa consultora</t>
  </si>
  <si>
    <t>Fornecedor do segmento de geotécnica: é um fabricante de produtos</t>
  </si>
  <si>
    <t>Fornecedor do segmento hospitalar: é um serviço</t>
  </si>
  <si>
    <t>Fornecedor do segmento hospitalar: é um consultor autônomo</t>
  </si>
  <si>
    <t>Fornecedor do segmento hospitalar: é uma empresa consultora</t>
  </si>
  <si>
    <t>Fornecedor do segmento hospitalar: é um fabricante de produtos</t>
  </si>
  <si>
    <t>Produto.de.Obra</t>
  </si>
  <si>
    <t>Produto.de.Drenagem</t>
  </si>
  <si>
    <t>Produto.de.Tráfego</t>
  </si>
  <si>
    <t>Produto.de.Fundação</t>
  </si>
  <si>
    <t>Produto.de.Estrutura</t>
  </si>
  <si>
    <t>Produto.de.Vedação</t>
  </si>
  <si>
    <t>Produto.de.Acabado</t>
  </si>
  <si>
    <t>Produto.de.Abertura</t>
  </si>
  <si>
    <t>Produto.de.Acústica</t>
  </si>
  <si>
    <t>Produto.de.Elétrica</t>
  </si>
  <si>
    <t>Produto.de.Iluminação</t>
  </si>
  <si>
    <t>Produto.de.Exaustão.Ventilação</t>
  </si>
  <si>
    <t>Produto.de.Telecom.Urbana</t>
  </si>
  <si>
    <t>Produto.de.Telecom.Predial</t>
  </si>
  <si>
    <t>Produto.de.Hidráulica.Urbana</t>
  </si>
  <si>
    <t>Produto.de.Hidráulica.Predial</t>
  </si>
  <si>
    <t>Produto.de.Pluvial</t>
  </si>
  <si>
    <t>Produto.de.Esgoto.Predial</t>
  </si>
  <si>
    <t>Produto.de.Esgoto.Urbano</t>
  </si>
  <si>
    <t>Produto.de.Resíduo</t>
  </si>
  <si>
    <t>Produto.de.Refrigeração</t>
  </si>
  <si>
    <t>Produto.de.Aquecimento</t>
  </si>
  <si>
    <t>Produto.de.Gases</t>
  </si>
  <si>
    <t>Produto.de.Mobiliário</t>
  </si>
  <si>
    <t>Produto.de.Automação</t>
  </si>
  <si>
    <t>Produto.de.Proteção.de.Incêndio</t>
  </si>
  <si>
    <t>Produto.de.Segurança.Patrimonial</t>
  </si>
  <si>
    <t>Fornecidos</t>
  </si>
  <si>
    <t>Produto.de.Geotécnica</t>
  </si>
  <si>
    <t>Informação</t>
  </si>
  <si>
    <t>Produto.de.Proteção.de.Descargas</t>
  </si>
  <si>
    <t>Segmento.de.Acústica</t>
  </si>
  <si>
    <t>Fornecedor do segmento de arquitetura: é um serviço</t>
  </si>
  <si>
    <t>Fornecedor do segmento de arquitetura: é um consultor autônomo</t>
  </si>
  <si>
    <t>Fornecedor do segmento de arquitetura: é uma empresa consultora</t>
  </si>
  <si>
    <t>Fornecedor do segmento de arquitetura: é um fabricante de produtos</t>
  </si>
  <si>
    <t>Fornecedor do segmento de acústica: é um serviço</t>
  </si>
  <si>
    <t>Fornecedor do segmento de acústica: é um consultor autônomo</t>
  </si>
  <si>
    <t>Fornecedor do segmento de acústica: é uma empresa consultora</t>
  </si>
  <si>
    <t>Fornecedor do segmento de acústica: é um fabricante de produtos</t>
  </si>
  <si>
    <t>Fornecedor do segmento de arquitetura: é um fornecedor</t>
  </si>
  <si>
    <t>Fornecedor do segmento de acústica: é um fornecedor</t>
  </si>
  <si>
    <t>Fornecedor do segmento de estrutura: é um fornecedor</t>
  </si>
  <si>
    <t>Fornecedor do segmento de geotécnica: é um fornecedor</t>
  </si>
  <si>
    <t>Fornecedor do segmento de instalações: é um fornecedor</t>
  </si>
  <si>
    <t>Fornecedor do segmento de mobiliário: é um fornecedor</t>
  </si>
  <si>
    <t>Fornecedor do segmento hospitalar: é um fornecedor</t>
  </si>
  <si>
    <t>Fornecedor do segmento de laboratorial: é um fornecedor</t>
  </si>
  <si>
    <t>Fornecedor do segmento de inovação: é um fornecedor</t>
  </si>
  <si>
    <t>É um produto ou elemento do segmento de Iluminação</t>
  </si>
  <si>
    <t>Produção</t>
  </si>
  <si>
    <t>Segmento.de.Geotécnica</t>
  </si>
  <si>
    <t>Fornecedor do segmento geral: é um consultor autônomo</t>
  </si>
  <si>
    <t>Fornecedor do segmento geral: é uma empresa consultora</t>
  </si>
  <si>
    <t>Fornecedor do segmento geral: é um fabricante de produtos</t>
  </si>
  <si>
    <t>Fornecedor do segmento geral: é um fornecedor</t>
  </si>
  <si>
    <t>Fornecedor do segmento geral: é um serviço</t>
  </si>
  <si>
    <t>É um produto ou elemento do segmento de estrutura de fundação</t>
  </si>
  <si>
    <t>É um produto ou elemento do segmento de geotécnica</t>
  </si>
  <si>
    <t>É um produto ou elemento do segmento de drenagem</t>
  </si>
  <si>
    <t>É um produto ou elemento do segmento de estrutura</t>
  </si>
  <si>
    <t>É um produto ou elemento do segmento de acabado</t>
  </si>
  <si>
    <t>É um produto ou elemento do segmento de acústica</t>
  </si>
  <si>
    <t>É um produto ou elemento do segmento de elétrica</t>
  </si>
  <si>
    <t>É um produto ou elemento do segmento de exaustão e ventilação</t>
  </si>
  <si>
    <t>É um produto ou elemento do segmento de rede de esgoto predial</t>
  </si>
  <si>
    <t>É um produto ou elemento do segmento de rede de esgoto urbano</t>
  </si>
  <si>
    <t>É um produto ou elemento do segmento de rede hidráulica predial</t>
  </si>
  <si>
    <t>É um produto ou elemento do segmento de rede de hidráulica urbana</t>
  </si>
  <si>
    <t>É um produto ou elemento do segmento de rede de telecom urbana</t>
  </si>
  <si>
    <t>É um produto ou elemento do segmento de rede de telecom predial</t>
  </si>
  <si>
    <t>É um produto ou elemento do segmento de rede pluvial</t>
  </si>
  <si>
    <t>É um produto ou elemento do segmento de tratamento de resíduos</t>
  </si>
  <si>
    <t>É um produto ou elemento do segmento de refrigeração</t>
  </si>
  <si>
    <t>É um produto ou elemento do segmento de aquecimento</t>
  </si>
  <si>
    <t>É um produto ou elemento do segmento de gases</t>
  </si>
  <si>
    <t>É um produto ou elemento do segmento de mobiliário</t>
  </si>
  <si>
    <t>É um produto ou elemento do segmento de automação</t>
  </si>
  <si>
    <t>É um produto ou elemento do segmento de proteção de descargas atmosfêricas</t>
  </si>
  <si>
    <t>É um produto ou elemento do segmento de proteção de incêndio</t>
  </si>
  <si>
    <t>É um produto ou elemento do segmento de segurança patrimonial</t>
  </si>
  <si>
    <t>É um produto ou elemento do segmento de aberturas e esquadrias</t>
  </si>
  <si>
    <t>É um produto ou elemento do segmento de vedação, paredes e telhados</t>
  </si>
  <si>
    <t>É um produto ou elemento do segmento de tráfego e pavimentação</t>
  </si>
  <si>
    <t>É um produto ou elemento do segmento de canteiro de obra</t>
  </si>
  <si>
    <t>Tigre</t>
  </si>
  <si>
    <t>Fischer</t>
  </si>
  <si>
    <t>Segmento.Geral</t>
  </si>
  <si>
    <t>SG.Canalização</t>
  </si>
  <si>
    <t>Fornecedor do segmento de arquitetura: é um Projetista ou Empresa de projeto</t>
  </si>
  <si>
    <t>Fornecedor do segmento de estrutura:  é um Projetista ou Empresa de projeto</t>
  </si>
  <si>
    <t>Fornecedor do segmento de geotécnica: é um Projetista ou Empresa de projeto</t>
  </si>
  <si>
    <t>Fornecedor do segmento hospitalar: é um Projetista ou Empresa de projeto</t>
  </si>
  <si>
    <t>Fornecedor do segmento de instalações: é um Projetista ou Empresa de projeto</t>
  </si>
  <si>
    <t>Fornecedor do segmento de laboratorial: é um Projetista ou Empresa de projeto</t>
  </si>
  <si>
    <t>Fornecedor do segmento de mobiliário: é um Projetista ou Empresa de projeto</t>
  </si>
  <si>
    <t>Fornecedor do segmento de inovação: é um Projetista ou Empresa de projeto</t>
  </si>
  <si>
    <t>Fornecedor do segmento de acústica: é um Projetista ou Empresa de projeto</t>
  </si>
  <si>
    <t>Fornecedor do segmento geral: é um Projetista ou Empresa de projeto</t>
  </si>
  <si>
    <t>fabricante.de</t>
  </si>
  <si>
    <t>Gerdau</t>
  </si>
  <si>
    <t>Cassol</t>
  </si>
  <si>
    <t>Peças.Sanitárias</t>
  </si>
  <si>
    <t>Peças.Estruturais</t>
  </si>
  <si>
    <t>Peças.Mobiliário</t>
  </si>
  <si>
    <t>Peças.Hidráulicas</t>
  </si>
  <si>
    <t>Deca</t>
  </si>
  <si>
    <t>Sodimac</t>
  </si>
  <si>
    <t>"Loja de materiais de construção."</t>
  </si>
  <si>
    <t>fornecedor.de</t>
  </si>
  <si>
    <t>Celite</t>
  </si>
  <si>
    <t>Knauf</t>
  </si>
  <si>
    <t>SG.Quartzolit</t>
  </si>
  <si>
    <t>"Argamassas, rejuntes, impermeabilizantes, limpadores, adesivos, selantes, pisos, lixa e tintas."</t>
  </si>
  <si>
    <t>Tecnoflex</t>
  </si>
  <si>
    <t>Alberflex</t>
  </si>
  <si>
    <t>"Tubulações predias em PVC: tubos de alimentação e esgoto, conexões, ralos e acessórios para hidráulica predial."</t>
  </si>
  <si>
    <t>"Elementos de fixação: parafusos, chumbadores e fixação para diversos itens da construção."</t>
  </si>
  <si>
    <t>"Peças estruturais de aço: perfis laminados W, HP, I, cantoneiras, barras, arames, pregos, chapas, estribos, guias de elevadores, malhas."</t>
  </si>
  <si>
    <t>"Elementos de concreto pre-fabricado: colunas, vigas, lajes alveolares."</t>
  </si>
  <si>
    <t>AtenuaSom</t>
  </si>
  <si>
    <t>"Esquadrias acústicas: janelas antirruído, portas antirruído, portas e janelas minimalistas de grandes dimensões."</t>
  </si>
  <si>
    <t>Protec</t>
  </si>
  <si>
    <t>"Equipamentos hospitalares: oxímetros, analisadores, monitores multiparamétricos, ventiladores pulmonares, etc."</t>
  </si>
  <si>
    <t>Equipamentos.Saúde</t>
  </si>
  <si>
    <t>Valeflux</t>
  </si>
  <si>
    <t>"Peças de aço para tubulações sanitárias e industriais: tubos, conexões, válvulas e acessórios."</t>
  </si>
  <si>
    <t>Sanitrit</t>
  </si>
  <si>
    <t>"Bacias inteligentes, bombas, drenos e trituradores sanitários."</t>
  </si>
  <si>
    <t>Tubrax</t>
  </si>
  <si>
    <t>"Equipamentos sanitários e cozinhas: bacias monobloco e convencionais, cubas de aço inox e cerâmica, banheiras, canal organizador, tanques, acessórios."</t>
  </si>
  <si>
    <t>"Equipamentos sanitários de banheiro e cozinha: bacias, cubas, lavatórios, bidês, chuveiros, duchas, torneiras, misturadores, válvulas, acessórios."</t>
  </si>
  <si>
    <t>"Fabricante de produtos de construção a seco."</t>
  </si>
  <si>
    <t>"Fabricante de argamassas industrializadas."</t>
  </si>
  <si>
    <t>"Fabricante de produtos de saneamento básico."</t>
  </si>
  <si>
    <t>"Fabricante de equipamentos sanitários, marca da empresa Grupo TBX."</t>
  </si>
  <si>
    <t>"Fabricante de produtos para tubulações sanitárias e industriais."</t>
  </si>
  <si>
    <t>"Fabricante de soluções de esgotamento sanitário."</t>
  </si>
  <si>
    <t>"Fabricante de equipamentos hospitalares."</t>
  </si>
  <si>
    <t>"Fabricante de soluções acústicas para o projeto."</t>
  </si>
  <si>
    <t>"Fabricante de produtos de instalações sanitárias."</t>
  </si>
  <si>
    <t>"Fabricante de produtos de fixação."</t>
  </si>
  <si>
    <t>"Fabricante de perfis laminados estruturais."</t>
  </si>
  <si>
    <t>"Fabricante de soluções para a construção pré-Fabricada."</t>
  </si>
  <si>
    <t>"Fabricante de equipamentos sanitários para banho e cozinha."</t>
  </si>
  <si>
    <t>Exponencial.Móveis</t>
  </si>
  <si>
    <t>"Fabricante de mobiliário para escritórios."</t>
  </si>
  <si>
    <t>"Contêiner do catálogo de peças sanitárias usadas no projeto."</t>
  </si>
  <si>
    <t>"Contêiner do catálogo de peças estruturais usadas no projeto."</t>
  </si>
  <si>
    <t>"Contêiner do catálogo de peças mobiliário usados no projeto."</t>
  </si>
  <si>
    <t>"Contêiner do catálogo de peças hidráulicas usadas no projeto."</t>
  </si>
  <si>
    <t>"Contêiner do catálogo de equipamentos hospitalares usados no projeto."</t>
  </si>
  <si>
    <t>Segmento.do.Produto</t>
  </si>
  <si>
    <t>Segmentos.dos.Produto</t>
  </si>
  <si>
    <t>Segmentos.dos.Profissionais</t>
  </si>
  <si>
    <t>Fornecedor do segmento de iluminação: é um consultor autônomo</t>
  </si>
  <si>
    <t>Fornecedor do segmento de iluminação: é uma empresa consultora</t>
  </si>
  <si>
    <t>Fornecedor do segmento de iluminação: é um fabricante de produtos</t>
  </si>
  <si>
    <t>Fornecedor do segmento de iluminação: é um fornecedor</t>
  </si>
  <si>
    <t>Fornecedor do segmento de iluminação: é um Projetista ou Empresa de projeto</t>
  </si>
  <si>
    <t>Fornecedor do segmento de iluminação: é um serviço</t>
  </si>
  <si>
    <t>Segmento.de.Iluminação</t>
  </si>
  <si>
    <t>Mec.Consultor</t>
  </si>
  <si>
    <t>Mec.Empresa.Consultora</t>
  </si>
  <si>
    <t>Mec.Fabricante</t>
  </si>
  <si>
    <t>Mec.Projetista</t>
  </si>
  <si>
    <t>Mec.Serviço</t>
  </si>
  <si>
    <t>Mob.Consultor</t>
  </si>
  <si>
    <t>Mob.Empresa.Consultora</t>
  </si>
  <si>
    <t>Mob.Fabricante</t>
  </si>
  <si>
    <t>Mob.Projetista</t>
  </si>
  <si>
    <t>Mob.Serviço</t>
  </si>
  <si>
    <t>Fornecedor do segmento de equipamentos mecânicos: é uma empresa consultora</t>
  </si>
  <si>
    <t>Fornecedor do segmento de equipamentos mecânicos: é um fabricante de produtos</t>
  </si>
  <si>
    <t>Fornecedor do segmento de equipamentos mecânicos: é um fornecedor</t>
  </si>
  <si>
    <t>Fornecedor do segmento de equipamentos mecânicos: é um Projetista ou Empresa de projeto</t>
  </si>
  <si>
    <t>Fornecedor do segmento de equipamentos mecânicos: é um serviço</t>
  </si>
  <si>
    <t>Lab.Consultor</t>
  </si>
  <si>
    <t>Lab.Empresa.Consultora</t>
  </si>
  <si>
    <t>Lab.Fabricante</t>
  </si>
  <si>
    <t>Lab.Projetista</t>
  </si>
  <si>
    <t>Lab.Serviço</t>
  </si>
  <si>
    <t>Ins.Consultor</t>
  </si>
  <si>
    <t>Ins.Empresa.Consultora</t>
  </si>
  <si>
    <t>Ins.Fabricante</t>
  </si>
  <si>
    <t>Ins.Projetista</t>
  </si>
  <si>
    <t>Ins.Serviço</t>
  </si>
  <si>
    <t>Arq.Consultor</t>
  </si>
  <si>
    <t>Arq.Fabricante</t>
  </si>
  <si>
    <t>Arq.Projetista</t>
  </si>
  <si>
    <t>Arq.Serviço</t>
  </si>
  <si>
    <t>Est.Consultor</t>
  </si>
  <si>
    <t>Est.Empresa.Consultora</t>
  </si>
  <si>
    <t>Est.Fabricante</t>
  </si>
  <si>
    <t>Est.Projetista</t>
  </si>
  <si>
    <t>Est.Serviço</t>
  </si>
  <si>
    <t>Geo.Consultor</t>
  </si>
  <si>
    <t>Geo.Empresa.Consultora</t>
  </si>
  <si>
    <t>Geo.Fabricante</t>
  </si>
  <si>
    <t>Geo.Projetista</t>
  </si>
  <si>
    <t>Geo.Serviço</t>
  </si>
  <si>
    <t>Hos.Consultor</t>
  </si>
  <si>
    <t>Hos.Empresa.Consultora</t>
  </si>
  <si>
    <t>Hos.Fabricante</t>
  </si>
  <si>
    <t>Hos.Projetista</t>
  </si>
  <si>
    <t>Hos.Serviço</t>
  </si>
  <si>
    <t>Ino.Consultor</t>
  </si>
  <si>
    <t>Ino.Empresa.Consultora</t>
  </si>
  <si>
    <t>Ino.Fabricante</t>
  </si>
  <si>
    <t>Ino.Projetista</t>
  </si>
  <si>
    <t>Ino.Serviço</t>
  </si>
  <si>
    <t>Acu.Consultor</t>
  </si>
  <si>
    <t>Acu.Fabricante</t>
  </si>
  <si>
    <t>Acu.Projetista</t>
  </si>
  <si>
    <t>Acu.Serviço</t>
  </si>
  <si>
    <t>Ger.Consultor</t>
  </si>
  <si>
    <t>Ger.Empresa.Consultora</t>
  </si>
  <si>
    <t>Ger.Fabricante</t>
  </si>
  <si>
    <t>Ger.Projetista</t>
  </si>
  <si>
    <t>Ger.Serviço</t>
  </si>
  <si>
    <t>Ilu.Consultor</t>
  </si>
  <si>
    <t>Ilu.Empresa.Consultora</t>
  </si>
  <si>
    <t>Ilu.Fabricante</t>
  </si>
  <si>
    <t>Ilu.Projetista</t>
  </si>
  <si>
    <t>Ilu.Serviço</t>
  </si>
  <si>
    <t>Otis</t>
  </si>
  <si>
    <t>Atlas</t>
  </si>
  <si>
    <t>"Fabricante de equipamento de transporte vertical."</t>
  </si>
  <si>
    <t>Tke</t>
  </si>
  <si>
    <t>Segmento.de.Mecânica</t>
  </si>
  <si>
    <t>Segmento.de.Telecom</t>
  </si>
  <si>
    <t>Tel.Consultor</t>
  </si>
  <si>
    <t>Tel.Empresa.Consultora</t>
  </si>
  <si>
    <t>Tel.Fabricante</t>
  </si>
  <si>
    <t>Tel.Projetista</t>
  </si>
  <si>
    <t>Tel.Serviço</t>
  </si>
  <si>
    <t>Fornecedor do segmento de telecom: é uma empresa consultora</t>
  </si>
  <si>
    <t>Fornecedor do segmento de telecom: é um fabricante de produtos</t>
  </si>
  <si>
    <t>Fornecedor do segmento de telecom: é um fornecedor</t>
  </si>
  <si>
    <t>Fornecedor do segmento de telecom: é um Projetista ou Empresa de projeto</t>
  </si>
  <si>
    <t>Fornecedor do segmento de telecom: é um serviço</t>
  </si>
  <si>
    <t>Fornecedor do segmento de telecom: é um consultor autônomo</t>
  </si>
  <si>
    <t>Fornecedor do segmento de equipamentos mecânicos: é um consultor autônomo</t>
  </si>
  <si>
    <t>[ 1S.70.20.04 , 1D.25.41.11 ]</t>
  </si>
  <si>
    <t>[ 1S.50 , 1D.21.11 ]</t>
  </si>
  <si>
    <t>[ 1S.50 , 1D.21.31.11 ]</t>
  </si>
  <si>
    <t>[ 1S.50 , 1D.21.31.17 ]</t>
  </si>
  <si>
    <t>[ 1S.90.45 , 1D.21.99.22.11 ]</t>
  </si>
  <si>
    <t>[ 1S.50 , 1D.21.99.22.11 ]</t>
  </si>
  <si>
    <t>[ 1S.80.25 , 1D.21.99.22.11 ]</t>
  </si>
  <si>
    <t>[ 1S.70.20 ]</t>
  </si>
  <si>
    <t>[ 1S.10.75.03 ]</t>
  </si>
  <si>
    <t>[ 1S.90.45 ]</t>
  </si>
  <si>
    <t>[ 1S.80.25 ]</t>
  </si>
  <si>
    <t>[ 1S.50 ]</t>
  </si>
  <si>
    <t>[ 3E.02 ]</t>
  </si>
  <si>
    <t>[ 3E.04 ]</t>
  </si>
  <si>
    <t>[ 3E.06 ]</t>
  </si>
  <si>
    <t>[ 3E.08 ]</t>
  </si>
  <si>
    <t>[ 3E.10 ]</t>
  </si>
  <si>
    <t>[ 3E.12 ]</t>
  </si>
  <si>
    <t>[ 3E.14 ]</t>
  </si>
  <si>
    <t>[ 3E.16 ]</t>
  </si>
  <si>
    <t>[ 3E.20 ]</t>
  </si>
  <si>
    <t>[ 3E.22 ]</t>
  </si>
  <si>
    <t>[ 3E.26 ]</t>
  </si>
  <si>
    <t>[ 3E.28 ]</t>
  </si>
  <si>
    <t>[ 3E.30 ]</t>
  </si>
  <si>
    <t>[ 3E.32 ]</t>
  </si>
  <si>
    <t>[ 3E.34 ]</t>
  </si>
  <si>
    <t>[ 3E.36 ]</t>
  </si>
  <si>
    <t>[ 3E.38 ]</t>
  </si>
  <si>
    <t>[ 3E.40 ]</t>
  </si>
  <si>
    <t>[ 3E.42 ]</t>
  </si>
  <si>
    <t>[ 3E.44 ]</t>
  </si>
  <si>
    <t>[ 3E.48 ]</t>
  </si>
  <si>
    <t>[ 3E.50 ]</t>
  </si>
  <si>
    <t>[ 3E.52 ]</t>
  </si>
  <si>
    <t>[ 3E.54 ]</t>
  </si>
  <si>
    <t>[ 3E.56 ]</t>
  </si>
  <si>
    <t>[ 3E.58 ]</t>
  </si>
  <si>
    <t>[ 3E.60 ]</t>
  </si>
  <si>
    <t>[ 3E.62 ]</t>
  </si>
  <si>
    <t>[ 3E.64 ]</t>
  </si>
  <si>
    <t>Arq.Compra</t>
  </si>
  <si>
    <t>Tel.Compra</t>
  </si>
  <si>
    <t>Ilu.Compra</t>
  </si>
  <si>
    <t>Ger.Compra</t>
  </si>
  <si>
    <t>Acu.Compra</t>
  </si>
  <si>
    <t>Ino.Compra</t>
  </si>
  <si>
    <t>Mec.Compra</t>
  </si>
  <si>
    <t>Mob.Compra</t>
  </si>
  <si>
    <t>Lab.Compra</t>
  </si>
  <si>
    <t>Ins.Compra</t>
  </si>
  <si>
    <t>Hos.Compra</t>
  </si>
  <si>
    <t>Geo.Compra</t>
  </si>
  <si>
    <t>Est.Compra</t>
  </si>
  <si>
    <t>Fornecedor do segmento de iluminação: é uma compra de produtos</t>
  </si>
  <si>
    <t>Fornecedor do segmento de telecom: é uma compra de produtos</t>
  </si>
  <si>
    <t>Fornecedor do segmento de arquitetura: é uma compra de produtos</t>
  </si>
  <si>
    <t>Fornecedor do segmento de estrutura: é uma compra de produtos</t>
  </si>
  <si>
    <t>Fornecedor do segmento de geotécnica: é uma compra de produtos</t>
  </si>
  <si>
    <t>Fornecedor do segmento hospitalar: é uma compra de produtos</t>
  </si>
  <si>
    <t>Fornecedor do segmento de instalações: é uma compra de produtos</t>
  </si>
  <si>
    <t>Fornecedor do segmento de laboratorial: é uma compra de produtos</t>
  </si>
  <si>
    <t>Fornecedor do segmento de mobiliário: é uma compra de produtos</t>
  </si>
  <si>
    <t>Fornecedor do segmento de equipamentos mecânicos: é uma compra de produtos</t>
  </si>
  <si>
    <t>Fornecedor do segmento de inovação: é uma compra de produtos</t>
  </si>
  <si>
    <t>Fornecedor do segmento de acústica: é uma compra de produtos</t>
  </si>
  <si>
    <t>Fornecedor do segmento geral: é uma compra de produtos</t>
  </si>
  <si>
    <t>[ 1S.10.75.02 ]</t>
  </si>
  <si>
    <t>Fornecedor do segmento de estrutura: é uma venda de produtos</t>
  </si>
  <si>
    <t>Fornecedor do segmento de geotécnica: é uma venda de produtos</t>
  </si>
  <si>
    <t>Fornecedor do segmento hospitalar: é uma venda de produtos</t>
  </si>
  <si>
    <t>Fornecedor do segmento de instalações: é uma venda de produtos</t>
  </si>
  <si>
    <t>Fornecedor do segmento de laboratorial: é uma venda de produtos</t>
  </si>
  <si>
    <t>Fornecedor do segmento de mobiliário: é uma venda de produtos</t>
  </si>
  <si>
    <t>Fornecedor do segmento de equipamentos mecânicos: é uma venda de produtos</t>
  </si>
  <si>
    <t>Fornecedor do segmento de inovação: é uma venda de produtos</t>
  </si>
  <si>
    <t>Fornecedor do segmento de acústica: é uma venda de produtos</t>
  </si>
  <si>
    <t>Fornecedor do segmento geral: é uma venda de produtos</t>
  </si>
  <si>
    <t>Fornecedor do segmento de iluminação: é uma venda de produtos</t>
  </si>
  <si>
    <t>Fornecedor do segmento de telecom: é uma venda de produtos</t>
  </si>
  <si>
    <t>Segmentos dos Profissionais</t>
  </si>
  <si>
    <t>Segmento de Estrutura</t>
  </si>
  <si>
    <t>Est Venda</t>
  </si>
  <si>
    <t>Segmento de Geotécnica</t>
  </si>
  <si>
    <t>Geo Venda</t>
  </si>
  <si>
    <t>Segmento Hospitalar</t>
  </si>
  <si>
    <t>Hos Venda</t>
  </si>
  <si>
    <t>Segmento de Instalações</t>
  </si>
  <si>
    <t>Ins Venda</t>
  </si>
  <si>
    <t>Segmento Laboratorial</t>
  </si>
  <si>
    <t>Lab Venda</t>
  </si>
  <si>
    <t>Segmento de Mobiliário</t>
  </si>
  <si>
    <t>Mob Venda</t>
  </si>
  <si>
    <t>Segmento de Mecânica</t>
  </si>
  <si>
    <t>Mec Venda</t>
  </si>
  <si>
    <t>Segmento de Inovação</t>
  </si>
  <si>
    <t>Ino Venda</t>
  </si>
  <si>
    <t>Segmento de Acústica</t>
  </si>
  <si>
    <t>Acu Venda</t>
  </si>
  <si>
    <t>Segmento Geral</t>
  </si>
  <si>
    <t>Ger Venda</t>
  </si>
  <si>
    <t>Segmento de Iluminação</t>
  </si>
  <si>
    <t>Ilu Venda</t>
  </si>
  <si>
    <t>Segmento de Telecom</t>
  </si>
  <si>
    <t>Tel Venda</t>
  </si>
  <si>
    <t>Segmento de Arquitetura</t>
  </si>
  <si>
    <t>Arq Venda</t>
  </si>
  <si>
    <t>Arq.Cotação</t>
  </si>
  <si>
    <t>Est.Cotação</t>
  </si>
  <si>
    <t>Geo.Cotação</t>
  </si>
  <si>
    <t>Hos.Cotação</t>
  </si>
  <si>
    <t>Ins.Cotação</t>
  </si>
  <si>
    <t>Lab.Cotação</t>
  </si>
  <si>
    <t>Mob.Cotação</t>
  </si>
  <si>
    <t>Mec.Cotação</t>
  </si>
  <si>
    <t>Ino.Cotação</t>
  </si>
  <si>
    <t>Acu.Cotação</t>
  </si>
  <si>
    <t>Ger.Cotação</t>
  </si>
  <si>
    <t>Ilu.Cotação</t>
  </si>
  <si>
    <t>Tel.Cotação</t>
  </si>
  <si>
    <t>[ 1S.10.75.01 ]</t>
  </si>
  <si>
    <t>Fornecedor do segmento de estrutura: é uma cotação de produtos</t>
  </si>
  <si>
    <t>Fornecedor do segmento de geotécnica: é uma cotação de produtos</t>
  </si>
  <si>
    <t>Fornecedor do segmento hospitalar: é uma cotação de produtos</t>
  </si>
  <si>
    <t>Fornecedor do segmento de instalações: é uma cotação de produtos</t>
  </si>
  <si>
    <t>Fornecedor do segmento de laboratorial: é uma cotação de produtos</t>
  </si>
  <si>
    <t>Fornecedor do segmento de mobiliário: é uma cotação de produtos</t>
  </si>
  <si>
    <t>Fornecedor do segmento de equipamentos mecânicos: é uma cotação de produtos</t>
  </si>
  <si>
    <t>Fornecedor do segmento de inovação: é uma cotação de produtos</t>
  </si>
  <si>
    <t>Fornecedor do segmento de acústica: é uma cotação de produtos</t>
  </si>
  <si>
    <t>Fornecedor do segmento geral: é uma cotação de produtos</t>
  </si>
  <si>
    <t>Fornecedor do segmento de iluminação: é uma cotação de produtos</t>
  </si>
  <si>
    <t>Fornecedor do segmento de telecom: é uma cotação de produtos</t>
  </si>
  <si>
    <t>Structure segment supplier: it is a product quotation</t>
  </si>
  <si>
    <t>Geotechnical segment supplier: it is a product quotation</t>
  </si>
  <si>
    <t>Hospital segment supplier: it is a product quotation</t>
  </si>
  <si>
    <t>Facility Segment Supplier: This is a product quote</t>
  </si>
  <si>
    <t>Laboratory segment supplier: it is a product quotation</t>
  </si>
  <si>
    <t>Furniture segment supplier: it is a quotation of products</t>
  </si>
  <si>
    <t>Mechanical Equipment Segment Supplier: It is a product quotation</t>
  </si>
  <si>
    <t>Innovation Segment Supplier: It is a product quotation</t>
  </si>
  <si>
    <t>Acoustics segment supplier: it is a product quotation</t>
  </si>
  <si>
    <t>General Segment Supplier: This is a product quotation</t>
  </si>
  <si>
    <t>Lighting Segment Supplier: It is a product quotation</t>
  </si>
  <si>
    <t>Telecom Segment Supplier: It is a product quotation</t>
  </si>
  <si>
    <t>Architecture Vendor: This is a product quotation</t>
  </si>
  <si>
    <t>Proveedor de segmento estructural: es una cotización de producto</t>
  </si>
  <si>
    <t>Proveedor del segmento geotécnico: es una cotización de producto</t>
  </si>
  <si>
    <t>Proveedor del segmento hospitalario: es una cotización de producto</t>
  </si>
  <si>
    <t>Proveedor del segmento de laboratorio: es una cotización de producto</t>
  </si>
  <si>
    <t>Proveedor del segmento de muebles: es una cotización de productos</t>
  </si>
  <si>
    <t>Proveedor del segmento acústico: es un presupuesto de producto</t>
  </si>
  <si>
    <t>Proveedor de segmento general: es una cotización de producto</t>
  </si>
  <si>
    <t>Proveedor del segmento de iluminación: es un presupuesto de producto</t>
  </si>
  <si>
    <t>Proveedor del segmento de telecomunicaciones: es una cotización de producto</t>
  </si>
  <si>
    <t>Proveedor del segmento de equipos mecánicos: es un presupuesto de producto</t>
  </si>
  <si>
    <t>Proveedor del segmento de innovación: es una cotización de producto</t>
  </si>
  <si>
    <t>Proveedor del segmento de instalaciones: es una cotización del producto</t>
  </si>
  <si>
    <t>Proveedor de arquitectura: es una cotización de producto</t>
  </si>
  <si>
    <t>Fornecedor do segmento de arquitetura: é uma venda de produtos</t>
  </si>
  <si>
    <t>Lumini</t>
  </si>
  <si>
    <t>Philips</t>
  </si>
  <si>
    <t>"Fabricante de sistemas de iluminação."</t>
  </si>
  <si>
    <t>"Fabricante de sistemas de iluminação com design."</t>
  </si>
  <si>
    <t>SXL</t>
  </si>
  <si>
    <t>"Contêiner com toda a informação do projeto Prj.Nome.01."</t>
  </si>
  <si>
    <t>"Contêiner do catálogo de Fabricante de usados no projeto Prj.Nome.01."</t>
  </si>
  <si>
    <t>"Peças para saneamento básico em ferro fundido dúctil: tubos, conexões, válvulas e acessórios."</t>
  </si>
  <si>
    <t>"Soluções de construção a seco: drywall, tetos, forros e fachadas."</t>
  </si>
  <si>
    <t>"Fabricante de sistemas de iluminação convencional, industrial e varejo."</t>
  </si>
  <si>
    <t>Acu.Fornecedor</t>
  </si>
  <si>
    <t>Arq.Fornecedor</t>
  </si>
  <si>
    <t>Est.Fornecedor</t>
  </si>
  <si>
    <t>Geo.Fornecedor</t>
  </si>
  <si>
    <t>Ger.Fornecedor</t>
  </si>
  <si>
    <t>Hos.Fornecedor</t>
  </si>
  <si>
    <t>Ilu.Fornecedor</t>
  </si>
  <si>
    <t>Ino.Fornecedor</t>
  </si>
  <si>
    <t>Ins.Fornecedor</t>
  </si>
  <si>
    <t>Lab.Fornecedor</t>
  </si>
  <si>
    <t>Mec.Fornecedor</t>
  </si>
  <si>
    <t>Mob.Fornecedor</t>
  </si>
  <si>
    <t>Tel.Fornecedor</t>
  </si>
  <si>
    <t>Acu.Vendedor</t>
  </si>
  <si>
    <t>Arq.Vendedor</t>
  </si>
  <si>
    <t>Est.Vendedor</t>
  </si>
  <si>
    <t>Geo.Vendedor</t>
  </si>
  <si>
    <t>Ger.Vendedor</t>
  </si>
  <si>
    <t>Hos.Vendedor</t>
  </si>
  <si>
    <t>Ilu.Vendedor</t>
  </si>
  <si>
    <t>Ino.Vendedor</t>
  </si>
  <si>
    <t>Ins.Vendedor</t>
  </si>
  <si>
    <t>Lab.Vendedor</t>
  </si>
  <si>
    <t>Mec.Vendedor</t>
  </si>
  <si>
    <t>Mob.Vendedor</t>
  </si>
  <si>
    <t>Tel.Vendedor</t>
  </si>
  <si>
    <t>Acu.Empresa.Consultora</t>
  </si>
  <si>
    <t>Arq.Empresa.Consultora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</si>
  <si>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</si>
  <si>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</si>
  <si>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</si>
  <si>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</si>
  <si>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</si>
  <si>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</si>
  <si>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</si>
  <si>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</si>
  <si>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</si>
  <si>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</si>
  <si>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Proveedor de acústica: Es una compra de productos</t>
  </si>
  <si>
    <t>Proveedor de acústica: es consultor autónomo</t>
  </si>
  <si>
    <t>Proveedor en el segmento de acústica: es una empresa de consultoría</t>
  </si>
  <si>
    <t>Proveedor del segmento de acústica: es un fabricante de productos</t>
  </si>
  <si>
    <t>Proveedor del segmento acústico: es un proveedor</t>
  </si>
  <si>
    <t>Proveedor de acústica: es una empresa de diseño o diseño</t>
  </si>
  <si>
    <t>Proveedor de acústica: Es un servicio</t>
  </si>
  <si>
    <t>Proveedor en el segmento de acústica: es una venta de productos</t>
  </si>
  <si>
    <t>Proveedor de arquitectura: Es una compra de productos</t>
  </si>
  <si>
    <t>Proveedor de arquitectura: es consultor autónomo</t>
  </si>
  <si>
    <t>Proveedor en el segmento de arquitectura: es una empresa de consultoría</t>
  </si>
  <si>
    <t>Proveedor de arquitectura: es un fabricante de productos</t>
  </si>
  <si>
    <t>Proveedor de arquitectura: es un proveedor</t>
  </si>
  <si>
    <t>Proveedor de Arquitectura: es una empresa de diseñador o diseño</t>
  </si>
  <si>
    <t>Proveedor de arquitectura: Es un servicio</t>
  </si>
  <si>
    <t>Proveedor de arquitectura: Es una venta de producto</t>
  </si>
  <si>
    <t>Proveedor en el segmento estructural: es una compra de productos</t>
  </si>
  <si>
    <t>Proveedor del segmento de estructura: es consultor autónomo</t>
  </si>
  <si>
    <t>Proveedor del segmento de estructuras: es una empresa de consultoría</t>
  </si>
  <si>
    <t>Proveedor del segmento de estructuras: es un fabricante de productos</t>
  </si>
  <si>
    <t>Proveedor del segmento de estructura: es un proveedor</t>
  </si>
  <si>
    <t>Proveedor en el segmento de estructuras: es un diseñador o empresa de diseño</t>
  </si>
  <si>
    <t>Proveedor de segmento estructural: es un servicio</t>
  </si>
  <si>
    <t>Proveedor del segmento estructural: es una venta de productos</t>
  </si>
  <si>
    <t>Proveedor del segmento geotécnico: es una compra de productos</t>
  </si>
  <si>
    <t>Proveedor geotécnico: es consultor autónomo</t>
  </si>
  <si>
    <t>Proveedor en el segmento geotécnico: es una empresa de consultoría</t>
  </si>
  <si>
    <t>Proveedor del segmento geotécnico: es fabricante de</t>
  </si>
  <si>
    <t>Proveedor del segmento geotécnico: es un proveedor</t>
  </si>
  <si>
    <t>Proveedor del segmento geotécnico: es una empresa de diseño o diseñador</t>
  </si>
  <si>
    <t>Proveedor geotécnico: es un servicio</t>
  </si>
  <si>
    <t>Proveedor del segmento geotécnico: Es una venta de productos</t>
  </si>
  <si>
    <t>Proveedor del segmento general: es una compra de productos</t>
  </si>
  <si>
    <t>Proveedor del segmento general: es un consultor autónomo</t>
  </si>
  <si>
    <t>Proveedor de segmento general: es una empresa de consultoría</t>
  </si>
  <si>
    <t>Proveedor del segmento general: es un fabricante de productos</t>
  </si>
  <si>
    <t>Proveedor del segmento general: es un proveedor</t>
  </si>
  <si>
    <t>Proveedor del segmento general: es una empresa de diseño o diseñador</t>
  </si>
  <si>
    <t>Proveedor del segmento general: Es un servicio</t>
  </si>
  <si>
    <t>Proveedor del segmento general: es una venta de productos</t>
  </si>
  <si>
    <t>Proveedor del segmento hospitalario: es una compra de productos</t>
  </si>
  <si>
    <t>Proveedor del segmento hospitalario: es consultor autónomo</t>
  </si>
  <si>
    <t>Proveedor en el segmento hospitalario: es una empresa de consultoría</t>
  </si>
  <si>
    <t>Proveedor en el segmento hospitalario: es un fabricante de productos</t>
  </si>
  <si>
    <t>Proveedor del segmento hospitalario: es un proveedor</t>
  </si>
  <si>
    <t>Proveedor en el segmento hospitalario: es una empresa de diseñador o diseño</t>
  </si>
  <si>
    <t>Proveedor en el segmento hospitalario: es un servicio</t>
  </si>
  <si>
    <t>Proveedor en el segmento hospitalario: es una venta de productos</t>
  </si>
  <si>
    <t>Proveedor del segmento de iluminación: es una compra de productos</t>
  </si>
  <si>
    <t>Proveedor del segmento de iluminación: es consultor autónomo</t>
  </si>
  <si>
    <t>Proveedor en el segmento de iluminación: es una empresa de consultoría</t>
  </si>
  <si>
    <t>Proveedor del segmento de iluminación: es un fabricante de productos</t>
  </si>
  <si>
    <t>Proveedor del segmento de iluminación: es un proveedor</t>
  </si>
  <si>
    <t>Proveedor del segmento de iluminación: es una empresa de diseño o diseñador</t>
  </si>
  <si>
    <t>Proveedor del segmento de iluminación: es un servicio</t>
  </si>
  <si>
    <t>Proveedor del segmento de iluminación: Es una venta de productos</t>
  </si>
  <si>
    <t>Proveedor del segmento de innovación: Es una compra de productos</t>
  </si>
  <si>
    <t>Proveedor de segmento de innovación: es consultor autónomo</t>
  </si>
  <si>
    <t>Proveedor del segmento de innovación: es una empresa de consultoría</t>
  </si>
  <si>
    <t>Proveedor del segmento de innovación: es un fabricante de productos</t>
  </si>
  <si>
    <t>Proveedor del segmento de innovación: es un proveedor</t>
  </si>
  <si>
    <t>Proveedor del segmento de innovación: es una empresa de diseño o diseñador</t>
  </si>
  <si>
    <t>Proveedor de Innovación: Es un Servicio</t>
  </si>
  <si>
    <t>Proveedor del segmento de innovación: es una venta de productos</t>
  </si>
  <si>
    <t>Proveedor del segmento de instalaciones: es una compra de productos</t>
  </si>
  <si>
    <t>Proveedor del segmento de instalaciones: es consultor autónomo</t>
  </si>
  <si>
    <t>Proveedor en el segmento de instalaciones: es una empresa de consultoría</t>
  </si>
  <si>
    <t>Proveedor en el segmento de instalación: es un fabricante de productos</t>
  </si>
  <si>
    <t>Proveedor del segmento de instalaciones: es un proveedor</t>
  </si>
  <si>
    <t>Proveedor del segmento de instalación: es un diseñador o empresa de diseño</t>
  </si>
  <si>
    <t>Proveedor de Segmento de Instalaciones: Es un Servicio</t>
  </si>
  <si>
    <t>Proveedor en el segmento de instalaciones: es una venta de productos</t>
  </si>
  <si>
    <t>Proveedor en el segmento de laboratorio: es una compra de productos</t>
  </si>
  <si>
    <t>Proveedor de segmento de laboratorio: es consultor autónomo</t>
  </si>
  <si>
    <t>Proveedor en el segmento de laboratorios: es una empresa de consultoría</t>
  </si>
  <si>
    <t>Proveedor del segmento de laboratorio: es un fabricante de productos</t>
  </si>
  <si>
    <t>Proveedor en el segmento de laboratorio: es un proveedor</t>
  </si>
  <si>
    <t>Proveedor del segmento de laboratorio: es una empresa de diseño o diseñador</t>
  </si>
  <si>
    <t>Proveedor en el segmento de laboratorio: es un servicio</t>
  </si>
  <si>
    <t>Proveedor del segmento de laboratorio: es una venta de productos</t>
  </si>
  <si>
    <t>Proveedor en el segmento de equipos mecánicos: es una compra de productos</t>
  </si>
  <si>
    <t>Proveedor en el segmento de equipos mecánicos: es consultor autónomo</t>
  </si>
  <si>
    <t>Proveedor en el segmento de equipos mecánicos: es una empresa de consultoría</t>
  </si>
  <si>
    <t>Proveedor en el segmento de equipos mecánicos: es un fabricante de productos</t>
  </si>
  <si>
    <t>Proveedor en el segmento de equipos mecánicos: es un proveedor</t>
  </si>
  <si>
    <t>Proveedor en el segmento de equipos mecánicos: es una empresa de diseño o diseñador</t>
  </si>
  <si>
    <t>Proveedor en el segmento de equipos mecánicos: es un servicio</t>
  </si>
  <si>
    <t>Proveedor en el segmento de equipos mecánicos: se trata de una venta de productos</t>
  </si>
  <si>
    <t>Proveedor de muebles: es una compra de productos</t>
  </si>
  <si>
    <t>Proveedor de muebles: es un consultor autónomo</t>
  </si>
  <si>
    <t>Proveedor del segmento de muebles: es una empresa de consultoría</t>
  </si>
  <si>
    <t>Proveedor del segmento de muebles: es un fabricante de productos</t>
  </si>
  <si>
    <t>Proveedor de muebles: es un proveedor</t>
  </si>
  <si>
    <t>Proveedor de muebles: es una empresa de diseñador o diseño</t>
  </si>
  <si>
    <t>Proveedor de muebles: es un servicio</t>
  </si>
  <si>
    <t>Proveedor de muebles: Es una venta de productos</t>
  </si>
  <si>
    <t>Proveedor de telecomunicaciones: es una compra de productos</t>
  </si>
  <si>
    <t>Proveedor de telecomunicaciones: es consultor autónomo</t>
  </si>
  <si>
    <t>Proveedor de telecomunicaciones: es una empresa de consultoría</t>
  </si>
  <si>
    <t>Proveedor del segmento de telecomunicaciones: es un fabricante de productos de telecomunicaciones</t>
  </si>
  <si>
    <t>Proveedor del segmento de telecomunicaciones: es un proveedor</t>
  </si>
  <si>
    <t>Proveedor del segmento de telecomunicaciones: es una empresa de diseño o diseñador</t>
  </si>
  <si>
    <t>Proveedor del segmento de telecomunicaciones: Es un servicio</t>
  </si>
  <si>
    <t>Proveedor del segmento de telecomunicaciones: es una venta de productos</t>
  </si>
  <si>
    <t>Es un producto o elemento del segmento geotécnico</t>
  </si>
  <si>
    <t>Es un producto o elemento del segmento de obra</t>
  </si>
  <si>
    <t>Es un producto o elemento del segmento de drenaje</t>
  </si>
  <si>
    <t>Es un producto o elemento del segmento de tráfico y pavimentación</t>
  </si>
  <si>
    <t>Es un producto o elemento del segmento de estructura de la cimentación</t>
  </si>
  <si>
    <t>Es un producto o elemento del segmento de estructura</t>
  </si>
  <si>
    <t>Es un producto o elemento del segmento de sellado, paredes y tejados</t>
  </si>
  <si>
    <t>Es un producto o elemento del segmento terminado</t>
  </si>
  <si>
    <t>Es un producto o elemento del segmento de aberturas y marcos</t>
  </si>
  <si>
    <t>Es un producto o elemento del segmento acústico</t>
  </si>
  <si>
    <t>Es un producto o elemento del segmento eléctrico</t>
  </si>
  <si>
    <t>Es un producto o elemento del segmento de Iluminación</t>
  </si>
  <si>
    <t>Es un producto o elemento del segmento de extracción y ventilación</t>
  </si>
  <si>
    <t>Es un producto o elemento del segmento de la red de telecomunicaciones urbana</t>
  </si>
  <si>
    <t>Es un producto o elemento del segmento de redes de telecomunicaciones en construcción</t>
  </si>
  <si>
    <t>Es un producto o elemento del segmento de la red de hidráulica urbana</t>
  </si>
  <si>
    <t>Es un producto o elemento del segmento de redes hidráulicas para edificios</t>
  </si>
  <si>
    <t>Es un producto o elemento del segmento de la red de aguas pluviales</t>
  </si>
  <si>
    <t>Es un producto o elemento del segmento de la red de alcantarillado del edificio</t>
  </si>
  <si>
    <t>Es un producto o elemento del segmento de la red de alcantarillado urbano</t>
  </si>
  <si>
    <t>Es un producto o elemento del segmento de tratamiento de residuos</t>
  </si>
  <si>
    <t>Es un producto o elemento del segmento de refrigeración</t>
  </si>
  <si>
    <t>Es un producto o elemento del segmento de calentamiento</t>
  </si>
  <si>
    <t>Es un producto o elemento del segmento de gas</t>
  </si>
  <si>
    <t>Es un producto o elemento del segmento del mobiliario</t>
  </si>
  <si>
    <t>Es un producto o elemento del segmento de automatización</t>
  </si>
  <si>
    <t>Es un producto o elemento del segmento de protección contra rayos</t>
  </si>
  <si>
    <t>Es un producto o elemento del segmento de protección contra incendios</t>
  </si>
  <si>
    <t>Es un producto o elemento del segmento de seguridad de propiedades</t>
  </si>
  <si>
    <t>Acoustics Supplier: It is a purchase of products</t>
  </si>
  <si>
    <t>Acoustics Supplier: is a self-employed consultant</t>
  </si>
  <si>
    <t>Supplier in the acoustics segment: it is a consulting company</t>
  </si>
  <si>
    <t>Acoustics Segment Supplier: is a manufacturer of products</t>
  </si>
  <si>
    <t>Acoustics segment supplier: is a supplier</t>
  </si>
  <si>
    <t>Acoustics Supplier: is a Designer or Design Company</t>
  </si>
  <si>
    <t>Acoustics Supplier: It's a Service</t>
  </si>
  <si>
    <t>Supplier in the acoustics segment: it is a sale of products</t>
  </si>
  <si>
    <t>Architecture Vendor: It's a purchase of products</t>
  </si>
  <si>
    <t>Architecture Vendor: is a self-employed consultant</t>
  </si>
  <si>
    <t>Supplier in the architecture segment: it is a consulting company</t>
  </si>
  <si>
    <t>Architecture Vendor: is a manufacturer of products</t>
  </si>
  <si>
    <t>Architecture Vendor: is a vendor</t>
  </si>
  <si>
    <t>Architecture Vendor: is a Designer or Design Company</t>
  </si>
  <si>
    <t>Architecture Vendor: It's a service</t>
  </si>
  <si>
    <t>Architecture Vendor: It's a product sale</t>
  </si>
  <si>
    <t>Supplier in the structure segment: it is a purchase of products</t>
  </si>
  <si>
    <t>Structure segment supplier: is a self-employed consultant</t>
  </si>
  <si>
    <t>Supplier of the structure segment: it is a consulting company</t>
  </si>
  <si>
    <t>Supplier of the structure segment: it is a manufacturer of products</t>
  </si>
  <si>
    <t>Structure segment supplier: is a supplier</t>
  </si>
  <si>
    <t>Supplier in the structure segment: is a Designer or Design Company</t>
  </si>
  <si>
    <t>Structure segment supplier: it is a service</t>
  </si>
  <si>
    <t>Structure segment supplier: it is a sale of products</t>
  </si>
  <si>
    <t>Geotechnical segment supplier: it is a purchase of products</t>
  </si>
  <si>
    <t>Geotechnical Supplier: is a self-employed consultant</t>
  </si>
  <si>
    <t>Supplier in the geotechnical segment: it is a consulting company</t>
  </si>
  <si>
    <t>Geotechnical Segment Supplier: is a manufacturer of</t>
  </si>
  <si>
    <t>Geotechnical Segment Supplier: is a supplier</t>
  </si>
  <si>
    <t>Geotechnical Segment Supplier: is a Designer or Design Company</t>
  </si>
  <si>
    <t>Geotechnical Supplier: It's a Service</t>
  </si>
  <si>
    <t>Geotechnical Segment Supplier: It is a sale of products</t>
  </si>
  <si>
    <t>General segment supplier: it is a purchase of products</t>
  </si>
  <si>
    <t>General segment supplier: is a self-employed consultant</t>
  </si>
  <si>
    <t>General segment supplier: it is a consulting company</t>
  </si>
  <si>
    <t>General segment supplier: is a manufacturer of products</t>
  </si>
  <si>
    <t>General segment supplier: is a supplier</t>
  </si>
  <si>
    <t>General Segment Supplier: is a Designer or Design Company</t>
  </si>
  <si>
    <t>General Segment Supplier: It is a service</t>
  </si>
  <si>
    <t>General segment supplier: it is a sale of products</t>
  </si>
  <si>
    <t>Hospital segment supplier: it is a purchase of products</t>
  </si>
  <si>
    <t>Hospital Segment Supplier: is a self-employed consultant</t>
  </si>
  <si>
    <t>Supplier in the hospital segment: it is a consulting company</t>
  </si>
  <si>
    <t>Supplier in the hospital segment: it is a manufacturer of products</t>
  </si>
  <si>
    <t>Hospital Segment Supplier: is a supplier</t>
  </si>
  <si>
    <t>Supplier in the hospital segment: is a Designer or Design Company</t>
  </si>
  <si>
    <t>Supplier in the hospital segment: it is a service</t>
  </si>
  <si>
    <t>Supplier in the hospital segment: it is a sale of products</t>
  </si>
  <si>
    <t>Lighting segment supplier: it is a purchase of products</t>
  </si>
  <si>
    <t>Lighting Segment Supplier: is a self-employed consultant</t>
  </si>
  <si>
    <t>Supplier in the lighting segment: it is a consulting company</t>
  </si>
  <si>
    <t>Lighting Segment Supplier: is a manufacturer of products</t>
  </si>
  <si>
    <t>Lighting segment supplier: is a supplier</t>
  </si>
  <si>
    <t>Lighting Segment Supplier: is a Designer or Design Company</t>
  </si>
  <si>
    <t>Lighting Segment Supplier: It's a Service</t>
  </si>
  <si>
    <t>Lighting Segment Supplier: It is a sale of products</t>
  </si>
  <si>
    <t>Innovation Segment Supplier: It is a purchase of products</t>
  </si>
  <si>
    <t>Innovation Segment Provider: is a self-employed consultant</t>
  </si>
  <si>
    <t>Supplier of the innovation segment: it is a consulting company</t>
  </si>
  <si>
    <t>Innovation Segment Supplier: is a manufacturer of products</t>
  </si>
  <si>
    <t>Innovation Segment Supplier: is a supplier</t>
  </si>
  <si>
    <t>Innovation Segment Supplier: is a Designer or Design Company</t>
  </si>
  <si>
    <t>Innovation Supplier: It's a Service</t>
  </si>
  <si>
    <t>Supplier of the innovation segment: it is a sale of products</t>
  </si>
  <si>
    <t>Facilities segment supplier: it is a purchase of products</t>
  </si>
  <si>
    <t>Facilities Segment Provider: is a self-employed consultant</t>
  </si>
  <si>
    <t>Supplier in the facilities segment: it is a consulting company</t>
  </si>
  <si>
    <t>Supplier in the installation segment: is a manufacturer of products</t>
  </si>
  <si>
    <t>Facilities Segment Supplier: is a supplier</t>
  </si>
  <si>
    <t>Installation Segment Supplier: is a Designer or Design Company</t>
  </si>
  <si>
    <t>Facilities Segment Provider: It's a Service</t>
  </si>
  <si>
    <t>Supplier in the facilities segment: it is a sale of products</t>
  </si>
  <si>
    <t>Supplier in the laboratory segment: it is a purchase of products</t>
  </si>
  <si>
    <t>Laboratory Segment Supplier: is a self-employed consultant</t>
  </si>
  <si>
    <t>Supplier in the laboratory segment: it is a consulting company</t>
  </si>
  <si>
    <t>Supplier of the laboratory segment: it is a manufacturer of products</t>
  </si>
  <si>
    <t>Supplier in the laboratory segment: is a supplier</t>
  </si>
  <si>
    <t>Laboratory Segment Supplier: is a Designer or Design Company</t>
  </si>
  <si>
    <t>Supplier in the laboratory segment: it is a service</t>
  </si>
  <si>
    <t>Supplier of the laboratory segment: it is a sale of products</t>
  </si>
  <si>
    <t>Supplier in the mechanical equipment segment: it is a purchase of products</t>
  </si>
  <si>
    <t>Supplier in the mechanical equipment segment: is a self-employed consultant</t>
  </si>
  <si>
    <t>Supplier in the mechanical equipment segment: it is a consulting company</t>
  </si>
  <si>
    <t>Supplier in the mechanical equipment segment: it is a manufacturer of products</t>
  </si>
  <si>
    <t>Supplier in the mechanical equipment segment: it is a supplier</t>
  </si>
  <si>
    <t>Supplier in the mechanical equipment segment: is a Designer or Design Company</t>
  </si>
  <si>
    <t>Supplier in the mechanical equipment segment: it is a service</t>
  </si>
  <si>
    <t>Supplier in the mechanical equipment segment: it is a sale of products</t>
  </si>
  <si>
    <t>Furniture supplier: it is a purchase of products</t>
  </si>
  <si>
    <t>Furniture supplier: is a self-employed consultant</t>
  </si>
  <si>
    <t>Supplier of the furniture segment: it is a consulting company</t>
  </si>
  <si>
    <t>Furniture segment supplier: is a manufacturer of products</t>
  </si>
  <si>
    <t>Furniture Supplier: is a supplier</t>
  </si>
  <si>
    <t>Furniture Supplier: is a Designer or Design Company</t>
  </si>
  <si>
    <t>Furniture supplier: it is a service</t>
  </si>
  <si>
    <t>Furniture Supplier: It is a sale of products</t>
  </si>
  <si>
    <t>Telecom supplier: it is a purchase of products</t>
  </si>
  <si>
    <t>Telecom supplier: is a self-employed consultant</t>
  </si>
  <si>
    <t>Telecom supplier: it is a consulting company</t>
  </si>
  <si>
    <t>Telecom Segment Supplier: is a manufacturer of telecom products</t>
  </si>
  <si>
    <t>Telecom Segment Supplier: is a supplier</t>
  </si>
  <si>
    <t>Telecom Segment Supplier: is a Designer or Design Company</t>
  </si>
  <si>
    <t>Telecom Segment Supplier: It's a Service</t>
  </si>
  <si>
    <t>Telecom segment supplier: it is a sale of products</t>
  </si>
  <si>
    <t>It is a product or element of the geotechnical segment</t>
  </si>
  <si>
    <t>It is a product or element of the construction site segment</t>
  </si>
  <si>
    <t>It is a product or element of the drainage segment</t>
  </si>
  <si>
    <t>It is a product or element of the traffic and paving segment</t>
  </si>
  <si>
    <t>It is a product or element of the foundation structure segment</t>
  </si>
  <si>
    <t>It is a product or element of the structure segment</t>
  </si>
  <si>
    <t>It is a product or element of the sealing, walls and roofs segment</t>
  </si>
  <si>
    <t>It is a product or element of the finished segment</t>
  </si>
  <si>
    <t>It is a product or element of the openings and frames segment</t>
  </si>
  <si>
    <t>It is a product or element of the acoustics segment</t>
  </si>
  <si>
    <t>It is a product or element of the electrical segment</t>
  </si>
  <si>
    <t>It is a product or element of the Lighting segment</t>
  </si>
  <si>
    <t>It is a product or element of the exhaust and ventilation segment</t>
  </si>
  <si>
    <t>It is a product or element of the urban telecom network segment</t>
  </si>
  <si>
    <t>It is a product or element of the building telecom network segment</t>
  </si>
  <si>
    <t>It is a product or element of the urban hydraulics network segment</t>
  </si>
  <si>
    <t>It is a product or element of the building hydraulic network segment</t>
  </si>
  <si>
    <t>It is a product or element of the rainwater network segment</t>
  </si>
  <si>
    <t>It is a product or element of the building sewer network segment</t>
  </si>
  <si>
    <t>It is a product or element of the urban sewer network segment</t>
  </si>
  <si>
    <t>It is a product or element of the waste treatment segment</t>
  </si>
  <si>
    <t>It is a product or element of the refrigeration segment</t>
  </si>
  <si>
    <t>It is a product or element of the heating segment</t>
  </si>
  <si>
    <t>It is a product or element of the gas segment</t>
  </si>
  <si>
    <t>It is a product or element of the furniture segment</t>
  </si>
  <si>
    <t>It is a product or element of the automation segment</t>
  </si>
  <si>
    <t>It is a product or element of the lightning protection segment</t>
  </si>
  <si>
    <t>It is a product or element of the fire protection segment</t>
  </si>
  <si>
    <t>It is a product or element of the property security segment</t>
  </si>
  <si>
    <t>"https://www.knauf.com"</t>
  </si>
  <si>
    <t>"https://www.quartzolit.weber"</t>
  </si>
  <si>
    <t>"https://tecnoflex.com"</t>
  </si>
  <si>
    <t>"https://www.exponencial.com.br"</t>
  </si>
  <si>
    <t>"https://www.alberflex.com.br"</t>
  </si>
  <si>
    <t>"https://www.otis.com.br"</t>
  </si>
  <si>
    <t>"https://www.tkelevator.com"</t>
  </si>
  <si>
    <t>"https://www.schindler.com.br"</t>
  </si>
  <si>
    <t>"https://www.protec.com.br"</t>
  </si>
  <si>
    <t>"https://www.atenuasom.com.br"</t>
  </si>
  <si>
    <t>"https://www.lumini.com.br"</t>
  </si>
  <si>
    <t>"https://www.lighting.philips.com.br"</t>
  </si>
  <si>
    <t>"https://sxlighting.com"</t>
  </si>
  <si>
    <t>"https://www.sgpam.com.br"</t>
  </si>
  <si>
    <t>"https://www.tubrax.com.br"</t>
  </si>
  <si>
    <t>"https://valeflux.com.br"</t>
  </si>
  <si>
    <t>"https://www.sfasanitrit.com.br"</t>
  </si>
  <si>
    <t>"https://www.deca.com.br"</t>
  </si>
  <si>
    <t>"https://www.celite.com.br"</t>
  </si>
  <si>
    <t>"https://www.tigre.com.br"</t>
  </si>
  <si>
    <t>"https://www.fischerbrasil.com.br"</t>
  </si>
  <si>
    <t>"https://mais.gerdau.com.br"</t>
  </si>
  <si>
    <t>"https://www.cassol.ind.br"</t>
  </si>
  <si>
    <t>"https://www.sodimac.com.br"</t>
  </si>
  <si>
    <t>Prj.Catálogo</t>
  </si>
  <si>
    <t>Prj.Projeto.01</t>
  </si>
  <si>
    <t>"Lâmpadas de leds, luminárias exteriores e interiores, luminárias pendentes e embutidas, arandelas, balizadores, postes, projetores."</t>
  </si>
  <si>
    <t>"Lâmpadas e fitas de leds, luminárias exteriores e interiores, luminárias pendentes e embutidas, arandelas, balizadores, postes, projetores, drivers."</t>
  </si>
  <si>
    <t>"Elevadores de passageiros e de cargas, escadas rolantes e esteiras rolantes."</t>
  </si>
  <si>
    <t>"Mesas, mesas elevatórias, cadeiras, sofás modulares, paineis privativos, cabines acústicas, divisórias, nichos, sistemas de arquivos, armários, divisores."</t>
  </si>
  <si>
    <t>"Prateleiras, bancadas, mesas de separação, armários para ferramentas, arquivos e ficharios de aço, balções, roupeiros, carrinhos de transporte."</t>
  </si>
  <si>
    <t>"Mesas, estações plataforma, cadeiras, suportes, paineis, divisórias, nichos, sistemas de arquivos, armários, divisores."</t>
  </si>
  <si>
    <t>"Sistemas de iluminação."</t>
  </si>
  <si>
    <t>"Sistemas de transporte vertical."</t>
  </si>
  <si>
    <t>"Sistemas de mobiliário corporativo."</t>
  </si>
  <si>
    <t>"Moveis de aço para a indústria."</t>
  </si>
  <si>
    <t>"Tubos de alimentação e esgoto em PVC, conexões, ralos e acessórios para hidráulica predial."</t>
  </si>
  <si>
    <t>Contêineres</t>
  </si>
  <si>
    <t>Define un contenedor de información de acuerdo con la norma NBR 19650-1.</t>
  </si>
  <si>
    <t>[ 5I ]</t>
  </si>
  <si>
    <t>endereço.website</t>
  </si>
  <si>
    <t>Conceitos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</si>
</sst>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sz val="8"/>
      <name val="Calibri"/>
      <family val="2"/>
      <scheme val="minor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 wrapText="1"/>
    </xf>
    <xf numFmtId="0" fontId="7" fillId="0" borderId="0" xfId="0" applyFont="1"/>
    <xf numFmtId="0" fontId="7" fillId="14" borderId="1" xfId="0" applyFont="1" applyFill="1" applyBorder="1" applyAlignment="1">
      <alignment vertical="center"/>
    </xf>
    <xf numFmtId="0" fontId="8" fillId="12" borderId="3" xfId="0" applyFont="1" applyFill="1" applyBorder="1" applyAlignment="1">
      <alignment horizontal="left" vertical="center" wrapText="1"/>
    </xf>
    <xf numFmtId="0" fontId="5" fillId="15" borderId="3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2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 wrapText="1"/>
    </xf>
    <xf numFmtId="0" fontId="3" fillId="2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right" vertical="center"/>
    </xf>
    <xf numFmtId="0" fontId="3" fillId="21" borderId="1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49" fontId="3" fillId="22" borderId="1" xfId="0" applyNumberFormat="1" applyFont="1" applyFill="1" applyBorder="1" applyAlignment="1">
      <alignment horizontal="left" vertical="center" wrapText="1"/>
    </xf>
    <xf numFmtId="0" fontId="8" fillId="15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dimension ref="A1:C24"/>
  <sheetViews>
    <sheetView zoomScale="175" zoomScaleNormal="175" workbookViewId="0">
      <pane ySplit="1" topLeftCell="A2" activePane="bottomLeft" state="frozen"/>
      <selection pane="bottomLeft" activeCell="B3" sqref="B3"/>
    </sheetView>
  </sheetViews>
  <sheetFormatPr defaultColWidth="9.15234375" defaultRowHeight="10.5" customHeight="1" x14ac:dyDescent="0.2"/>
  <cols>
    <col min="1" max="1" width="10.3046875" style="13" bestFit="1" customWidth="1"/>
    <col min="2" max="2" width="53.69140625" style="13" bestFit="1" customWidth="1"/>
    <col min="3" max="3" width="3.3828125" style="37" bestFit="1" customWidth="1"/>
    <col min="4" max="16384" width="9.15234375" style="13"/>
  </cols>
  <sheetData>
    <row r="1" spans="1:3" s="10" customFormat="1" ht="21.75" customHeight="1" x14ac:dyDescent="0.4">
      <c r="A1" s="1" t="s">
        <v>3</v>
      </c>
      <c r="B1" s="1" t="s">
        <v>2</v>
      </c>
      <c r="C1" s="35" t="s">
        <v>86</v>
      </c>
    </row>
    <row r="2" spans="1:3" ht="9" customHeight="1" x14ac:dyDescent="0.2">
      <c r="A2" s="2" t="s">
        <v>17</v>
      </c>
      <c r="B2" s="2" t="s">
        <v>76</v>
      </c>
      <c r="C2" s="36" t="s">
        <v>87</v>
      </c>
    </row>
    <row r="3" spans="1:3" ht="9" customHeight="1" x14ac:dyDescent="0.2">
      <c r="A3" s="2" t="s">
        <v>18</v>
      </c>
      <c r="B3" s="3" t="s">
        <v>90</v>
      </c>
      <c r="C3" s="36" t="s">
        <v>87</v>
      </c>
    </row>
    <row r="4" spans="1:3" ht="9" customHeight="1" x14ac:dyDescent="0.2">
      <c r="A4" s="2" t="s">
        <v>7</v>
      </c>
      <c r="B4" s="2" t="s">
        <v>19</v>
      </c>
      <c r="C4" s="36" t="s">
        <v>87</v>
      </c>
    </row>
    <row r="5" spans="1:3" ht="9" customHeight="1" x14ac:dyDescent="0.2">
      <c r="A5" s="2" t="s">
        <v>6</v>
      </c>
      <c r="B5" s="2" t="str">
        <f>_xlfn.CONCAT(B4,"Prop")</f>
        <v>BIMProp</v>
      </c>
      <c r="C5" s="36" t="s">
        <v>87</v>
      </c>
    </row>
    <row r="6" spans="1:3" ht="9" customHeight="1" x14ac:dyDescent="0.2">
      <c r="A6" s="2" t="s">
        <v>8</v>
      </c>
      <c r="B6" s="2" t="str">
        <f>_xlfn.CONCAT(B4,"Data")</f>
        <v>BIMData</v>
      </c>
      <c r="C6" s="36" t="s">
        <v>87</v>
      </c>
    </row>
    <row r="7" spans="1:3" ht="9" customHeight="1" x14ac:dyDescent="0.2">
      <c r="A7" s="2" t="s">
        <v>4</v>
      </c>
      <c r="B7" s="2" t="s">
        <v>31</v>
      </c>
      <c r="C7" s="36" t="s">
        <v>87</v>
      </c>
    </row>
    <row r="8" spans="1:3" s="34" customFormat="1" ht="8.25" customHeight="1" x14ac:dyDescent="0.4">
      <c r="A8" s="2" t="s">
        <v>5</v>
      </c>
      <c r="B8" s="2" t="s">
        <v>84</v>
      </c>
      <c r="C8" s="36" t="s">
        <v>87</v>
      </c>
    </row>
    <row r="9" spans="1:3" ht="9" customHeight="1" x14ac:dyDescent="0.2">
      <c r="A9" s="2" t="s">
        <v>20</v>
      </c>
      <c r="B9" s="2" t="s">
        <v>21</v>
      </c>
      <c r="C9" s="36" t="s">
        <v>87</v>
      </c>
    </row>
    <row r="10" spans="1:3" ht="9" customHeight="1" x14ac:dyDescent="0.2">
      <c r="A10" s="2" t="s">
        <v>22</v>
      </c>
      <c r="B10" s="2" t="s">
        <v>12</v>
      </c>
      <c r="C10" s="36" t="s">
        <v>87</v>
      </c>
    </row>
    <row r="11" spans="1:3" ht="9" customHeight="1" x14ac:dyDescent="0.2">
      <c r="A11" s="2" t="s">
        <v>0</v>
      </c>
      <c r="B11" s="2" t="s">
        <v>12</v>
      </c>
      <c r="C11" s="36" t="s">
        <v>87</v>
      </c>
    </row>
    <row r="12" spans="1:3" ht="9" customHeight="1" x14ac:dyDescent="0.2">
      <c r="A12" s="2" t="s">
        <v>1</v>
      </c>
      <c r="B12" s="2" t="s">
        <v>12</v>
      </c>
      <c r="C12" s="36" t="s">
        <v>87</v>
      </c>
    </row>
    <row r="13" spans="1:3" ht="9" customHeight="1" x14ac:dyDescent="0.2">
      <c r="A13" s="2" t="s">
        <v>23</v>
      </c>
      <c r="B13" s="2" t="s">
        <v>12</v>
      </c>
      <c r="C13" s="36" t="s">
        <v>87</v>
      </c>
    </row>
    <row r="14" spans="1:3" ht="9" customHeight="1" x14ac:dyDescent="0.2">
      <c r="A14" s="2" t="s">
        <v>24</v>
      </c>
      <c r="B14" s="2" t="s">
        <v>12</v>
      </c>
      <c r="C14" s="36" t="s">
        <v>87</v>
      </c>
    </row>
    <row r="15" spans="1:3" ht="9" customHeight="1" x14ac:dyDescent="0.2">
      <c r="A15" s="2" t="s">
        <v>25</v>
      </c>
      <c r="B15" s="2" t="s">
        <v>12</v>
      </c>
      <c r="C15" s="36" t="s">
        <v>87</v>
      </c>
    </row>
    <row r="16" spans="1:3" ht="9" customHeight="1" x14ac:dyDescent="0.2">
      <c r="A16" s="2" t="s">
        <v>26</v>
      </c>
      <c r="B16" s="2" t="s">
        <v>12</v>
      </c>
      <c r="C16" s="36" t="s">
        <v>87</v>
      </c>
    </row>
    <row r="17" spans="1:3" ht="9" customHeight="1" x14ac:dyDescent="0.2">
      <c r="A17" s="2" t="s">
        <v>10</v>
      </c>
      <c r="B17" s="4" t="s">
        <v>91</v>
      </c>
      <c r="C17" s="36" t="s">
        <v>87</v>
      </c>
    </row>
    <row r="18" spans="1:3" ht="9" customHeight="1" x14ac:dyDescent="0.2">
      <c r="A18" s="2" t="s">
        <v>27</v>
      </c>
      <c r="B18" s="5">
        <f ca="1">NOW()</f>
        <v>46243.520779282408</v>
      </c>
      <c r="C18" s="36" t="s">
        <v>87</v>
      </c>
    </row>
    <row r="19" spans="1:3" ht="9" customHeight="1" x14ac:dyDescent="0.2">
      <c r="A19" s="2" t="s">
        <v>28</v>
      </c>
      <c r="B19" s="2" t="s">
        <v>12</v>
      </c>
      <c r="C19" s="36" t="s">
        <v>87</v>
      </c>
    </row>
    <row r="20" spans="1:3" ht="9" customHeight="1" x14ac:dyDescent="0.2">
      <c r="A20" s="2" t="s">
        <v>29</v>
      </c>
      <c r="B20" s="2" t="s">
        <v>12</v>
      </c>
      <c r="C20" s="36" t="s">
        <v>87</v>
      </c>
    </row>
    <row r="21" spans="1:3" ht="9" customHeight="1" x14ac:dyDescent="0.2">
      <c r="A21" s="2" t="s">
        <v>11</v>
      </c>
      <c r="B21" s="2" t="s">
        <v>77</v>
      </c>
      <c r="C21" s="36" t="s">
        <v>87</v>
      </c>
    </row>
    <row r="22" spans="1:3" ht="10.5" customHeight="1" x14ac:dyDescent="0.2">
      <c r="A22" s="4" t="s">
        <v>32</v>
      </c>
      <c r="B22" s="6" t="s">
        <v>92</v>
      </c>
      <c r="C22" s="36" t="s">
        <v>87</v>
      </c>
    </row>
    <row r="23" spans="1:3" ht="10.5" customHeight="1" x14ac:dyDescent="0.2">
      <c r="A23" s="4" t="s">
        <v>33</v>
      </c>
      <c r="B23" s="6" t="str">
        <f>_xlfn.TRANSLATE(B22,"pt","es")</f>
        <v>Formalizar los datos sobre fabricantes y proveedores de productos de construcción</v>
      </c>
      <c r="C23" s="36" t="s">
        <v>88</v>
      </c>
    </row>
    <row r="24" spans="1:3" s="34" customFormat="1" ht="9.75" customHeight="1" x14ac:dyDescent="0.4">
      <c r="A24" s="4" t="s">
        <v>85</v>
      </c>
      <c r="B24" s="6" t="str">
        <f>_xlfn.TRANSLATE(B22,"pt","en")</f>
        <v>Formalize data on manufacturers and suppliers of construction products</v>
      </c>
      <c r="C24" s="36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B721-29D9-4DD8-81B8-03CCB3CE3CCF}">
  <dimension ref="A1:AA152"/>
  <sheetViews>
    <sheetView tabSelected="1" zoomScale="220" zoomScaleNormal="220" workbookViewId="0">
      <pane ySplit="1" topLeftCell="A72" activePane="bottomLeft" state="frozen"/>
      <selection pane="bottomLeft" activeCell="B2" sqref="B2:B152"/>
    </sheetView>
  </sheetViews>
  <sheetFormatPr defaultColWidth="2.69140625" defaultRowHeight="6.65" customHeight="1" x14ac:dyDescent="0.4"/>
  <cols>
    <col min="1" max="1" width="3.15234375" style="60" bestFit="1" customWidth="1"/>
    <col min="2" max="2" width="5.69140625" style="31" bestFit="1" customWidth="1"/>
    <col min="3" max="3" width="7.15234375" style="31" customWidth="1"/>
    <col min="4" max="4" width="13.84375" style="31" customWidth="1"/>
    <col min="5" max="5" width="14" style="31" bestFit="1" customWidth="1"/>
    <col min="6" max="6" width="15.3828125" style="31" customWidth="1"/>
    <col min="7" max="11" width="10.15234375" style="31" bestFit="1" customWidth="1"/>
    <col min="12" max="12" width="8.15234375" style="31" bestFit="1" customWidth="1"/>
    <col min="13" max="13" width="16.15234375" style="31" bestFit="1" customWidth="1"/>
    <col min="14" max="14" width="14" style="31" bestFit="1" customWidth="1"/>
    <col min="15" max="15" width="19.3828125" style="31" bestFit="1" customWidth="1"/>
    <col min="16" max="16" width="64.53515625" style="31" bestFit="1" customWidth="1"/>
    <col min="17" max="17" width="54.3046875" style="31" bestFit="1" customWidth="1"/>
    <col min="18" max="18" width="4.3046875" style="31" bestFit="1" customWidth="1"/>
    <col min="19" max="19" width="8.15234375" style="31" bestFit="1" customWidth="1"/>
    <col min="20" max="20" width="16.15234375" style="31" bestFit="1" customWidth="1"/>
    <col min="21" max="21" width="14" style="31" bestFit="1" customWidth="1"/>
    <col min="22" max="22" width="8.53515625" style="31" bestFit="1" customWidth="1"/>
    <col min="23" max="23" width="8.69140625" style="31" bestFit="1" customWidth="1"/>
    <col min="24" max="24" width="6" style="31" bestFit="1" customWidth="1"/>
    <col min="25" max="25" width="4.3828125" style="31" bestFit="1" customWidth="1"/>
    <col min="26" max="26" width="15.15234375" style="31" bestFit="1" customWidth="1"/>
    <col min="27" max="27" width="67.69140625" style="31" bestFit="1" customWidth="1"/>
    <col min="28" max="16384" width="2.69140625" style="31"/>
  </cols>
  <sheetData>
    <row r="1" spans="1:27" ht="34" customHeight="1" x14ac:dyDescent="0.4">
      <c r="A1" s="59">
        <v>0</v>
      </c>
      <c r="B1" s="54" t="s">
        <v>58</v>
      </c>
      <c r="C1" s="54" t="s">
        <v>59</v>
      </c>
      <c r="D1" s="54" t="s">
        <v>60</v>
      </c>
      <c r="E1" s="54" t="s">
        <v>61</v>
      </c>
      <c r="F1" s="54" t="s">
        <v>81</v>
      </c>
      <c r="G1" s="24" t="s">
        <v>62</v>
      </c>
      <c r="H1" s="24" t="s">
        <v>63</v>
      </c>
      <c r="I1" s="24" t="s">
        <v>64</v>
      </c>
      <c r="J1" s="24" t="s">
        <v>65</v>
      </c>
      <c r="K1" s="24" t="s">
        <v>66</v>
      </c>
      <c r="L1" s="23" t="s">
        <v>67</v>
      </c>
      <c r="M1" s="23" t="s">
        <v>68</v>
      </c>
      <c r="N1" s="23" t="s">
        <v>69</v>
      </c>
      <c r="O1" s="23" t="s">
        <v>70</v>
      </c>
      <c r="P1" s="23" t="s">
        <v>71</v>
      </c>
      <c r="Q1" s="23" t="s">
        <v>72</v>
      </c>
      <c r="R1" s="23" t="s">
        <v>73</v>
      </c>
      <c r="S1" s="23" t="s">
        <v>34</v>
      </c>
      <c r="T1" s="23" t="s">
        <v>74</v>
      </c>
      <c r="U1" s="23" t="s">
        <v>36</v>
      </c>
      <c r="V1" s="23" t="s">
        <v>35</v>
      </c>
      <c r="W1" s="55" t="s">
        <v>57</v>
      </c>
      <c r="X1" s="23" t="s">
        <v>79</v>
      </c>
      <c r="Y1" s="23" t="s">
        <v>80</v>
      </c>
      <c r="Z1" s="23" t="s">
        <v>82</v>
      </c>
      <c r="AA1" s="32" t="s">
        <v>83</v>
      </c>
    </row>
    <row r="2" spans="1:27" ht="6" customHeight="1" x14ac:dyDescent="0.4">
      <c r="A2" s="52">
        <v>2</v>
      </c>
      <c r="B2" s="47" t="s">
        <v>888</v>
      </c>
      <c r="C2" s="47" t="s">
        <v>572</v>
      </c>
      <c r="D2" s="47" t="s">
        <v>159</v>
      </c>
      <c r="E2" s="48" t="s">
        <v>884</v>
      </c>
      <c r="F2" s="48" t="s">
        <v>93</v>
      </c>
      <c r="G2" s="56" t="s">
        <v>9</v>
      </c>
      <c r="H2" s="56" t="s">
        <v>9</v>
      </c>
      <c r="I2" s="56" t="s">
        <v>9</v>
      </c>
      <c r="J2" s="56" t="s">
        <v>9</v>
      </c>
      <c r="K2" s="56" t="s">
        <v>9</v>
      </c>
      <c r="L2" s="45" t="str">
        <f t="shared" ref="L2:M6" si="0">CONCATENATE("", C2)</f>
        <v>Gestão</v>
      </c>
      <c r="M2" s="45" t="str">
        <f t="shared" si="0"/>
        <v>Informação</v>
      </c>
      <c r="N2" s="45" t="str">
        <f t="shared" ref="N2:O6" si="1">(SUBSTITUTE(SUBSTITUTE(CONCATENATE("",E2),"."," ")," De "," de "))</f>
        <v>Contêineres</v>
      </c>
      <c r="O2" s="45" t="str">
        <f t="shared" si="1"/>
        <v>Contêiner</v>
      </c>
      <c r="P2" s="33" t="s">
        <v>571</v>
      </c>
      <c r="Q2" s="33" t="s">
        <v>885</v>
      </c>
      <c r="R2" s="33" t="s">
        <v>9</v>
      </c>
      <c r="S2" s="33" t="str">
        <f t="shared" ref="S2:U6" si="2">SUBSTITUTE(C2, ".", " ")</f>
        <v>Gestão</v>
      </c>
      <c r="T2" s="33" t="str">
        <f t="shared" si="2"/>
        <v>Informação</v>
      </c>
      <c r="U2" s="33" t="str">
        <f t="shared" si="2"/>
        <v>Contêineres</v>
      </c>
      <c r="V2" s="33" t="s">
        <v>180</v>
      </c>
      <c r="W2" s="53" t="str">
        <f t="shared" ref="W2:W65" si="3">CONCATENATE("Key-FABR-",A2)</f>
        <v>Key-FABR-2</v>
      </c>
      <c r="X2" s="33" t="s">
        <v>9</v>
      </c>
      <c r="Y2" s="33" t="s">
        <v>9</v>
      </c>
      <c r="Z2" s="33" t="s">
        <v>886</v>
      </c>
      <c r="AA2" s="33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52">
        <v>3</v>
      </c>
      <c r="B3" s="47" t="s">
        <v>888</v>
      </c>
      <c r="C3" s="47" t="s">
        <v>572</v>
      </c>
      <c r="D3" s="47" t="s">
        <v>159</v>
      </c>
      <c r="E3" s="48" t="s">
        <v>884</v>
      </c>
      <c r="F3" s="48" t="s">
        <v>573</v>
      </c>
      <c r="G3" s="56" t="s">
        <v>9</v>
      </c>
      <c r="H3" s="56" t="s">
        <v>9</v>
      </c>
      <c r="I3" s="56" t="s">
        <v>9</v>
      </c>
      <c r="J3" s="56" t="s">
        <v>9</v>
      </c>
      <c r="K3" s="56" t="s">
        <v>9</v>
      </c>
      <c r="L3" s="45" t="str">
        <f t="shared" si="0"/>
        <v>Gestão</v>
      </c>
      <c r="M3" s="45" t="str">
        <f t="shared" si="0"/>
        <v>Informação</v>
      </c>
      <c r="N3" s="45" t="str">
        <f t="shared" si="1"/>
        <v>Contêineres</v>
      </c>
      <c r="O3" s="45" t="str">
        <f t="shared" si="1"/>
        <v>Requisito Espacial</v>
      </c>
      <c r="P3" s="33" t="s">
        <v>574</v>
      </c>
      <c r="Q3" s="33" t="s">
        <v>885</v>
      </c>
      <c r="R3" s="33" t="s">
        <v>9</v>
      </c>
      <c r="S3" s="33" t="str">
        <f t="shared" si="2"/>
        <v>Gestão</v>
      </c>
      <c r="T3" s="33" t="str">
        <f t="shared" si="2"/>
        <v>Informação</v>
      </c>
      <c r="U3" s="33" t="str">
        <f t="shared" si="2"/>
        <v>Contêineres</v>
      </c>
      <c r="V3" s="33" t="s">
        <v>180</v>
      </c>
      <c r="W3" s="53" t="str">
        <f t="shared" si="3"/>
        <v>Key-FABR-3</v>
      </c>
      <c r="X3" s="33" t="s">
        <v>9</v>
      </c>
      <c r="Y3" s="33" t="s">
        <v>9</v>
      </c>
      <c r="Z3" s="33" t="s">
        <v>9</v>
      </c>
      <c r="AA3" s="33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52">
        <v>4</v>
      </c>
      <c r="B4" s="47" t="s">
        <v>888</v>
      </c>
      <c r="C4" s="47" t="s">
        <v>572</v>
      </c>
      <c r="D4" s="47" t="s">
        <v>159</v>
      </c>
      <c r="E4" s="48" t="s">
        <v>884</v>
      </c>
      <c r="F4" s="48" t="s">
        <v>575</v>
      </c>
      <c r="G4" s="56" t="s">
        <v>9</v>
      </c>
      <c r="H4" s="56" t="s">
        <v>9</v>
      </c>
      <c r="I4" s="56" t="s">
        <v>9</v>
      </c>
      <c r="J4" s="56" t="s">
        <v>9</v>
      </c>
      <c r="K4" s="56" t="s">
        <v>9</v>
      </c>
      <c r="L4" s="45" t="str">
        <f t="shared" si="0"/>
        <v>Gestão</v>
      </c>
      <c r="M4" s="45" t="str">
        <f t="shared" si="0"/>
        <v>Informação</v>
      </c>
      <c r="N4" s="45" t="str">
        <f t="shared" si="1"/>
        <v>Contêineres</v>
      </c>
      <c r="O4" s="45" t="str">
        <f t="shared" si="1"/>
        <v>Requisito Mobiliário</v>
      </c>
      <c r="P4" s="33" t="s">
        <v>576</v>
      </c>
      <c r="Q4" s="33" t="s">
        <v>885</v>
      </c>
      <c r="R4" s="33" t="s">
        <v>9</v>
      </c>
      <c r="S4" s="33" t="str">
        <f t="shared" si="2"/>
        <v>Gestão</v>
      </c>
      <c r="T4" s="33" t="str">
        <f t="shared" si="2"/>
        <v>Informação</v>
      </c>
      <c r="U4" s="33" t="str">
        <f t="shared" si="2"/>
        <v>Contêineres</v>
      </c>
      <c r="V4" s="33" t="s">
        <v>180</v>
      </c>
      <c r="W4" s="53" t="str">
        <f t="shared" si="3"/>
        <v>Key-FABR-4</v>
      </c>
      <c r="X4" s="33" t="s">
        <v>9</v>
      </c>
      <c r="Y4" s="33" t="s">
        <v>9</v>
      </c>
      <c r="Z4" s="33" t="s">
        <v>9</v>
      </c>
      <c r="AA4" s="33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52">
        <v>5</v>
      </c>
      <c r="B5" s="47" t="s">
        <v>888</v>
      </c>
      <c r="C5" s="47" t="s">
        <v>572</v>
      </c>
      <c r="D5" s="47" t="s">
        <v>159</v>
      </c>
      <c r="E5" s="48" t="s">
        <v>884</v>
      </c>
      <c r="F5" s="48" t="s">
        <v>577</v>
      </c>
      <c r="G5" s="56" t="s">
        <v>9</v>
      </c>
      <c r="H5" s="56" t="s">
        <v>9</v>
      </c>
      <c r="I5" s="56" t="s">
        <v>9</v>
      </c>
      <c r="J5" s="56" t="s">
        <v>9</v>
      </c>
      <c r="K5" s="56" t="s">
        <v>9</v>
      </c>
      <c r="L5" s="45" t="str">
        <f t="shared" si="0"/>
        <v>Gestão</v>
      </c>
      <c r="M5" s="45" t="str">
        <f t="shared" si="0"/>
        <v>Informação</v>
      </c>
      <c r="N5" s="45" t="str">
        <f t="shared" si="1"/>
        <v>Contêineres</v>
      </c>
      <c r="O5" s="45" t="str">
        <f t="shared" si="1"/>
        <v>Requisito Equipamento</v>
      </c>
      <c r="P5" s="33" t="s">
        <v>578</v>
      </c>
      <c r="Q5" s="33" t="s">
        <v>885</v>
      </c>
      <c r="R5" s="33" t="s">
        <v>9</v>
      </c>
      <c r="S5" s="33" t="str">
        <f t="shared" si="2"/>
        <v>Gestão</v>
      </c>
      <c r="T5" s="33" t="str">
        <f t="shared" si="2"/>
        <v>Informação</v>
      </c>
      <c r="U5" s="33" t="str">
        <f t="shared" si="2"/>
        <v>Contêineres</v>
      </c>
      <c r="V5" s="33" t="s">
        <v>180</v>
      </c>
      <c r="W5" s="53" t="str">
        <f t="shared" si="3"/>
        <v>Key-FABR-5</v>
      </c>
      <c r="X5" s="33" t="s">
        <v>9</v>
      </c>
      <c r="Y5" s="33" t="s">
        <v>9</v>
      </c>
      <c r="Z5" s="33" t="s">
        <v>9</v>
      </c>
      <c r="AA5" s="33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52">
        <v>6</v>
      </c>
      <c r="B6" s="47" t="s">
        <v>888</v>
      </c>
      <c r="C6" s="47" t="s">
        <v>572</v>
      </c>
      <c r="D6" s="47" t="s">
        <v>159</v>
      </c>
      <c r="E6" s="48" t="s">
        <v>884</v>
      </c>
      <c r="F6" s="48" t="s">
        <v>579</v>
      </c>
      <c r="G6" s="56" t="s">
        <v>9</v>
      </c>
      <c r="H6" s="56" t="s">
        <v>9</v>
      </c>
      <c r="I6" s="56" t="s">
        <v>9</v>
      </c>
      <c r="J6" s="56" t="s">
        <v>9</v>
      </c>
      <c r="K6" s="56" t="s">
        <v>9</v>
      </c>
      <c r="L6" s="45" t="str">
        <f t="shared" si="0"/>
        <v>Gestão</v>
      </c>
      <c r="M6" s="45" t="str">
        <f t="shared" si="0"/>
        <v>Informação</v>
      </c>
      <c r="N6" s="45" t="str">
        <f t="shared" si="1"/>
        <v>Contêineres</v>
      </c>
      <c r="O6" s="45" t="str">
        <f t="shared" si="1"/>
        <v>Requisito Sistemas</v>
      </c>
      <c r="P6" s="33" t="s">
        <v>580</v>
      </c>
      <c r="Q6" s="33" t="s">
        <v>885</v>
      </c>
      <c r="R6" s="33" t="s">
        <v>9</v>
      </c>
      <c r="S6" s="33" t="str">
        <f t="shared" si="2"/>
        <v>Gestão</v>
      </c>
      <c r="T6" s="33" t="str">
        <f t="shared" si="2"/>
        <v>Informação</v>
      </c>
      <c r="U6" s="33" t="str">
        <f t="shared" si="2"/>
        <v>Contêineres</v>
      </c>
      <c r="V6" s="33" t="s">
        <v>180</v>
      </c>
      <c r="W6" s="53" t="str">
        <f t="shared" si="3"/>
        <v>Key-FABR-6</v>
      </c>
      <c r="X6" s="33" t="s">
        <v>9</v>
      </c>
      <c r="Y6" s="33" t="s">
        <v>9</v>
      </c>
      <c r="Z6" s="33" t="s">
        <v>9</v>
      </c>
      <c r="AA6" s="33" t="str">
        <f t="shared" si="4"/>
        <v>Defines an information container in accordance with the NBR 19650-1 standard. Building Systems Requirements for the Project.</v>
      </c>
    </row>
    <row r="7" spans="1:27" s="42" customFormat="1" ht="7" customHeight="1" x14ac:dyDescent="0.4">
      <c r="A7" s="52">
        <v>7</v>
      </c>
      <c r="B7" s="47" t="s">
        <v>888</v>
      </c>
      <c r="C7" s="47" t="s">
        <v>94</v>
      </c>
      <c r="D7" s="47" t="s">
        <v>284</v>
      </c>
      <c r="E7" s="47" t="s">
        <v>161</v>
      </c>
      <c r="F7" s="57" t="s">
        <v>418</v>
      </c>
      <c r="G7" s="56" t="s">
        <v>9</v>
      </c>
      <c r="H7" s="56" t="s">
        <v>9</v>
      </c>
      <c r="I7" s="56" t="s">
        <v>9</v>
      </c>
      <c r="J7" s="56" t="s">
        <v>9</v>
      </c>
      <c r="K7" s="56" t="s">
        <v>9</v>
      </c>
      <c r="L7" s="46" t="str">
        <f>_xlfn.CONCAT(SUBSTITUTE(C7,"1.",""))</f>
        <v>Fornecedores</v>
      </c>
      <c r="M7" s="46" t="str">
        <f t="shared" ref="M7:O8" si="5">_xlfn.CONCAT(SUBSTITUTE(D7,"."," "))</f>
        <v>Segmentos dos Profissionais</v>
      </c>
      <c r="N7" s="46" t="str">
        <f t="shared" si="5"/>
        <v>Segmento de Acústica</v>
      </c>
      <c r="O7" s="46" t="str">
        <f t="shared" si="5"/>
        <v>Acu Compra</v>
      </c>
      <c r="P7" s="46" t="s">
        <v>438</v>
      </c>
      <c r="Q7" s="46" t="s">
        <v>581</v>
      </c>
      <c r="R7" s="33" t="s">
        <v>9</v>
      </c>
      <c r="S7" s="33" t="str">
        <f t="shared" ref="S7:U8" si="6">SUBSTITUTE(C7, ".", " ")</f>
        <v>Fornecedores</v>
      </c>
      <c r="T7" s="33" t="str">
        <f t="shared" si="6"/>
        <v>Segmentos dos Profissionais</v>
      </c>
      <c r="U7" s="33" t="str">
        <f t="shared" si="6"/>
        <v>Segmento de Acústica</v>
      </c>
      <c r="V7" s="33" t="s">
        <v>180</v>
      </c>
      <c r="W7" s="53" t="str">
        <f t="shared" si="3"/>
        <v>Key-FABR-7</v>
      </c>
      <c r="X7" s="33" t="s">
        <v>9</v>
      </c>
      <c r="Y7" s="33" t="s">
        <v>9</v>
      </c>
      <c r="Z7" s="33" t="s">
        <v>440</v>
      </c>
      <c r="AA7" s="33" t="s">
        <v>714</v>
      </c>
    </row>
    <row r="8" spans="1:27" ht="6.65" customHeight="1" x14ac:dyDescent="0.4">
      <c r="A8" s="52">
        <v>8</v>
      </c>
      <c r="B8" s="47" t="s">
        <v>888</v>
      </c>
      <c r="C8" s="49" t="s">
        <v>94</v>
      </c>
      <c r="D8" s="47" t="s">
        <v>284</v>
      </c>
      <c r="E8" s="47" t="s">
        <v>161</v>
      </c>
      <c r="F8" s="57" t="s">
        <v>341</v>
      </c>
      <c r="G8" s="56" t="s">
        <v>9</v>
      </c>
      <c r="H8" s="56" t="s">
        <v>9</v>
      </c>
      <c r="I8" s="56" t="s">
        <v>9</v>
      </c>
      <c r="J8" s="56" t="s">
        <v>9</v>
      </c>
      <c r="K8" s="56" t="s">
        <v>9</v>
      </c>
      <c r="L8" s="46" t="str">
        <f>_xlfn.CONCAT(SUBSTITUTE(C8,"1.",""))</f>
        <v>Fornecedores</v>
      </c>
      <c r="M8" s="46" t="str">
        <f t="shared" si="5"/>
        <v>Segmentos dos Profissionais</v>
      </c>
      <c r="N8" s="46" t="str">
        <f t="shared" si="5"/>
        <v>Segmento de Acústica</v>
      </c>
      <c r="O8" s="46" t="str">
        <f t="shared" si="5"/>
        <v>Acu Consultor</v>
      </c>
      <c r="P8" s="46" t="s">
        <v>167</v>
      </c>
      <c r="Q8" s="46" t="s">
        <v>582</v>
      </c>
      <c r="R8" s="33" t="s">
        <v>9</v>
      </c>
      <c r="S8" s="33" t="str">
        <f t="shared" si="6"/>
        <v>Fornecedores</v>
      </c>
      <c r="T8" s="33" t="str">
        <f t="shared" si="6"/>
        <v>Segmentos dos Profissionais</v>
      </c>
      <c r="U8" s="33" t="str">
        <f t="shared" si="6"/>
        <v>Segmento de Acústica</v>
      </c>
      <c r="V8" s="33" t="s">
        <v>180</v>
      </c>
      <c r="W8" s="53" t="str">
        <f t="shared" si="3"/>
        <v>Key-FABR-8</v>
      </c>
      <c r="X8" s="33" t="s">
        <v>9</v>
      </c>
      <c r="Y8" s="33" t="s">
        <v>9</v>
      </c>
      <c r="Z8" s="33" t="s">
        <v>382</v>
      </c>
      <c r="AA8" s="33" t="s">
        <v>715</v>
      </c>
    </row>
    <row r="9" spans="1:27" ht="6.65" customHeight="1" x14ac:dyDescent="0.4">
      <c r="A9" s="52">
        <v>9</v>
      </c>
      <c r="B9" s="47" t="s">
        <v>888</v>
      </c>
      <c r="C9" s="49" t="s">
        <v>94</v>
      </c>
      <c r="D9" s="47" t="s">
        <v>284</v>
      </c>
      <c r="E9" s="47" t="s">
        <v>161</v>
      </c>
      <c r="F9" s="57" t="s">
        <v>489</v>
      </c>
      <c r="G9" s="56" t="s">
        <v>9</v>
      </c>
      <c r="H9" s="56" t="s">
        <v>9</v>
      </c>
      <c r="I9" s="56" t="s">
        <v>9</v>
      </c>
      <c r="J9" s="56" t="s">
        <v>9</v>
      </c>
      <c r="K9" s="56" t="s">
        <v>9</v>
      </c>
      <c r="L9" s="46" t="s">
        <v>94</v>
      </c>
      <c r="M9" s="46" t="s">
        <v>453</v>
      </c>
      <c r="N9" s="46" t="s">
        <v>470</v>
      </c>
      <c r="O9" s="46" t="s">
        <v>471</v>
      </c>
      <c r="P9" s="46" t="s">
        <v>502</v>
      </c>
      <c r="Q9" s="46" t="s">
        <v>524</v>
      </c>
      <c r="R9" s="33" t="s">
        <v>9</v>
      </c>
      <c r="S9" s="33" t="s">
        <v>94</v>
      </c>
      <c r="T9" s="33" t="s">
        <v>453</v>
      </c>
      <c r="U9" s="33" t="s">
        <v>470</v>
      </c>
      <c r="V9" s="33" t="s">
        <v>180</v>
      </c>
      <c r="W9" s="53" t="str">
        <f t="shared" si="3"/>
        <v>Key-FABR-9</v>
      </c>
      <c r="X9" s="33" t="s">
        <v>9</v>
      </c>
      <c r="Y9" s="33" t="s">
        <v>9</v>
      </c>
      <c r="Z9" s="33" t="s">
        <v>493</v>
      </c>
      <c r="AA9" s="33" t="s">
        <v>514</v>
      </c>
    </row>
    <row r="10" spans="1:27" ht="6.65" customHeight="1" x14ac:dyDescent="0.4">
      <c r="A10" s="52">
        <v>10</v>
      </c>
      <c r="B10" s="47" t="s">
        <v>888</v>
      </c>
      <c r="C10" s="49" t="s">
        <v>94</v>
      </c>
      <c r="D10" s="47" t="s">
        <v>284</v>
      </c>
      <c r="E10" s="47" t="s">
        <v>161</v>
      </c>
      <c r="F10" s="57" t="s">
        <v>569</v>
      </c>
      <c r="G10" s="56" t="s">
        <v>9</v>
      </c>
      <c r="H10" s="56" t="s">
        <v>9</v>
      </c>
      <c r="I10" s="56" t="s">
        <v>9</v>
      </c>
      <c r="J10" s="56" t="s">
        <v>9</v>
      </c>
      <c r="K10" s="56" t="s">
        <v>9</v>
      </c>
      <c r="L10" s="46" t="str">
        <f t="shared" ref="L10:L17" si="7">_xlfn.CONCAT(SUBSTITUTE(C10,"1.",""))</f>
        <v>Fornecedores</v>
      </c>
      <c r="M10" s="46" t="str">
        <f t="shared" ref="M10:O17" si="8">_xlfn.CONCAT(SUBSTITUTE(D10,"."," "))</f>
        <v>Segmentos dos Profissionais</v>
      </c>
      <c r="N10" s="46" t="str">
        <f t="shared" si="8"/>
        <v>Segmento de Acústica</v>
      </c>
      <c r="O10" s="46" t="str">
        <f t="shared" si="8"/>
        <v>Acu Empresa Consultora</v>
      </c>
      <c r="P10" s="46" t="s">
        <v>168</v>
      </c>
      <c r="Q10" s="46" t="s">
        <v>583</v>
      </c>
      <c r="R10" s="33" t="s">
        <v>9</v>
      </c>
      <c r="S10" s="33" t="str">
        <f t="shared" ref="S10:U17" si="9">SUBSTITUTE(C10, ".", " ")</f>
        <v>Fornecedores</v>
      </c>
      <c r="T10" s="33" t="str">
        <f t="shared" si="9"/>
        <v>Segmentos dos Profissionais</v>
      </c>
      <c r="U10" s="33" t="str">
        <f t="shared" si="9"/>
        <v>Segmento de Acústica</v>
      </c>
      <c r="V10" s="33" t="s">
        <v>180</v>
      </c>
      <c r="W10" s="53" t="str">
        <f t="shared" si="3"/>
        <v>Key-FABR-10</v>
      </c>
      <c r="X10" s="33" t="s">
        <v>9</v>
      </c>
      <c r="Y10" s="33" t="s">
        <v>9</v>
      </c>
      <c r="Z10" s="33" t="s">
        <v>382</v>
      </c>
      <c r="AA10" s="33" t="s">
        <v>716</v>
      </c>
    </row>
    <row r="11" spans="1:27" ht="6.65" customHeight="1" x14ac:dyDescent="0.4">
      <c r="A11" s="52">
        <v>11</v>
      </c>
      <c r="B11" s="47" t="s">
        <v>888</v>
      </c>
      <c r="C11" s="49" t="s">
        <v>94</v>
      </c>
      <c r="D11" s="47" t="s">
        <v>284</v>
      </c>
      <c r="E11" s="47" t="s">
        <v>161</v>
      </c>
      <c r="F11" s="57" t="s">
        <v>342</v>
      </c>
      <c r="G11" s="56" t="s">
        <v>9</v>
      </c>
      <c r="H11" s="56" t="s">
        <v>9</v>
      </c>
      <c r="I11" s="56" t="s">
        <v>9</v>
      </c>
      <c r="J11" s="56" t="s">
        <v>9</v>
      </c>
      <c r="K11" s="56" t="s">
        <v>9</v>
      </c>
      <c r="L11" s="46" t="str">
        <f t="shared" si="7"/>
        <v>Fornecedores</v>
      </c>
      <c r="M11" s="46" t="str">
        <f t="shared" si="8"/>
        <v>Segmentos dos Profissionais</v>
      </c>
      <c r="N11" s="46" t="str">
        <f t="shared" si="8"/>
        <v>Segmento de Acústica</v>
      </c>
      <c r="O11" s="46" t="str">
        <f t="shared" si="8"/>
        <v>Acu Fabricante</v>
      </c>
      <c r="P11" s="46" t="s">
        <v>169</v>
      </c>
      <c r="Q11" s="46" t="s">
        <v>584</v>
      </c>
      <c r="R11" s="33" t="s">
        <v>9</v>
      </c>
      <c r="S11" s="33" t="str">
        <f t="shared" si="9"/>
        <v>Fornecedores</v>
      </c>
      <c r="T11" s="33" t="str">
        <f t="shared" si="9"/>
        <v>Segmentos dos Profissionais</v>
      </c>
      <c r="U11" s="33" t="str">
        <f t="shared" si="9"/>
        <v>Segmento de Acústica</v>
      </c>
      <c r="V11" s="33" t="s">
        <v>180</v>
      </c>
      <c r="W11" s="53" t="str">
        <f t="shared" si="3"/>
        <v>Key-FABR-11</v>
      </c>
      <c r="X11" s="33" t="s">
        <v>9</v>
      </c>
      <c r="Y11" s="33" t="s">
        <v>9</v>
      </c>
      <c r="Z11" s="33" t="s">
        <v>373</v>
      </c>
      <c r="AA11" s="33" t="s">
        <v>717</v>
      </c>
    </row>
    <row r="12" spans="1:27" ht="6.65" customHeight="1" x14ac:dyDescent="0.4">
      <c r="A12" s="52">
        <v>12</v>
      </c>
      <c r="B12" s="47" t="s">
        <v>888</v>
      </c>
      <c r="C12" s="49" t="s">
        <v>94</v>
      </c>
      <c r="D12" s="47" t="s">
        <v>284</v>
      </c>
      <c r="E12" s="47" t="s">
        <v>161</v>
      </c>
      <c r="F12" s="57" t="s">
        <v>543</v>
      </c>
      <c r="G12" s="56" t="s">
        <v>9</v>
      </c>
      <c r="H12" s="56" t="s">
        <v>9</v>
      </c>
      <c r="I12" s="56" t="s">
        <v>9</v>
      </c>
      <c r="J12" s="56" t="s">
        <v>9</v>
      </c>
      <c r="K12" s="56" t="s">
        <v>9</v>
      </c>
      <c r="L12" s="46" t="str">
        <f t="shared" si="7"/>
        <v>Fornecedores</v>
      </c>
      <c r="M12" s="46" t="str">
        <f t="shared" si="8"/>
        <v>Segmentos dos Profissionais</v>
      </c>
      <c r="N12" s="46" t="str">
        <f t="shared" si="8"/>
        <v>Segmento de Acústica</v>
      </c>
      <c r="O12" s="46" t="str">
        <f t="shared" si="8"/>
        <v>Acu Fornecedor</v>
      </c>
      <c r="P12" s="46" t="s">
        <v>171</v>
      </c>
      <c r="Q12" s="46" t="s">
        <v>585</v>
      </c>
      <c r="R12" s="33" t="s">
        <v>9</v>
      </c>
      <c r="S12" s="33" t="str">
        <f t="shared" si="9"/>
        <v>Fornecedores</v>
      </c>
      <c r="T12" s="33" t="str">
        <f t="shared" si="9"/>
        <v>Segmentos dos Profissionais</v>
      </c>
      <c r="U12" s="33" t="str">
        <f t="shared" si="9"/>
        <v>Segmento de Acústica</v>
      </c>
      <c r="V12" s="33" t="s">
        <v>180</v>
      </c>
      <c r="W12" s="53" t="str">
        <f t="shared" si="3"/>
        <v>Key-FABR-12</v>
      </c>
      <c r="X12" s="33" t="s">
        <v>9</v>
      </c>
      <c r="Y12" s="33" t="s">
        <v>9</v>
      </c>
      <c r="Z12" s="33" t="s">
        <v>380</v>
      </c>
      <c r="AA12" s="33" t="s">
        <v>718</v>
      </c>
    </row>
    <row r="13" spans="1:27" ht="6.65" customHeight="1" x14ac:dyDescent="0.4">
      <c r="A13" s="52">
        <v>13</v>
      </c>
      <c r="B13" s="47" t="s">
        <v>888</v>
      </c>
      <c r="C13" s="49" t="s">
        <v>94</v>
      </c>
      <c r="D13" s="47" t="s">
        <v>284</v>
      </c>
      <c r="E13" s="47" t="s">
        <v>161</v>
      </c>
      <c r="F13" s="57" t="s">
        <v>343</v>
      </c>
      <c r="G13" s="56" t="s">
        <v>9</v>
      </c>
      <c r="H13" s="56" t="s">
        <v>9</v>
      </c>
      <c r="I13" s="56" t="s">
        <v>9</v>
      </c>
      <c r="J13" s="56" t="s">
        <v>9</v>
      </c>
      <c r="K13" s="56" t="s">
        <v>9</v>
      </c>
      <c r="L13" s="46" t="str">
        <f t="shared" si="7"/>
        <v>Fornecedores</v>
      </c>
      <c r="M13" s="46" t="str">
        <f t="shared" si="8"/>
        <v>Segmentos dos Profissionais</v>
      </c>
      <c r="N13" s="46" t="str">
        <f t="shared" si="8"/>
        <v>Segmento de Acústica</v>
      </c>
      <c r="O13" s="46" t="str">
        <f t="shared" si="8"/>
        <v>Acu Projetista</v>
      </c>
      <c r="P13" s="46" t="s">
        <v>227</v>
      </c>
      <c r="Q13" s="46" t="s">
        <v>586</v>
      </c>
      <c r="R13" s="33" t="s">
        <v>9</v>
      </c>
      <c r="S13" s="33" t="str">
        <f t="shared" si="9"/>
        <v>Fornecedores</v>
      </c>
      <c r="T13" s="33" t="str">
        <f t="shared" si="9"/>
        <v>Segmentos dos Profissionais</v>
      </c>
      <c r="U13" s="33" t="str">
        <f t="shared" si="9"/>
        <v>Segmento de Acústica</v>
      </c>
      <c r="V13" s="33" t="s">
        <v>180</v>
      </c>
      <c r="W13" s="53" t="str">
        <f t="shared" si="3"/>
        <v>Key-FABR-13</v>
      </c>
      <c r="X13" s="33" t="s">
        <v>9</v>
      </c>
      <c r="Y13" s="33" t="s">
        <v>9</v>
      </c>
      <c r="Z13" s="33" t="s">
        <v>384</v>
      </c>
      <c r="AA13" s="33" t="s">
        <v>719</v>
      </c>
    </row>
    <row r="14" spans="1:27" ht="6.65" customHeight="1" x14ac:dyDescent="0.4">
      <c r="A14" s="52">
        <v>14</v>
      </c>
      <c r="B14" s="47" t="s">
        <v>888</v>
      </c>
      <c r="C14" s="49" t="s">
        <v>94</v>
      </c>
      <c r="D14" s="47" t="s">
        <v>284</v>
      </c>
      <c r="E14" s="47" t="s">
        <v>161</v>
      </c>
      <c r="F14" s="57" t="s">
        <v>344</v>
      </c>
      <c r="G14" s="56" t="s">
        <v>9</v>
      </c>
      <c r="H14" s="56" t="s">
        <v>9</v>
      </c>
      <c r="I14" s="56" t="s">
        <v>9</v>
      </c>
      <c r="J14" s="56" t="s">
        <v>9</v>
      </c>
      <c r="K14" s="56" t="s">
        <v>9</v>
      </c>
      <c r="L14" s="46" t="str">
        <f t="shared" si="7"/>
        <v>Fornecedores</v>
      </c>
      <c r="M14" s="46" t="str">
        <f t="shared" si="8"/>
        <v>Segmentos dos Profissionais</v>
      </c>
      <c r="N14" s="46" t="str">
        <f t="shared" si="8"/>
        <v>Segmento de Acústica</v>
      </c>
      <c r="O14" s="46" t="str">
        <f t="shared" si="8"/>
        <v>Acu Serviço</v>
      </c>
      <c r="P14" s="46" t="s">
        <v>166</v>
      </c>
      <c r="Q14" s="46" t="s">
        <v>587</v>
      </c>
      <c r="R14" s="33" t="s">
        <v>9</v>
      </c>
      <c r="S14" s="33" t="str">
        <f t="shared" si="9"/>
        <v>Fornecedores</v>
      </c>
      <c r="T14" s="33" t="str">
        <f t="shared" si="9"/>
        <v>Segmentos dos Profissionais</v>
      </c>
      <c r="U14" s="33" t="str">
        <f t="shared" si="9"/>
        <v>Segmento de Acústica</v>
      </c>
      <c r="V14" s="33" t="s">
        <v>180</v>
      </c>
      <c r="W14" s="53" t="str">
        <f t="shared" si="3"/>
        <v>Key-FABR-14</v>
      </c>
      <c r="X14" s="33" t="s">
        <v>9</v>
      </c>
      <c r="Y14" s="33" t="s">
        <v>9</v>
      </c>
      <c r="Z14" s="33" t="s">
        <v>383</v>
      </c>
      <c r="AA14" s="33" t="s">
        <v>720</v>
      </c>
    </row>
    <row r="15" spans="1:27" ht="6.65" customHeight="1" x14ac:dyDescent="0.4">
      <c r="A15" s="52">
        <v>15</v>
      </c>
      <c r="B15" s="47" t="s">
        <v>888</v>
      </c>
      <c r="C15" s="49" t="s">
        <v>94</v>
      </c>
      <c r="D15" s="47" t="s">
        <v>284</v>
      </c>
      <c r="E15" s="47" t="s">
        <v>161</v>
      </c>
      <c r="F15" s="57" t="s">
        <v>556</v>
      </c>
      <c r="G15" s="56" t="s">
        <v>9</v>
      </c>
      <c r="H15" s="56" t="s">
        <v>9</v>
      </c>
      <c r="I15" s="56" t="s">
        <v>9</v>
      </c>
      <c r="J15" s="56" t="s">
        <v>9</v>
      </c>
      <c r="K15" s="56" t="s">
        <v>9</v>
      </c>
      <c r="L15" s="46" t="str">
        <f t="shared" si="7"/>
        <v>Fornecedores</v>
      </c>
      <c r="M15" s="46" t="str">
        <f t="shared" si="8"/>
        <v>Segmentos dos Profissionais</v>
      </c>
      <c r="N15" s="46" t="str">
        <f t="shared" si="8"/>
        <v>Segmento de Acústica</v>
      </c>
      <c r="O15" s="46" t="str">
        <f t="shared" si="8"/>
        <v>Acu Vendedor</v>
      </c>
      <c r="P15" s="46" t="s">
        <v>449</v>
      </c>
      <c r="Q15" s="46" t="s">
        <v>588</v>
      </c>
      <c r="R15" s="33" t="s">
        <v>9</v>
      </c>
      <c r="S15" s="33" t="str">
        <f t="shared" si="9"/>
        <v>Fornecedores</v>
      </c>
      <c r="T15" s="33" t="str">
        <f t="shared" si="9"/>
        <v>Segmentos dos Profissionais</v>
      </c>
      <c r="U15" s="33" t="str">
        <f t="shared" si="9"/>
        <v>Segmento de Acústica</v>
      </c>
      <c r="V15" s="33" t="s">
        <v>180</v>
      </c>
      <c r="W15" s="53" t="str">
        <f t="shared" si="3"/>
        <v>Key-FABR-15</v>
      </c>
      <c r="X15" s="33" t="s">
        <v>9</v>
      </c>
      <c r="Y15" s="33" t="s">
        <v>9</v>
      </c>
      <c r="Z15" s="33" t="s">
        <v>381</v>
      </c>
      <c r="AA15" s="33" t="s">
        <v>721</v>
      </c>
    </row>
    <row r="16" spans="1:27" ht="6.65" customHeight="1" x14ac:dyDescent="0.4">
      <c r="A16" s="52">
        <v>16</v>
      </c>
      <c r="B16" s="47" t="s">
        <v>888</v>
      </c>
      <c r="C16" s="49" t="s">
        <v>94</v>
      </c>
      <c r="D16" s="47" t="s">
        <v>284</v>
      </c>
      <c r="E16" s="47" t="s">
        <v>95</v>
      </c>
      <c r="F16" s="57" t="s">
        <v>414</v>
      </c>
      <c r="G16" s="56" t="s">
        <v>9</v>
      </c>
      <c r="H16" s="56" t="s">
        <v>9</v>
      </c>
      <c r="I16" s="56" t="s">
        <v>9</v>
      </c>
      <c r="J16" s="56" t="s">
        <v>9</v>
      </c>
      <c r="K16" s="56" t="s">
        <v>9</v>
      </c>
      <c r="L16" s="46" t="str">
        <f t="shared" si="7"/>
        <v>Fornecedores</v>
      </c>
      <c r="M16" s="46" t="str">
        <f t="shared" si="8"/>
        <v>Segmentos dos Profissionais</v>
      </c>
      <c r="N16" s="46" t="str">
        <f t="shared" si="8"/>
        <v>Segmento de Arquitetura</v>
      </c>
      <c r="O16" s="46" t="str">
        <f t="shared" si="8"/>
        <v>Arq Compra</v>
      </c>
      <c r="P16" s="46" t="s">
        <v>429</v>
      </c>
      <c r="Q16" s="46" t="s">
        <v>589</v>
      </c>
      <c r="R16" s="33" t="s">
        <v>9</v>
      </c>
      <c r="S16" s="33" t="str">
        <f t="shared" si="9"/>
        <v>Fornecedores</v>
      </c>
      <c r="T16" s="33" t="str">
        <f t="shared" si="9"/>
        <v>Segmentos dos Profissionais</v>
      </c>
      <c r="U16" s="33" t="str">
        <f t="shared" si="9"/>
        <v>Segmento de Arquitetura</v>
      </c>
      <c r="V16" s="33" t="s">
        <v>180</v>
      </c>
      <c r="W16" s="53" t="str">
        <f t="shared" si="3"/>
        <v>Key-FABR-16</v>
      </c>
      <c r="X16" s="33" t="s">
        <v>9</v>
      </c>
      <c r="Y16" s="33" t="s">
        <v>9</v>
      </c>
      <c r="Z16" s="33" t="s">
        <v>440</v>
      </c>
      <c r="AA16" s="33" t="s">
        <v>722</v>
      </c>
    </row>
    <row r="17" spans="1:27" ht="6.65" customHeight="1" x14ac:dyDescent="0.4">
      <c r="A17" s="52">
        <v>17</v>
      </c>
      <c r="B17" s="47" t="s">
        <v>888</v>
      </c>
      <c r="C17" s="49" t="s">
        <v>94</v>
      </c>
      <c r="D17" s="47" t="s">
        <v>284</v>
      </c>
      <c r="E17" s="47" t="s">
        <v>95</v>
      </c>
      <c r="F17" s="57" t="s">
        <v>317</v>
      </c>
      <c r="G17" s="56" t="s">
        <v>9</v>
      </c>
      <c r="H17" s="56" t="s">
        <v>9</v>
      </c>
      <c r="I17" s="56" t="s">
        <v>9</v>
      </c>
      <c r="J17" s="56" t="s">
        <v>9</v>
      </c>
      <c r="K17" s="56" t="s">
        <v>9</v>
      </c>
      <c r="L17" s="46" t="str">
        <f t="shared" si="7"/>
        <v>Fornecedores</v>
      </c>
      <c r="M17" s="46" t="str">
        <f t="shared" si="8"/>
        <v>Segmentos dos Profissionais</v>
      </c>
      <c r="N17" s="46" t="str">
        <f t="shared" si="8"/>
        <v>Segmento de Arquitetura</v>
      </c>
      <c r="O17" s="46" t="str">
        <f t="shared" si="8"/>
        <v>Arq Consultor</v>
      </c>
      <c r="P17" s="46" t="s">
        <v>163</v>
      </c>
      <c r="Q17" s="46" t="s">
        <v>590</v>
      </c>
      <c r="R17" s="33" t="s">
        <v>9</v>
      </c>
      <c r="S17" s="33" t="str">
        <f t="shared" si="9"/>
        <v>Fornecedores</v>
      </c>
      <c r="T17" s="33" t="str">
        <f t="shared" si="9"/>
        <v>Segmentos dos Profissionais</v>
      </c>
      <c r="U17" s="33" t="str">
        <f t="shared" si="9"/>
        <v>Segmento de Arquitetura</v>
      </c>
      <c r="V17" s="33" t="s">
        <v>180</v>
      </c>
      <c r="W17" s="53" t="str">
        <f t="shared" si="3"/>
        <v>Key-FABR-17</v>
      </c>
      <c r="X17" s="33" t="s">
        <v>9</v>
      </c>
      <c r="Y17" s="33" t="s">
        <v>9</v>
      </c>
      <c r="Z17" s="33" t="s">
        <v>382</v>
      </c>
      <c r="AA17" s="33" t="s">
        <v>723</v>
      </c>
    </row>
    <row r="18" spans="1:27" ht="6.65" customHeight="1" x14ac:dyDescent="0.4">
      <c r="A18" s="52">
        <v>18</v>
      </c>
      <c r="B18" s="47" t="s">
        <v>888</v>
      </c>
      <c r="C18" s="49" t="s">
        <v>94</v>
      </c>
      <c r="D18" s="47" t="s">
        <v>284</v>
      </c>
      <c r="E18" s="47" t="s">
        <v>95</v>
      </c>
      <c r="F18" s="57" t="s">
        <v>480</v>
      </c>
      <c r="G18" s="56" t="s">
        <v>9</v>
      </c>
      <c r="H18" s="56" t="s">
        <v>9</v>
      </c>
      <c r="I18" s="56" t="s">
        <v>9</v>
      </c>
      <c r="J18" s="56" t="s">
        <v>9</v>
      </c>
      <c r="K18" s="56" t="s">
        <v>9</v>
      </c>
      <c r="L18" s="46" t="s">
        <v>94</v>
      </c>
      <c r="M18" s="46" t="s">
        <v>453</v>
      </c>
      <c r="N18" s="46" t="s">
        <v>478</v>
      </c>
      <c r="O18" s="46" t="s">
        <v>479</v>
      </c>
      <c r="P18" s="46" t="s">
        <v>532</v>
      </c>
      <c r="Q18" s="46" t="s">
        <v>531</v>
      </c>
      <c r="R18" s="33" t="s">
        <v>9</v>
      </c>
      <c r="S18" s="33" t="s">
        <v>94</v>
      </c>
      <c r="T18" s="33" t="s">
        <v>453</v>
      </c>
      <c r="U18" s="33" t="s">
        <v>478</v>
      </c>
      <c r="V18" s="33" t="s">
        <v>180</v>
      </c>
      <c r="W18" s="53" t="str">
        <f t="shared" si="3"/>
        <v>Key-FABR-18</v>
      </c>
      <c r="X18" s="33" t="s">
        <v>9</v>
      </c>
      <c r="Y18" s="33" t="s">
        <v>9</v>
      </c>
      <c r="Z18" s="33" t="s">
        <v>493</v>
      </c>
      <c r="AA18" s="33" t="s">
        <v>518</v>
      </c>
    </row>
    <row r="19" spans="1:27" ht="6.65" customHeight="1" x14ac:dyDescent="0.4">
      <c r="A19" s="52">
        <v>19</v>
      </c>
      <c r="B19" s="47" t="s">
        <v>888</v>
      </c>
      <c r="C19" s="49" t="s">
        <v>94</v>
      </c>
      <c r="D19" s="47" t="s">
        <v>284</v>
      </c>
      <c r="E19" s="47" t="s">
        <v>95</v>
      </c>
      <c r="F19" s="57" t="s">
        <v>570</v>
      </c>
      <c r="G19" s="56" t="s">
        <v>9</v>
      </c>
      <c r="H19" s="56" t="s">
        <v>9</v>
      </c>
      <c r="I19" s="56" t="s">
        <v>9</v>
      </c>
      <c r="J19" s="56" t="s">
        <v>9</v>
      </c>
      <c r="K19" s="56" t="s">
        <v>9</v>
      </c>
      <c r="L19" s="46" t="str">
        <f t="shared" ref="L19:L26" si="10">_xlfn.CONCAT(SUBSTITUTE(C19,"1.",""))</f>
        <v>Fornecedores</v>
      </c>
      <c r="M19" s="46" t="str">
        <f t="shared" ref="M19:O26" si="11">_xlfn.CONCAT(SUBSTITUTE(D19,"."," "))</f>
        <v>Segmentos dos Profissionais</v>
      </c>
      <c r="N19" s="46" t="str">
        <f t="shared" si="11"/>
        <v>Segmento de Arquitetura</v>
      </c>
      <c r="O19" s="46" t="str">
        <f t="shared" si="11"/>
        <v>Arq Empresa Consultora</v>
      </c>
      <c r="P19" s="46" t="s">
        <v>164</v>
      </c>
      <c r="Q19" s="46" t="s">
        <v>591</v>
      </c>
      <c r="R19" s="33" t="s">
        <v>9</v>
      </c>
      <c r="S19" s="33" t="str">
        <f t="shared" ref="S19:U26" si="12">SUBSTITUTE(C19, ".", " ")</f>
        <v>Fornecedores</v>
      </c>
      <c r="T19" s="33" t="str">
        <f t="shared" si="12"/>
        <v>Segmentos dos Profissionais</v>
      </c>
      <c r="U19" s="33" t="str">
        <f t="shared" si="12"/>
        <v>Segmento de Arquitetura</v>
      </c>
      <c r="V19" s="33" t="s">
        <v>180</v>
      </c>
      <c r="W19" s="53" t="str">
        <f t="shared" si="3"/>
        <v>Key-FABR-19</v>
      </c>
      <c r="X19" s="33" t="s">
        <v>9</v>
      </c>
      <c r="Y19" s="33" t="s">
        <v>9</v>
      </c>
      <c r="Z19" s="33" t="s">
        <v>382</v>
      </c>
      <c r="AA19" s="33" t="s">
        <v>724</v>
      </c>
    </row>
    <row r="20" spans="1:27" ht="6.65" customHeight="1" x14ac:dyDescent="0.4">
      <c r="A20" s="52">
        <v>20</v>
      </c>
      <c r="B20" s="47" t="s">
        <v>888</v>
      </c>
      <c r="C20" s="49" t="s">
        <v>94</v>
      </c>
      <c r="D20" s="47" t="s">
        <v>284</v>
      </c>
      <c r="E20" s="47" t="s">
        <v>95</v>
      </c>
      <c r="F20" s="57" t="s">
        <v>318</v>
      </c>
      <c r="G20" s="56" t="s">
        <v>9</v>
      </c>
      <c r="H20" s="56" t="s">
        <v>9</v>
      </c>
      <c r="I20" s="56" t="s">
        <v>9</v>
      </c>
      <c r="J20" s="56" t="s">
        <v>9</v>
      </c>
      <c r="K20" s="56" t="s">
        <v>9</v>
      </c>
      <c r="L20" s="46" t="str">
        <f t="shared" si="10"/>
        <v>Fornecedores</v>
      </c>
      <c r="M20" s="46" t="str">
        <f t="shared" si="11"/>
        <v>Segmentos dos Profissionais</v>
      </c>
      <c r="N20" s="46" t="str">
        <f t="shared" si="11"/>
        <v>Segmento de Arquitetura</v>
      </c>
      <c r="O20" s="46" t="str">
        <f t="shared" si="11"/>
        <v>Arq Fabricante</v>
      </c>
      <c r="P20" s="46" t="s">
        <v>165</v>
      </c>
      <c r="Q20" s="46" t="s">
        <v>592</v>
      </c>
      <c r="R20" s="33" t="s">
        <v>9</v>
      </c>
      <c r="S20" s="33" t="str">
        <f t="shared" si="12"/>
        <v>Fornecedores</v>
      </c>
      <c r="T20" s="33" t="str">
        <f t="shared" si="12"/>
        <v>Segmentos dos Profissionais</v>
      </c>
      <c r="U20" s="33" t="str">
        <f t="shared" si="12"/>
        <v>Segmento de Arquitetura</v>
      </c>
      <c r="V20" s="33" t="s">
        <v>180</v>
      </c>
      <c r="W20" s="53" t="str">
        <f t="shared" si="3"/>
        <v>Key-FABR-20</v>
      </c>
      <c r="X20" s="33" t="s">
        <v>9</v>
      </c>
      <c r="Y20" s="33" t="s">
        <v>9</v>
      </c>
      <c r="Z20" s="33" t="s">
        <v>373</v>
      </c>
      <c r="AA20" s="33" t="s">
        <v>725</v>
      </c>
    </row>
    <row r="21" spans="1:27" ht="6.65" customHeight="1" x14ac:dyDescent="0.4">
      <c r="A21" s="52">
        <v>21</v>
      </c>
      <c r="B21" s="47" t="s">
        <v>888</v>
      </c>
      <c r="C21" s="49" t="s">
        <v>94</v>
      </c>
      <c r="D21" s="47" t="s">
        <v>284</v>
      </c>
      <c r="E21" s="47" t="s">
        <v>95</v>
      </c>
      <c r="F21" s="57" t="s">
        <v>544</v>
      </c>
      <c r="G21" s="56" t="s">
        <v>9</v>
      </c>
      <c r="H21" s="56" t="s">
        <v>9</v>
      </c>
      <c r="I21" s="56" t="s">
        <v>9</v>
      </c>
      <c r="J21" s="56" t="s">
        <v>9</v>
      </c>
      <c r="K21" s="56" t="s">
        <v>9</v>
      </c>
      <c r="L21" s="46" t="str">
        <f t="shared" si="10"/>
        <v>Fornecedores</v>
      </c>
      <c r="M21" s="46" t="str">
        <f t="shared" si="11"/>
        <v>Segmentos dos Profissionais</v>
      </c>
      <c r="N21" s="46" t="str">
        <f t="shared" si="11"/>
        <v>Segmento de Arquitetura</v>
      </c>
      <c r="O21" s="46" t="str">
        <f t="shared" si="11"/>
        <v>Arq Fornecedor</v>
      </c>
      <c r="P21" s="46" t="s">
        <v>170</v>
      </c>
      <c r="Q21" s="46" t="s">
        <v>593</v>
      </c>
      <c r="R21" s="33" t="s">
        <v>9</v>
      </c>
      <c r="S21" s="33" t="str">
        <f t="shared" si="12"/>
        <v>Fornecedores</v>
      </c>
      <c r="T21" s="33" t="str">
        <f t="shared" si="12"/>
        <v>Segmentos dos Profissionais</v>
      </c>
      <c r="U21" s="33" t="str">
        <f t="shared" si="12"/>
        <v>Segmento de Arquitetura</v>
      </c>
      <c r="V21" s="33" t="s">
        <v>180</v>
      </c>
      <c r="W21" s="53" t="str">
        <f t="shared" si="3"/>
        <v>Key-FABR-21</v>
      </c>
      <c r="X21" s="33" t="s">
        <v>9</v>
      </c>
      <c r="Y21" s="33" t="s">
        <v>9</v>
      </c>
      <c r="Z21" s="33" t="s">
        <v>380</v>
      </c>
      <c r="AA21" s="33" t="s">
        <v>726</v>
      </c>
    </row>
    <row r="22" spans="1:27" ht="6.65" customHeight="1" x14ac:dyDescent="0.4">
      <c r="A22" s="52">
        <v>22</v>
      </c>
      <c r="B22" s="47" t="s">
        <v>888</v>
      </c>
      <c r="C22" s="49" t="s">
        <v>94</v>
      </c>
      <c r="D22" s="47" t="s">
        <v>284</v>
      </c>
      <c r="E22" s="47" t="s">
        <v>95</v>
      </c>
      <c r="F22" s="57" t="s">
        <v>319</v>
      </c>
      <c r="G22" s="56" t="s">
        <v>9</v>
      </c>
      <c r="H22" s="56" t="s">
        <v>9</v>
      </c>
      <c r="I22" s="56" t="s">
        <v>9</v>
      </c>
      <c r="J22" s="56" t="s">
        <v>9</v>
      </c>
      <c r="K22" s="56" t="s">
        <v>9</v>
      </c>
      <c r="L22" s="46" t="str">
        <f t="shared" si="10"/>
        <v>Fornecedores</v>
      </c>
      <c r="M22" s="46" t="str">
        <f t="shared" si="11"/>
        <v>Segmentos dos Profissionais</v>
      </c>
      <c r="N22" s="46" t="str">
        <f t="shared" si="11"/>
        <v>Segmento de Arquitetura</v>
      </c>
      <c r="O22" s="46" t="str">
        <f t="shared" si="11"/>
        <v>Arq Projetista</v>
      </c>
      <c r="P22" s="46" t="s">
        <v>219</v>
      </c>
      <c r="Q22" s="46" t="s">
        <v>594</v>
      </c>
      <c r="R22" s="33" t="s">
        <v>9</v>
      </c>
      <c r="S22" s="33" t="str">
        <f t="shared" si="12"/>
        <v>Fornecedores</v>
      </c>
      <c r="T22" s="33" t="str">
        <f t="shared" si="12"/>
        <v>Segmentos dos Profissionais</v>
      </c>
      <c r="U22" s="33" t="str">
        <f t="shared" si="12"/>
        <v>Segmento de Arquitetura</v>
      </c>
      <c r="V22" s="33" t="s">
        <v>180</v>
      </c>
      <c r="W22" s="53" t="str">
        <f t="shared" si="3"/>
        <v>Key-FABR-22</v>
      </c>
      <c r="X22" s="33" t="s">
        <v>9</v>
      </c>
      <c r="Y22" s="33" t="s">
        <v>9</v>
      </c>
      <c r="Z22" s="33" t="s">
        <v>374</v>
      </c>
      <c r="AA22" s="33" t="s">
        <v>727</v>
      </c>
    </row>
    <row r="23" spans="1:27" ht="6.65" customHeight="1" x14ac:dyDescent="0.4">
      <c r="A23" s="52">
        <v>23</v>
      </c>
      <c r="B23" s="47" t="s">
        <v>888</v>
      </c>
      <c r="C23" s="49" t="s">
        <v>94</v>
      </c>
      <c r="D23" s="47" t="s">
        <v>284</v>
      </c>
      <c r="E23" s="47" t="s">
        <v>95</v>
      </c>
      <c r="F23" s="57" t="s">
        <v>320</v>
      </c>
      <c r="G23" s="56" t="s">
        <v>9</v>
      </c>
      <c r="H23" s="56" t="s">
        <v>9</v>
      </c>
      <c r="I23" s="56" t="s">
        <v>9</v>
      </c>
      <c r="J23" s="56" t="s">
        <v>9</v>
      </c>
      <c r="K23" s="56" t="s">
        <v>9</v>
      </c>
      <c r="L23" s="46" t="str">
        <f t="shared" si="10"/>
        <v>Fornecedores</v>
      </c>
      <c r="M23" s="46" t="str">
        <f t="shared" si="11"/>
        <v>Segmentos dos Profissionais</v>
      </c>
      <c r="N23" s="46" t="str">
        <f t="shared" si="11"/>
        <v>Segmento de Arquitetura</v>
      </c>
      <c r="O23" s="46" t="str">
        <f t="shared" si="11"/>
        <v>Arq Serviço</v>
      </c>
      <c r="P23" s="46" t="s">
        <v>162</v>
      </c>
      <c r="Q23" s="46" t="s">
        <v>595</v>
      </c>
      <c r="R23" s="33" t="s">
        <v>9</v>
      </c>
      <c r="S23" s="33" t="str">
        <f t="shared" si="12"/>
        <v>Fornecedores</v>
      </c>
      <c r="T23" s="33" t="str">
        <f t="shared" si="12"/>
        <v>Segmentos dos Profissionais</v>
      </c>
      <c r="U23" s="33" t="str">
        <f t="shared" si="12"/>
        <v>Segmento de Arquitetura</v>
      </c>
      <c r="V23" s="33" t="s">
        <v>180</v>
      </c>
      <c r="W23" s="53" t="str">
        <f t="shared" si="3"/>
        <v>Key-FABR-23</v>
      </c>
      <c r="X23" s="33" t="s">
        <v>9</v>
      </c>
      <c r="Y23" s="33" t="s">
        <v>9</v>
      </c>
      <c r="Z23" s="33" t="s">
        <v>383</v>
      </c>
      <c r="AA23" s="33" t="s">
        <v>728</v>
      </c>
    </row>
    <row r="24" spans="1:27" ht="6.65" customHeight="1" x14ac:dyDescent="0.4">
      <c r="A24" s="52">
        <v>24</v>
      </c>
      <c r="B24" s="47" t="s">
        <v>888</v>
      </c>
      <c r="C24" s="49" t="s">
        <v>94</v>
      </c>
      <c r="D24" s="47" t="s">
        <v>284</v>
      </c>
      <c r="E24" s="47" t="s">
        <v>95</v>
      </c>
      <c r="F24" s="57" t="s">
        <v>557</v>
      </c>
      <c r="G24" s="56" t="s">
        <v>9</v>
      </c>
      <c r="H24" s="56" t="s">
        <v>9</v>
      </c>
      <c r="I24" s="56" t="s">
        <v>9</v>
      </c>
      <c r="J24" s="56" t="s">
        <v>9</v>
      </c>
      <c r="K24" s="56" t="s">
        <v>9</v>
      </c>
      <c r="L24" s="46" t="str">
        <f t="shared" si="10"/>
        <v>Fornecedores</v>
      </c>
      <c r="M24" s="46" t="str">
        <f t="shared" si="11"/>
        <v>Segmentos dos Profissionais</v>
      </c>
      <c r="N24" s="46" t="str">
        <f t="shared" si="11"/>
        <v>Segmento de Arquitetura</v>
      </c>
      <c r="O24" s="46" t="str">
        <f t="shared" si="11"/>
        <v>Arq Vendedor</v>
      </c>
      <c r="P24" s="46" t="s">
        <v>532</v>
      </c>
      <c r="Q24" s="46" t="s">
        <v>596</v>
      </c>
      <c r="R24" s="33" t="s">
        <v>9</v>
      </c>
      <c r="S24" s="33" t="str">
        <f t="shared" si="12"/>
        <v>Fornecedores</v>
      </c>
      <c r="T24" s="33" t="str">
        <f t="shared" si="12"/>
        <v>Segmentos dos Profissionais</v>
      </c>
      <c r="U24" s="33" t="str">
        <f t="shared" si="12"/>
        <v>Segmento de Arquitetura</v>
      </c>
      <c r="V24" s="33" t="s">
        <v>180</v>
      </c>
      <c r="W24" s="53" t="str">
        <f t="shared" si="3"/>
        <v>Key-FABR-24</v>
      </c>
      <c r="X24" s="33" t="s">
        <v>9</v>
      </c>
      <c r="Y24" s="33" t="s">
        <v>9</v>
      </c>
      <c r="Z24" s="33" t="s">
        <v>381</v>
      </c>
      <c r="AA24" s="33" t="s">
        <v>729</v>
      </c>
    </row>
    <row r="25" spans="1:27" ht="6.65" customHeight="1" x14ac:dyDescent="0.4">
      <c r="A25" s="52">
        <v>25</v>
      </c>
      <c r="B25" s="47" t="s">
        <v>888</v>
      </c>
      <c r="C25" s="49" t="s">
        <v>94</v>
      </c>
      <c r="D25" s="47" t="s">
        <v>284</v>
      </c>
      <c r="E25" s="47" t="s">
        <v>96</v>
      </c>
      <c r="F25" s="57" t="s">
        <v>426</v>
      </c>
      <c r="G25" s="56" t="s">
        <v>9</v>
      </c>
      <c r="H25" s="56" t="s">
        <v>9</v>
      </c>
      <c r="I25" s="56" t="s">
        <v>9</v>
      </c>
      <c r="J25" s="56" t="s">
        <v>9</v>
      </c>
      <c r="K25" s="56" t="s">
        <v>9</v>
      </c>
      <c r="L25" s="46" t="str">
        <f t="shared" si="10"/>
        <v>Fornecedores</v>
      </c>
      <c r="M25" s="46" t="str">
        <f t="shared" si="11"/>
        <v>Segmentos dos Profissionais</v>
      </c>
      <c r="N25" s="46" t="str">
        <f t="shared" si="11"/>
        <v>Segmento de Estrutura</v>
      </c>
      <c r="O25" s="46" t="str">
        <f t="shared" si="11"/>
        <v>Est Compra</v>
      </c>
      <c r="P25" s="46" t="s">
        <v>430</v>
      </c>
      <c r="Q25" s="46" t="s">
        <v>597</v>
      </c>
      <c r="R25" s="33" t="s">
        <v>9</v>
      </c>
      <c r="S25" s="33" t="str">
        <f t="shared" si="12"/>
        <v>Fornecedores</v>
      </c>
      <c r="T25" s="33" t="str">
        <f t="shared" si="12"/>
        <v>Segmentos dos Profissionais</v>
      </c>
      <c r="U25" s="33" t="str">
        <f t="shared" si="12"/>
        <v>Segmento de Estrutura</v>
      </c>
      <c r="V25" s="33" t="s">
        <v>180</v>
      </c>
      <c r="W25" s="53" t="str">
        <f t="shared" si="3"/>
        <v>Key-FABR-25</v>
      </c>
      <c r="X25" s="33" t="s">
        <v>9</v>
      </c>
      <c r="Y25" s="33" t="s">
        <v>9</v>
      </c>
      <c r="Z25" s="33" t="s">
        <v>440</v>
      </c>
      <c r="AA25" s="33" t="s">
        <v>730</v>
      </c>
    </row>
    <row r="26" spans="1:27" ht="6.65" customHeight="1" x14ac:dyDescent="0.4">
      <c r="A26" s="52">
        <v>26</v>
      </c>
      <c r="B26" s="47" t="s">
        <v>888</v>
      </c>
      <c r="C26" s="49" t="s">
        <v>94</v>
      </c>
      <c r="D26" s="47" t="s">
        <v>284</v>
      </c>
      <c r="E26" s="47" t="s">
        <v>96</v>
      </c>
      <c r="F26" s="57" t="s">
        <v>321</v>
      </c>
      <c r="G26" s="56" t="s">
        <v>9</v>
      </c>
      <c r="H26" s="56" t="s">
        <v>9</v>
      </c>
      <c r="I26" s="56" t="s">
        <v>9</v>
      </c>
      <c r="J26" s="56" t="s">
        <v>9</v>
      </c>
      <c r="K26" s="56" t="s">
        <v>9</v>
      </c>
      <c r="L26" s="46" t="str">
        <f t="shared" si="10"/>
        <v>Fornecedores</v>
      </c>
      <c r="M26" s="46" t="str">
        <f t="shared" si="11"/>
        <v>Segmentos dos Profissionais</v>
      </c>
      <c r="N26" s="46" t="str">
        <f t="shared" si="11"/>
        <v>Segmento de Estrutura</v>
      </c>
      <c r="O26" s="46" t="str">
        <f t="shared" si="11"/>
        <v>Est Consultor</v>
      </c>
      <c r="P26" s="46" t="s">
        <v>103</v>
      </c>
      <c r="Q26" s="46" t="s">
        <v>598</v>
      </c>
      <c r="R26" s="33" t="s">
        <v>9</v>
      </c>
      <c r="S26" s="33" t="str">
        <f t="shared" si="12"/>
        <v>Fornecedores</v>
      </c>
      <c r="T26" s="33" t="str">
        <f t="shared" si="12"/>
        <v>Segmentos dos Profissionais</v>
      </c>
      <c r="U26" s="33" t="str">
        <f t="shared" si="12"/>
        <v>Segmento de Estrutura</v>
      </c>
      <c r="V26" s="33" t="s">
        <v>180</v>
      </c>
      <c r="W26" s="53" t="str">
        <f t="shared" si="3"/>
        <v>Key-FABR-26</v>
      </c>
      <c r="X26" s="33" t="s">
        <v>9</v>
      </c>
      <c r="Y26" s="33" t="s">
        <v>9</v>
      </c>
      <c r="Z26" s="33" t="s">
        <v>382</v>
      </c>
      <c r="AA26" s="33" t="s">
        <v>731</v>
      </c>
    </row>
    <row r="27" spans="1:27" ht="6.65" customHeight="1" x14ac:dyDescent="0.4">
      <c r="A27" s="52">
        <v>27</v>
      </c>
      <c r="B27" s="47" t="s">
        <v>888</v>
      </c>
      <c r="C27" s="49" t="s">
        <v>94</v>
      </c>
      <c r="D27" s="47" t="s">
        <v>284</v>
      </c>
      <c r="E27" s="47" t="s">
        <v>96</v>
      </c>
      <c r="F27" s="57" t="s">
        <v>481</v>
      </c>
      <c r="G27" s="56" t="s">
        <v>9</v>
      </c>
      <c r="H27" s="56" t="s">
        <v>9</v>
      </c>
      <c r="I27" s="56" t="s">
        <v>9</v>
      </c>
      <c r="J27" s="56" t="s">
        <v>9</v>
      </c>
      <c r="K27" s="56" t="s">
        <v>9</v>
      </c>
      <c r="L27" s="46" t="s">
        <v>94</v>
      </c>
      <c r="M27" s="46" t="s">
        <v>453</v>
      </c>
      <c r="N27" s="46" t="s">
        <v>454</v>
      </c>
      <c r="O27" s="46" t="s">
        <v>455</v>
      </c>
      <c r="P27" s="46" t="s">
        <v>494</v>
      </c>
      <c r="Q27" s="46" t="s">
        <v>519</v>
      </c>
      <c r="R27" s="33" t="s">
        <v>9</v>
      </c>
      <c r="S27" s="33" t="s">
        <v>94</v>
      </c>
      <c r="T27" s="33" t="s">
        <v>453</v>
      </c>
      <c r="U27" s="33" t="s">
        <v>454</v>
      </c>
      <c r="V27" s="33" t="s">
        <v>180</v>
      </c>
      <c r="W27" s="53" t="str">
        <f t="shared" si="3"/>
        <v>Key-FABR-27</v>
      </c>
      <c r="X27" s="33" t="s">
        <v>9</v>
      </c>
      <c r="Y27" s="33" t="s">
        <v>9</v>
      </c>
      <c r="Z27" s="33" t="s">
        <v>493</v>
      </c>
      <c r="AA27" s="33" t="s">
        <v>506</v>
      </c>
    </row>
    <row r="28" spans="1:27" ht="6.65" customHeight="1" x14ac:dyDescent="0.4">
      <c r="A28" s="52">
        <v>28</v>
      </c>
      <c r="B28" s="47" t="s">
        <v>888</v>
      </c>
      <c r="C28" s="49" t="s">
        <v>94</v>
      </c>
      <c r="D28" s="47" t="s">
        <v>284</v>
      </c>
      <c r="E28" s="47" t="s">
        <v>96</v>
      </c>
      <c r="F28" s="57" t="s">
        <v>322</v>
      </c>
      <c r="G28" s="56" t="s">
        <v>9</v>
      </c>
      <c r="H28" s="56" t="s">
        <v>9</v>
      </c>
      <c r="I28" s="56" t="s">
        <v>9</v>
      </c>
      <c r="J28" s="56" t="s">
        <v>9</v>
      </c>
      <c r="K28" s="56" t="s">
        <v>9</v>
      </c>
      <c r="L28" s="46" t="str">
        <f t="shared" ref="L28:L35" si="13">_xlfn.CONCAT(SUBSTITUTE(C28,"1.",""))</f>
        <v>Fornecedores</v>
      </c>
      <c r="M28" s="46" t="str">
        <f t="shared" ref="M28:O35" si="14">_xlfn.CONCAT(SUBSTITUTE(D28,"."," "))</f>
        <v>Segmentos dos Profissionais</v>
      </c>
      <c r="N28" s="46" t="str">
        <f t="shared" si="14"/>
        <v>Segmento de Estrutura</v>
      </c>
      <c r="O28" s="46" t="str">
        <f t="shared" si="14"/>
        <v>Est Empresa Consultora</v>
      </c>
      <c r="P28" s="46" t="s">
        <v>104</v>
      </c>
      <c r="Q28" s="46" t="s">
        <v>599</v>
      </c>
      <c r="R28" s="33" t="s">
        <v>9</v>
      </c>
      <c r="S28" s="33" t="str">
        <f t="shared" ref="S28:U35" si="15">SUBSTITUTE(C28, ".", " ")</f>
        <v>Fornecedores</v>
      </c>
      <c r="T28" s="33" t="str">
        <f t="shared" si="15"/>
        <v>Segmentos dos Profissionais</v>
      </c>
      <c r="U28" s="33" t="str">
        <f t="shared" si="15"/>
        <v>Segmento de Estrutura</v>
      </c>
      <c r="V28" s="33" t="s">
        <v>180</v>
      </c>
      <c r="W28" s="53" t="str">
        <f t="shared" si="3"/>
        <v>Key-FABR-28</v>
      </c>
      <c r="X28" s="33" t="s">
        <v>9</v>
      </c>
      <c r="Y28" s="33" t="s">
        <v>9</v>
      </c>
      <c r="Z28" s="33" t="s">
        <v>382</v>
      </c>
      <c r="AA28" s="33" t="s">
        <v>732</v>
      </c>
    </row>
    <row r="29" spans="1:27" ht="6.65" customHeight="1" x14ac:dyDescent="0.4">
      <c r="A29" s="52">
        <v>29</v>
      </c>
      <c r="B29" s="47" t="s">
        <v>888</v>
      </c>
      <c r="C29" s="49" t="s">
        <v>94</v>
      </c>
      <c r="D29" s="47" t="s">
        <v>284</v>
      </c>
      <c r="E29" s="47" t="s">
        <v>96</v>
      </c>
      <c r="F29" s="57" t="s">
        <v>323</v>
      </c>
      <c r="G29" s="56" t="s">
        <v>9</v>
      </c>
      <c r="H29" s="56" t="s">
        <v>9</v>
      </c>
      <c r="I29" s="56" t="s">
        <v>9</v>
      </c>
      <c r="J29" s="56" t="s">
        <v>9</v>
      </c>
      <c r="K29" s="56" t="s">
        <v>9</v>
      </c>
      <c r="L29" s="46" t="str">
        <f t="shared" si="13"/>
        <v>Fornecedores</v>
      </c>
      <c r="M29" s="46" t="str">
        <f t="shared" si="14"/>
        <v>Segmentos dos Profissionais</v>
      </c>
      <c r="N29" s="46" t="str">
        <f t="shared" si="14"/>
        <v>Segmento de Estrutura</v>
      </c>
      <c r="O29" s="46" t="str">
        <f t="shared" si="14"/>
        <v>Est Fabricante</v>
      </c>
      <c r="P29" s="46" t="s">
        <v>105</v>
      </c>
      <c r="Q29" s="46" t="s">
        <v>600</v>
      </c>
      <c r="R29" s="33" t="s">
        <v>9</v>
      </c>
      <c r="S29" s="33" t="str">
        <f t="shared" si="15"/>
        <v>Fornecedores</v>
      </c>
      <c r="T29" s="33" t="str">
        <f t="shared" si="15"/>
        <v>Segmentos dos Profissionais</v>
      </c>
      <c r="U29" s="33" t="str">
        <f t="shared" si="15"/>
        <v>Segmento de Estrutura</v>
      </c>
      <c r="V29" s="33" t="s">
        <v>180</v>
      </c>
      <c r="W29" s="53" t="str">
        <f t="shared" si="3"/>
        <v>Key-FABR-29</v>
      </c>
      <c r="X29" s="33" t="s">
        <v>9</v>
      </c>
      <c r="Y29" s="33" t="s">
        <v>9</v>
      </c>
      <c r="Z29" s="33" t="s">
        <v>373</v>
      </c>
      <c r="AA29" s="33" t="s">
        <v>733</v>
      </c>
    </row>
    <row r="30" spans="1:27" ht="6.65" customHeight="1" x14ac:dyDescent="0.4">
      <c r="A30" s="52">
        <v>30</v>
      </c>
      <c r="B30" s="47" t="s">
        <v>888</v>
      </c>
      <c r="C30" s="49" t="s">
        <v>94</v>
      </c>
      <c r="D30" s="47" t="s">
        <v>284</v>
      </c>
      <c r="E30" s="47" t="s">
        <v>96</v>
      </c>
      <c r="F30" s="57" t="s">
        <v>545</v>
      </c>
      <c r="G30" s="56" t="s">
        <v>9</v>
      </c>
      <c r="H30" s="56" t="s">
        <v>9</v>
      </c>
      <c r="I30" s="56" t="s">
        <v>9</v>
      </c>
      <c r="J30" s="56" t="s">
        <v>9</v>
      </c>
      <c r="K30" s="56" t="s">
        <v>9</v>
      </c>
      <c r="L30" s="46" t="str">
        <f t="shared" si="13"/>
        <v>Fornecedores</v>
      </c>
      <c r="M30" s="46" t="str">
        <f t="shared" si="14"/>
        <v>Segmentos dos Profissionais</v>
      </c>
      <c r="N30" s="46" t="str">
        <f t="shared" si="14"/>
        <v>Segmento de Estrutura</v>
      </c>
      <c r="O30" s="46" t="str">
        <f t="shared" si="14"/>
        <v>Est Fornecedor</v>
      </c>
      <c r="P30" s="46" t="s">
        <v>172</v>
      </c>
      <c r="Q30" s="46" t="s">
        <v>601</v>
      </c>
      <c r="R30" s="33" t="s">
        <v>9</v>
      </c>
      <c r="S30" s="33" t="str">
        <f t="shared" si="15"/>
        <v>Fornecedores</v>
      </c>
      <c r="T30" s="33" t="str">
        <f t="shared" si="15"/>
        <v>Segmentos dos Profissionais</v>
      </c>
      <c r="U30" s="33" t="str">
        <f t="shared" si="15"/>
        <v>Segmento de Estrutura</v>
      </c>
      <c r="V30" s="33" t="s">
        <v>180</v>
      </c>
      <c r="W30" s="53" t="str">
        <f t="shared" si="3"/>
        <v>Key-FABR-30</v>
      </c>
      <c r="X30" s="33" t="s">
        <v>9</v>
      </c>
      <c r="Y30" s="33" t="s">
        <v>9</v>
      </c>
      <c r="Z30" s="33" t="s">
        <v>380</v>
      </c>
      <c r="AA30" s="33" t="s">
        <v>734</v>
      </c>
    </row>
    <row r="31" spans="1:27" ht="6.65" customHeight="1" x14ac:dyDescent="0.4">
      <c r="A31" s="52">
        <v>31</v>
      </c>
      <c r="B31" s="47" t="s">
        <v>888</v>
      </c>
      <c r="C31" s="49" t="s">
        <v>94</v>
      </c>
      <c r="D31" s="47" t="s">
        <v>284</v>
      </c>
      <c r="E31" s="47" t="s">
        <v>96</v>
      </c>
      <c r="F31" s="57" t="s">
        <v>324</v>
      </c>
      <c r="G31" s="56" t="s">
        <v>9</v>
      </c>
      <c r="H31" s="56" t="s">
        <v>9</v>
      </c>
      <c r="I31" s="56" t="s">
        <v>9</v>
      </c>
      <c r="J31" s="56" t="s">
        <v>9</v>
      </c>
      <c r="K31" s="56" t="s">
        <v>9</v>
      </c>
      <c r="L31" s="46" t="str">
        <f t="shared" si="13"/>
        <v>Fornecedores</v>
      </c>
      <c r="M31" s="46" t="str">
        <f t="shared" si="14"/>
        <v>Segmentos dos Profissionais</v>
      </c>
      <c r="N31" s="46" t="str">
        <f t="shared" si="14"/>
        <v>Segmento de Estrutura</v>
      </c>
      <c r="O31" s="46" t="str">
        <f t="shared" si="14"/>
        <v>Est Projetista</v>
      </c>
      <c r="P31" s="46" t="s">
        <v>220</v>
      </c>
      <c r="Q31" s="46" t="s">
        <v>602</v>
      </c>
      <c r="R31" s="33" t="s">
        <v>9</v>
      </c>
      <c r="S31" s="33" t="str">
        <f t="shared" si="15"/>
        <v>Fornecedores</v>
      </c>
      <c r="T31" s="33" t="str">
        <f t="shared" si="15"/>
        <v>Segmentos dos Profissionais</v>
      </c>
      <c r="U31" s="33" t="str">
        <f t="shared" si="15"/>
        <v>Segmento de Estrutura</v>
      </c>
      <c r="V31" s="33" t="s">
        <v>180</v>
      </c>
      <c r="W31" s="53" t="str">
        <f t="shared" si="3"/>
        <v>Key-FABR-31</v>
      </c>
      <c r="X31" s="33" t="s">
        <v>9</v>
      </c>
      <c r="Y31" s="33" t="s">
        <v>9</v>
      </c>
      <c r="Z31" s="33" t="s">
        <v>375</v>
      </c>
      <c r="AA31" s="33" t="s">
        <v>735</v>
      </c>
    </row>
    <row r="32" spans="1:27" ht="6.65" customHeight="1" x14ac:dyDescent="0.4">
      <c r="A32" s="52">
        <v>32</v>
      </c>
      <c r="B32" s="47" t="s">
        <v>888</v>
      </c>
      <c r="C32" s="49" t="s">
        <v>94</v>
      </c>
      <c r="D32" s="47" t="s">
        <v>284</v>
      </c>
      <c r="E32" s="47" t="s">
        <v>96</v>
      </c>
      <c r="F32" s="57" t="s">
        <v>325</v>
      </c>
      <c r="G32" s="56" t="s">
        <v>9</v>
      </c>
      <c r="H32" s="56" t="s">
        <v>9</v>
      </c>
      <c r="I32" s="56" t="s">
        <v>9</v>
      </c>
      <c r="J32" s="56" t="s">
        <v>9</v>
      </c>
      <c r="K32" s="56" t="s">
        <v>9</v>
      </c>
      <c r="L32" s="46" t="str">
        <f t="shared" si="13"/>
        <v>Fornecedores</v>
      </c>
      <c r="M32" s="46" t="str">
        <f t="shared" si="14"/>
        <v>Segmentos dos Profissionais</v>
      </c>
      <c r="N32" s="46" t="str">
        <f t="shared" si="14"/>
        <v>Segmento de Estrutura</v>
      </c>
      <c r="O32" s="46" t="str">
        <f t="shared" si="14"/>
        <v>Est Serviço</v>
      </c>
      <c r="P32" s="46" t="s">
        <v>102</v>
      </c>
      <c r="Q32" s="46" t="s">
        <v>603</v>
      </c>
      <c r="R32" s="33" t="s">
        <v>9</v>
      </c>
      <c r="S32" s="33" t="str">
        <f t="shared" si="15"/>
        <v>Fornecedores</v>
      </c>
      <c r="T32" s="33" t="str">
        <f t="shared" si="15"/>
        <v>Segmentos dos Profissionais</v>
      </c>
      <c r="U32" s="33" t="str">
        <f t="shared" si="15"/>
        <v>Segmento de Estrutura</v>
      </c>
      <c r="V32" s="33" t="s">
        <v>180</v>
      </c>
      <c r="W32" s="53" t="str">
        <f t="shared" si="3"/>
        <v>Key-FABR-32</v>
      </c>
      <c r="X32" s="33" t="s">
        <v>9</v>
      </c>
      <c r="Y32" s="33" t="s">
        <v>9</v>
      </c>
      <c r="Z32" s="33" t="s">
        <v>383</v>
      </c>
      <c r="AA32" s="33" t="s">
        <v>736</v>
      </c>
    </row>
    <row r="33" spans="1:27" ht="6.65" customHeight="1" x14ac:dyDescent="0.4">
      <c r="A33" s="52">
        <v>33</v>
      </c>
      <c r="B33" s="47" t="s">
        <v>888</v>
      </c>
      <c r="C33" s="49" t="s">
        <v>94</v>
      </c>
      <c r="D33" s="47" t="s">
        <v>284</v>
      </c>
      <c r="E33" s="47" t="s">
        <v>96</v>
      </c>
      <c r="F33" s="57" t="s">
        <v>558</v>
      </c>
      <c r="G33" s="56" t="s">
        <v>9</v>
      </c>
      <c r="H33" s="56" t="s">
        <v>9</v>
      </c>
      <c r="I33" s="56" t="s">
        <v>9</v>
      </c>
      <c r="J33" s="56" t="s">
        <v>9</v>
      </c>
      <c r="K33" s="56" t="s">
        <v>9</v>
      </c>
      <c r="L33" s="46" t="str">
        <f t="shared" si="13"/>
        <v>Fornecedores</v>
      </c>
      <c r="M33" s="46" t="str">
        <f t="shared" si="14"/>
        <v>Segmentos dos Profissionais</v>
      </c>
      <c r="N33" s="46" t="str">
        <f t="shared" si="14"/>
        <v>Segmento de Estrutura</v>
      </c>
      <c r="O33" s="46" t="str">
        <f t="shared" si="14"/>
        <v>Est Vendedor</v>
      </c>
      <c r="P33" s="46" t="s">
        <v>441</v>
      </c>
      <c r="Q33" s="46" t="s">
        <v>604</v>
      </c>
      <c r="R33" s="33" t="s">
        <v>9</v>
      </c>
      <c r="S33" s="33" t="str">
        <f t="shared" si="15"/>
        <v>Fornecedores</v>
      </c>
      <c r="T33" s="33" t="str">
        <f t="shared" si="15"/>
        <v>Segmentos dos Profissionais</v>
      </c>
      <c r="U33" s="33" t="str">
        <f t="shared" si="15"/>
        <v>Segmento de Estrutura</v>
      </c>
      <c r="V33" s="33" t="s">
        <v>180</v>
      </c>
      <c r="W33" s="53" t="str">
        <f t="shared" si="3"/>
        <v>Key-FABR-33</v>
      </c>
      <c r="X33" s="33" t="s">
        <v>9</v>
      </c>
      <c r="Y33" s="33" t="s">
        <v>9</v>
      </c>
      <c r="Z33" s="33" t="s">
        <v>381</v>
      </c>
      <c r="AA33" s="33" t="s">
        <v>737</v>
      </c>
    </row>
    <row r="34" spans="1:27" ht="6.65" customHeight="1" x14ac:dyDescent="0.4">
      <c r="A34" s="52">
        <v>34</v>
      </c>
      <c r="B34" s="47" t="s">
        <v>888</v>
      </c>
      <c r="C34" s="49" t="s">
        <v>94</v>
      </c>
      <c r="D34" s="47" t="s">
        <v>284</v>
      </c>
      <c r="E34" s="47" t="s">
        <v>181</v>
      </c>
      <c r="F34" s="57" t="s">
        <v>425</v>
      </c>
      <c r="G34" s="56" t="s">
        <v>9</v>
      </c>
      <c r="H34" s="56" t="s">
        <v>9</v>
      </c>
      <c r="I34" s="56" t="s">
        <v>9</v>
      </c>
      <c r="J34" s="56" t="s">
        <v>9</v>
      </c>
      <c r="K34" s="56" t="s">
        <v>9</v>
      </c>
      <c r="L34" s="46" t="str">
        <f t="shared" si="13"/>
        <v>Fornecedores</v>
      </c>
      <c r="M34" s="46" t="str">
        <f t="shared" si="14"/>
        <v>Segmentos dos Profissionais</v>
      </c>
      <c r="N34" s="46" t="str">
        <f t="shared" si="14"/>
        <v>Segmento de Geotécnica</v>
      </c>
      <c r="O34" s="46" t="str">
        <f t="shared" si="14"/>
        <v>Geo Compra</v>
      </c>
      <c r="P34" s="46" t="s">
        <v>431</v>
      </c>
      <c r="Q34" s="46" t="s">
        <v>605</v>
      </c>
      <c r="R34" s="33" t="s">
        <v>9</v>
      </c>
      <c r="S34" s="33" t="str">
        <f t="shared" si="15"/>
        <v>Fornecedores</v>
      </c>
      <c r="T34" s="33" t="str">
        <f t="shared" si="15"/>
        <v>Segmentos dos Profissionais</v>
      </c>
      <c r="U34" s="33" t="str">
        <f t="shared" si="15"/>
        <v>Segmento de Geotécnica</v>
      </c>
      <c r="V34" s="33" t="s">
        <v>180</v>
      </c>
      <c r="W34" s="53" t="str">
        <f t="shared" si="3"/>
        <v>Key-FABR-34</v>
      </c>
      <c r="X34" s="33" t="s">
        <v>9</v>
      </c>
      <c r="Y34" s="33" t="s">
        <v>9</v>
      </c>
      <c r="Z34" s="33" t="s">
        <v>440</v>
      </c>
      <c r="AA34" s="33" t="s">
        <v>738</v>
      </c>
    </row>
    <row r="35" spans="1:27" ht="6.65" customHeight="1" x14ac:dyDescent="0.4">
      <c r="A35" s="52">
        <v>35</v>
      </c>
      <c r="B35" s="47" t="s">
        <v>888</v>
      </c>
      <c r="C35" s="49" t="s">
        <v>94</v>
      </c>
      <c r="D35" s="47" t="s">
        <v>284</v>
      </c>
      <c r="E35" s="47" t="s">
        <v>181</v>
      </c>
      <c r="F35" s="57" t="s">
        <v>326</v>
      </c>
      <c r="G35" s="56" t="s">
        <v>9</v>
      </c>
      <c r="H35" s="56" t="s">
        <v>9</v>
      </c>
      <c r="I35" s="56" t="s">
        <v>9</v>
      </c>
      <c r="J35" s="56" t="s">
        <v>9</v>
      </c>
      <c r="K35" s="56" t="s">
        <v>9</v>
      </c>
      <c r="L35" s="46" t="str">
        <f t="shared" si="13"/>
        <v>Fornecedores</v>
      </c>
      <c r="M35" s="46" t="str">
        <f t="shared" si="14"/>
        <v>Segmentos dos Profissionais</v>
      </c>
      <c r="N35" s="46" t="str">
        <f t="shared" si="14"/>
        <v>Segmento de Geotécnica</v>
      </c>
      <c r="O35" s="46" t="str">
        <f t="shared" si="14"/>
        <v>Geo Consultor</v>
      </c>
      <c r="P35" s="46" t="s">
        <v>123</v>
      </c>
      <c r="Q35" s="46" t="s">
        <v>606</v>
      </c>
      <c r="R35" s="33" t="s">
        <v>9</v>
      </c>
      <c r="S35" s="33" t="str">
        <f t="shared" si="15"/>
        <v>Fornecedores</v>
      </c>
      <c r="T35" s="33" t="str">
        <f t="shared" si="15"/>
        <v>Segmentos dos Profissionais</v>
      </c>
      <c r="U35" s="33" t="str">
        <f t="shared" si="15"/>
        <v>Segmento de Geotécnica</v>
      </c>
      <c r="V35" s="33" t="s">
        <v>180</v>
      </c>
      <c r="W35" s="53" t="str">
        <f t="shared" si="3"/>
        <v>Key-FABR-35</v>
      </c>
      <c r="X35" s="33" t="s">
        <v>9</v>
      </c>
      <c r="Y35" s="33" t="s">
        <v>9</v>
      </c>
      <c r="Z35" s="33" t="s">
        <v>382</v>
      </c>
      <c r="AA35" s="33" t="s">
        <v>739</v>
      </c>
    </row>
    <row r="36" spans="1:27" ht="6.65" customHeight="1" x14ac:dyDescent="0.4">
      <c r="A36" s="52">
        <v>36</v>
      </c>
      <c r="B36" s="47" t="s">
        <v>888</v>
      </c>
      <c r="C36" s="49" t="s">
        <v>94</v>
      </c>
      <c r="D36" s="47" t="s">
        <v>284</v>
      </c>
      <c r="E36" s="47" t="s">
        <v>181</v>
      </c>
      <c r="F36" s="57" t="s">
        <v>482</v>
      </c>
      <c r="G36" s="56" t="s">
        <v>9</v>
      </c>
      <c r="H36" s="56" t="s">
        <v>9</v>
      </c>
      <c r="I36" s="56" t="s">
        <v>9</v>
      </c>
      <c r="J36" s="56" t="s">
        <v>9</v>
      </c>
      <c r="K36" s="56" t="s">
        <v>9</v>
      </c>
      <c r="L36" s="46" t="s">
        <v>94</v>
      </c>
      <c r="M36" s="46" t="s">
        <v>453</v>
      </c>
      <c r="N36" s="46" t="s">
        <v>456</v>
      </c>
      <c r="O36" s="46" t="s">
        <v>457</v>
      </c>
      <c r="P36" s="46" t="s">
        <v>495</v>
      </c>
      <c r="Q36" s="46" t="s">
        <v>520</v>
      </c>
      <c r="R36" s="33" t="s">
        <v>9</v>
      </c>
      <c r="S36" s="33" t="s">
        <v>94</v>
      </c>
      <c r="T36" s="33" t="s">
        <v>453</v>
      </c>
      <c r="U36" s="33" t="s">
        <v>456</v>
      </c>
      <c r="V36" s="33" t="s">
        <v>180</v>
      </c>
      <c r="W36" s="53" t="str">
        <f t="shared" si="3"/>
        <v>Key-FABR-36</v>
      </c>
      <c r="X36" s="33" t="s">
        <v>9</v>
      </c>
      <c r="Y36" s="33" t="s">
        <v>9</v>
      </c>
      <c r="Z36" s="33" t="s">
        <v>493</v>
      </c>
      <c r="AA36" s="33" t="s">
        <v>507</v>
      </c>
    </row>
    <row r="37" spans="1:27" ht="6.65" customHeight="1" x14ac:dyDescent="0.4">
      <c r="A37" s="52">
        <v>37</v>
      </c>
      <c r="B37" s="47" t="s">
        <v>888</v>
      </c>
      <c r="C37" s="49" t="s">
        <v>94</v>
      </c>
      <c r="D37" s="47" t="s">
        <v>284</v>
      </c>
      <c r="E37" s="47" t="s">
        <v>181</v>
      </c>
      <c r="F37" s="57" t="s">
        <v>327</v>
      </c>
      <c r="G37" s="56" t="s">
        <v>9</v>
      </c>
      <c r="H37" s="56" t="s">
        <v>9</v>
      </c>
      <c r="I37" s="56" t="s">
        <v>9</v>
      </c>
      <c r="J37" s="56" t="s">
        <v>9</v>
      </c>
      <c r="K37" s="56" t="s">
        <v>9</v>
      </c>
      <c r="L37" s="46" t="str">
        <f t="shared" ref="L37:L44" si="16">_xlfn.CONCAT(SUBSTITUTE(C37,"1.",""))</f>
        <v>Fornecedores</v>
      </c>
      <c r="M37" s="46" t="str">
        <f t="shared" ref="M37:O44" si="17">_xlfn.CONCAT(SUBSTITUTE(D37,"."," "))</f>
        <v>Segmentos dos Profissionais</v>
      </c>
      <c r="N37" s="46" t="str">
        <f t="shared" si="17"/>
        <v>Segmento de Geotécnica</v>
      </c>
      <c r="O37" s="46" t="str">
        <f t="shared" si="17"/>
        <v>Geo Empresa Consultora</v>
      </c>
      <c r="P37" s="46" t="s">
        <v>124</v>
      </c>
      <c r="Q37" s="46" t="s">
        <v>607</v>
      </c>
      <c r="R37" s="33" t="s">
        <v>9</v>
      </c>
      <c r="S37" s="33" t="str">
        <f t="shared" ref="S37:U44" si="18">SUBSTITUTE(C37, ".", " ")</f>
        <v>Fornecedores</v>
      </c>
      <c r="T37" s="33" t="str">
        <f t="shared" si="18"/>
        <v>Segmentos dos Profissionais</v>
      </c>
      <c r="U37" s="33" t="str">
        <f t="shared" si="18"/>
        <v>Segmento de Geotécnica</v>
      </c>
      <c r="V37" s="33" t="s">
        <v>180</v>
      </c>
      <c r="W37" s="53" t="str">
        <f t="shared" si="3"/>
        <v>Key-FABR-37</v>
      </c>
      <c r="X37" s="33" t="s">
        <v>9</v>
      </c>
      <c r="Y37" s="33" t="s">
        <v>9</v>
      </c>
      <c r="Z37" s="33" t="s">
        <v>382</v>
      </c>
      <c r="AA37" s="33" t="s">
        <v>740</v>
      </c>
    </row>
    <row r="38" spans="1:27" ht="6.65" customHeight="1" x14ac:dyDescent="0.4">
      <c r="A38" s="52">
        <v>38</v>
      </c>
      <c r="B38" s="47" t="s">
        <v>888</v>
      </c>
      <c r="C38" s="49" t="s">
        <v>94</v>
      </c>
      <c r="D38" s="47" t="s">
        <v>284</v>
      </c>
      <c r="E38" s="47" t="s">
        <v>181</v>
      </c>
      <c r="F38" s="57" t="s">
        <v>328</v>
      </c>
      <c r="G38" s="56" t="s">
        <v>9</v>
      </c>
      <c r="H38" s="56" t="s">
        <v>9</v>
      </c>
      <c r="I38" s="56" t="s">
        <v>9</v>
      </c>
      <c r="J38" s="56" t="s">
        <v>9</v>
      </c>
      <c r="K38" s="56" t="s">
        <v>9</v>
      </c>
      <c r="L38" s="46" t="str">
        <f t="shared" si="16"/>
        <v>Fornecedores</v>
      </c>
      <c r="M38" s="46" t="str">
        <f t="shared" si="17"/>
        <v>Segmentos dos Profissionais</v>
      </c>
      <c r="N38" s="46" t="str">
        <f t="shared" si="17"/>
        <v>Segmento de Geotécnica</v>
      </c>
      <c r="O38" s="46" t="str">
        <f t="shared" si="17"/>
        <v>Geo Fabricante</v>
      </c>
      <c r="P38" s="46" t="s">
        <v>125</v>
      </c>
      <c r="Q38" s="46" t="s">
        <v>608</v>
      </c>
      <c r="R38" s="33" t="s">
        <v>9</v>
      </c>
      <c r="S38" s="33" t="str">
        <f t="shared" si="18"/>
        <v>Fornecedores</v>
      </c>
      <c r="T38" s="33" t="str">
        <f t="shared" si="18"/>
        <v>Segmentos dos Profissionais</v>
      </c>
      <c r="U38" s="33" t="str">
        <f t="shared" si="18"/>
        <v>Segmento de Geotécnica</v>
      </c>
      <c r="V38" s="33" t="s">
        <v>180</v>
      </c>
      <c r="W38" s="53" t="str">
        <f t="shared" si="3"/>
        <v>Key-FABR-38</v>
      </c>
      <c r="X38" s="33" t="s">
        <v>9</v>
      </c>
      <c r="Y38" s="33" t="s">
        <v>9</v>
      </c>
      <c r="Z38" s="33" t="s">
        <v>373</v>
      </c>
      <c r="AA38" s="33" t="s">
        <v>741</v>
      </c>
    </row>
    <row r="39" spans="1:27" ht="6.65" customHeight="1" x14ac:dyDescent="0.4">
      <c r="A39" s="52">
        <v>39</v>
      </c>
      <c r="B39" s="47" t="s">
        <v>888</v>
      </c>
      <c r="C39" s="49" t="s">
        <v>94</v>
      </c>
      <c r="D39" s="47" t="s">
        <v>284</v>
      </c>
      <c r="E39" s="47" t="s">
        <v>181</v>
      </c>
      <c r="F39" s="57" t="s">
        <v>546</v>
      </c>
      <c r="G39" s="56" t="s">
        <v>9</v>
      </c>
      <c r="H39" s="56" t="s">
        <v>9</v>
      </c>
      <c r="I39" s="56" t="s">
        <v>9</v>
      </c>
      <c r="J39" s="56" t="s">
        <v>9</v>
      </c>
      <c r="K39" s="56" t="s">
        <v>9</v>
      </c>
      <c r="L39" s="46" t="str">
        <f t="shared" si="16"/>
        <v>Fornecedores</v>
      </c>
      <c r="M39" s="46" t="str">
        <f t="shared" si="17"/>
        <v>Segmentos dos Profissionais</v>
      </c>
      <c r="N39" s="46" t="str">
        <f t="shared" si="17"/>
        <v>Segmento de Geotécnica</v>
      </c>
      <c r="O39" s="46" t="str">
        <f t="shared" si="17"/>
        <v>Geo Fornecedor</v>
      </c>
      <c r="P39" s="46" t="s">
        <v>173</v>
      </c>
      <c r="Q39" s="46" t="s">
        <v>609</v>
      </c>
      <c r="R39" s="33" t="s">
        <v>9</v>
      </c>
      <c r="S39" s="33" t="str">
        <f t="shared" si="18"/>
        <v>Fornecedores</v>
      </c>
      <c r="T39" s="33" t="str">
        <f t="shared" si="18"/>
        <v>Segmentos dos Profissionais</v>
      </c>
      <c r="U39" s="33" t="str">
        <f t="shared" si="18"/>
        <v>Segmento de Geotécnica</v>
      </c>
      <c r="V39" s="33" t="s">
        <v>180</v>
      </c>
      <c r="W39" s="53" t="str">
        <f t="shared" si="3"/>
        <v>Key-FABR-39</v>
      </c>
      <c r="X39" s="33" t="s">
        <v>9</v>
      </c>
      <c r="Y39" s="33" t="s">
        <v>9</v>
      </c>
      <c r="Z39" s="33" t="s">
        <v>380</v>
      </c>
      <c r="AA39" s="33" t="s">
        <v>742</v>
      </c>
    </row>
    <row r="40" spans="1:27" ht="6.65" customHeight="1" x14ac:dyDescent="0.4">
      <c r="A40" s="52">
        <v>40</v>
      </c>
      <c r="B40" s="47" t="s">
        <v>888</v>
      </c>
      <c r="C40" s="49" t="s">
        <v>94</v>
      </c>
      <c r="D40" s="47" t="s">
        <v>284</v>
      </c>
      <c r="E40" s="47" t="s">
        <v>181</v>
      </c>
      <c r="F40" s="57" t="s">
        <v>329</v>
      </c>
      <c r="G40" s="56" t="s">
        <v>9</v>
      </c>
      <c r="H40" s="56" t="s">
        <v>9</v>
      </c>
      <c r="I40" s="56" t="s">
        <v>9</v>
      </c>
      <c r="J40" s="56" t="s">
        <v>9</v>
      </c>
      <c r="K40" s="56" t="s">
        <v>9</v>
      </c>
      <c r="L40" s="46" t="str">
        <f t="shared" si="16"/>
        <v>Fornecedores</v>
      </c>
      <c r="M40" s="46" t="str">
        <f t="shared" si="17"/>
        <v>Segmentos dos Profissionais</v>
      </c>
      <c r="N40" s="46" t="str">
        <f t="shared" si="17"/>
        <v>Segmento de Geotécnica</v>
      </c>
      <c r="O40" s="46" t="str">
        <f t="shared" si="17"/>
        <v>Geo Projetista</v>
      </c>
      <c r="P40" s="46" t="s">
        <v>221</v>
      </c>
      <c r="Q40" s="46" t="s">
        <v>610</v>
      </c>
      <c r="R40" s="33" t="s">
        <v>9</v>
      </c>
      <c r="S40" s="33" t="str">
        <f t="shared" si="18"/>
        <v>Fornecedores</v>
      </c>
      <c r="T40" s="33" t="str">
        <f t="shared" si="18"/>
        <v>Segmentos dos Profissionais</v>
      </c>
      <c r="U40" s="33" t="str">
        <f t="shared" si="18"/>
        <v>Segmento de Geotécnica</v>
      </c>
      <c r="V40" s="33" t="s">
        <v>180</v>
      </c>
      <c r="W40" s="53" t="str">
        <f t="shared" si="3"/>
        <v>Key-FABR-40</v>
      </c>
      <c r="X40" s="33" t="s">
        <v>9</v>
      </c>
      <c r="Y40" s="33" t="s">
        <v>9</v>
      </c>
      <c r="Z40" s="33" t="s">
        <v>375</v>
      </c>
      <c r="AA40" s="33" t="s">
        <v>743</v>
      </c>
    </row>
    <row r="41" spans="1:27" ht="6.65" customHeight="1" x14ac:dyDescent="0.4">
      <c r="A41" s="52">
        <v>41</v>
      </c>
      <c r="B41" s="47" t="s">
        <v>888</v>
      </c>
      <c r="C41" s="49" t="s">
        <v>94</v>
      </c>
      <c r="D41" s="47" t="s">
        <v>284</v>
      </c>
      <c r="E41" s="47" t="s">
        <v>181</v>
      </c>
      <c r="F41" s="57" t="s">
        <v>330</v>
      </c>
      <c r="G41" s="56" t="s">
        <v>9</v>
      </c>
      <c r="H41" s="56" t="s">
        <v>9</v>
      </c>
      <c r="I41" s="56" t="s">
        <v>9</v>
      </c>
      <c r="J41" s="56" t="s">
        <v>9</v>
      </c>
      <c r="K41" s="56" t="s">
        <v>9</v>
      </c>
      <c r="L41" s="46" t="str">
        <f t="shared" si="16"/>
        <v>Fornecedores</v>
      </c>
      <c r="M41" s="46" t="str">
        <f t="shared" si="17"/>
        <v>Segmentos dos Profissionais</v>
      </c>
      <c r="N41" s="46" t="str">
        <f t="shared" si="17"/>
        <v>Segmento de Geotécnica</v>
      </c>
      <c r="O41" s="46" t="str">
        <f t="shared" si="17"/>
        <v>Geo Serviço</v>
      </c>
      <c r="P41" s="46" t="s">
        <v>122</v>
      </c>
      <c r="Q41" s="46" t="s">
        <v>611</v>
      </c>
      <c r="R41" s="33" t="s">
        <v>9</v>
      </c>
      <c r="S41" s="33" t="str">
        <f t="shared" si="18"/>
        <v>Fornecedores</v>
      </c>
      <c r="T41" s="33" t="str">
        <f t="shared" si="18"/>
        <v>Segmentos dos Profissionais</v>
      </c>
      <c r="U41" s="33" t="str">
        <f t="shared" si="18"/>
        <v>Segmento de Geotécnica</v>
      </c>
      <c r="V41" s="33" t="s">
        <v>180</v>
      </c>
      <c r="W41" s="53" t="str">
        <f t="shared" si="3"/>
        <v>Key-FABR-41</v>
      </c>
      <c r="X41" s="33" t="s">
        <v>9</v>
      </c>
      <c r="Y41" s="33" t="s">
        <v>9</v>
      </c>
      <c r="Z41" s="33" t="s">
        <v>383</v>
      </c>
      <c r="AA41" s="33" t="s">
        <v>744</v>
      </c>
    </row>
    <row r="42" spans="1:27" ht="6.65" customHeight="1" x14ac:dyDescent="0.4">
      <c r="A42" s="52">
        <v>42</v>
      </c>
      <c r="B42" s="47" t="s">
        <v>888</v>
      </c>
      <c r="C42" s="49" t="s">
        <v>94</v>
      </c>
      <c r="D42" s="47" t="s">
        <v>284</v>
      </c>
      <c r="E42" s="47" t="s">
        <v>181</v>
      </c>
      <c r="F42" s="57" t="s">
        <v>559</v>
      </c>
      <c r="G42" s="56" t="s">
        <v>9</v>
      </c>
      <c r="H42" s="56" t="s">
        <v>9</v>
      </c>
      <c r="I42" s="56" t="s">
        <v>9</v>
      </c>
      <c r="J42" s="56" t="s">
        <v>9</v>
      </c>
      <c r="K42" s="56" t="s">
        <v>9</v>
      </c>
      <c r="L42" s="46" t="str">
        <f t="shared" si="16"/>
        <v>Fornecedores</v>
      </c>
      <c r="M42" s="46" t="str">
        <f t="shared" si="17"/>
        <v>Segmentos dos Profissionais</v>
      </c>
      <c r="N42" s="46" t="str">
        <f t="shared" si="17"/>
        <v>Segmento de Geotécnica</v>
      </c>
      <c r="O42" s="46" t="str">
        <f t="shared" si="17"/>
        <v>Geo Vendedor</v>
      </c>
      <c r="P42" s="46" t="s">
        <v>442</v>
      </c>
      <c r="Q42" s="46" t="s">
        <v>612</v>
      </c>
      <c r="R42" s="33" t="s">
        <v>9</v>
      </c>
      <c r="S42" s="33" t="str">
        <f t="shared" si="18"/>
        <v>Fornecedores</v>
      </c>
      <c r="T42" s="33" t="str">
        <f t="shared" si="18"/>
        <v>Segmentos dos Profissionais</v>
      </c>
      <c r="U42" s="33" t="str">
        <f t="shared" si="18"/>
        <v>Segmento de Geotécnica</v>
      </c>
      <c r="V42" s="33" t="s">
        <v>180</v>
      </c>
      <c r="W42" s="53" t="str">
        <f t="shared" si="3"/>
        <v>Key-FABR-42</v>
      </c>
      <c r="X42" s="33" t="s">
        <v>9</v>
      </c>
      <c r="Y42" s="33" t="s">
        <v>9</v>
      </c>
      <c r="Z42" s="33" t="s">
        <v>381</v>
      </c>
      <c r="AA42" s="33" t="s">
        <v>745</v>
      </c>
    </row>
    <row r="43" spans="1:27" ht="6.65" customHeight="1" x14ac:dyDescent="0.4">
      <c r="A43" s="52">
        <v>43</v>
      </c>
      <c r="B43" s="47" t="s">
        <v>888</v>
      </c>
      <c r="C43" s="49" t="s">
        <v>94</v>
      </c>
      <c r="D43" s="47" t="s">
        <v>284</v>
      </c>
      <c r="E43" s="47" t="s">
        <v>217</v>
      </c>
      <c r="F43" s="57" t="s">
        <v>417</v>
      </c>
      <c r="G43" s="56" t="s">
        <v>9</v>
      </c>
      <c r="H43" s="56" t="s">
        <v>9</v>
      </c>
      <c r="I43" s="56" t="s">
        <v>9</v>
      </c>
      <c r="J43" s="56" t="s">
        <v>9</v>
      </c>
      <c r="K43" s="56" t="s">
        <v>9</v>
      </c>
      <c r="L43" s="46" t="str">
        <f t="shared" si="16"/>
        <v>Fornecedores</v>
      </c>
      <c r="M43" s="46" t="str">
        <f t="shared" si="17"/>
        <v>Segmentos dos Profissionais</v>
      </c>
      <c r="N43" s="46" t="str">
        <f t="shared" si="17"/>
        <v>Segmento Geral</v>
      </c>
      <c r="O43" s="46" t="str">
        <f t="shared" si="17"/>
        <v>Ger Compra</v>
      </c>
      <c r="P43" s="46" t="s">
        <v>439</v>
      </c>
      <c r="Q43" s="46" t="s">
        <v>613</v>
      </c>
      <c r="R43" s="33" t="s">
        <v>9</v>
      </c>
      <c r="S43" s="33" t="str">
        <f t="shared" si="18"/>
        <v>Fornecedores</v>
      </c>
      <c r="T43" s="33" t="str">
        <f t="shared" si="18"/>
        <v>Segmentos dos Profissionais</v>
      </c>
      <c r="U43" s="33" t="str">
        <f t="shared" si="18"/>
        <v>Segmento Geral</v>
      </c>
      <c r="V43" s="33" t="s">
        <v>180</v>
      </c>
      <c r="W43" s="53" t="str">
        <f t="shared" si="3"/>
        <v>Key-FABR-43</v>
      </c>
      <c r="X43" s="33" t="s">
        <v>9</v>
      </c>
      <c r="Y43" s="33" t="s">
        <v>9</v>
      </c>
      <c r="Z43" s="33" t="s">
        <v>440</v>
      </c>
      <c r="AA43" s="33" t="s">
        <v>746</v>
      </c>
    </row>
    <row r="44" spans="1:27" ht="6.65" customHeight="1" x14ac:dyDescent="0.4">
      <c r="A44" s="52">
        <v>44</v>
      </c>
      <c r="B44" s="47" t="s">
        <v>888</v>
      </c>
      <c r="C44" s="49" t="s">
        <v>94</v>
      </c>
      <c r="D44" s="47" t="s">
        <v>284</v>
      </c>
      <c r="E44" s="47" t="s">
        <v>217</v>
      </c>
      <c r="F44" s="57" t="s">
        <v>345</v>
      </c>
      <c r="G44" s="56" t="s">
        <v>9</v>
      </c>
      <c r="H44" s="56" t="s">
        <v>9</v>
      </c>
      <c r="I44" s="56" t="s">
        <v>9</v>
      </c>
      <c r="J44" s="56" t="s">
        <v>9</v>
      </c>
      <c r="K44" s="56" t="s">
        <v>9</v>
      </c>
      <c r="L44" s="46" t="str">
        <f t="shared" si="16"/>
        <v>Fornecedores</v>
      </c>
      <c r="M44" s="46" t="str">
        <f t="shared" si="17"/>
        <v>Segmentos dos Profissionais</v>
      </c>
      <c r="N44" s="46" t="str">
        <f t="shared" si="17"/>
        <v>Segmento Geral</v>
      </c>
      <c r="O44" s="46" t="str">
        <f t="shared" si="17"/>
        <v>Ger Consultor</v>
      </c>
      <c r="P44" s="46" t="s">
        <v>182</v>
      </c>
      <c r="Q44" s="46" t="s">
        <v>614</v>
      </c>
      <c r="R44" s="33" t="s">
        <v>9</v>
      </c>
      <c r="S44" s="33" t="str">
        <f t="shared" si="18"/>
        <v>Fornecedores</v>
      </c>
      <c r="T44" s="33" t="str">
        <f t="shared" si="18"/>
        <v>Segmentos dos Profissionais</v>
      </c>
      <c r="U44" s="33" t="str">
        <f t="shared" si="18"/>
        <v>Segmento Geral</v>
      </c>
      <c r="V44" s="33" t="s">
        <v>180</v>
      </c>
      <c r="W44" s="53" t="str">
        <f t="shared" si="3"/>
        <v>Key-FABR-44</v>
      </c>
      <c r="X44" s="33" t="s">
        <v>9</v>
      </c>
      <c r="Y44" s="33" t="s">
        <v>9</v>
      </c>
      <c r="Z44" s="33" t="s">
        <v>382</v>
      </c>
      <c r="AA44" s="33" t="s">
        <v>747</v>
      </c>
    </row>
    <row r="45" spans="1:27" ht="6.65" customHeight="1" x14ac:dyDescent="0.4">
      <c r="A45" s="52">
        <v>45</v>
      </c>
      <c r="B45" s="47" t="s">
        <v>888</v>
      </c>
      <c r="C45" s="49" t="s">
        <v>94</v>
      </c>
      <c r="D45" s="47" t="s">
        <v>284</v>
      </c>
      <c r="E45" s="47" t="s">
        <v>217</v>
      </c>
      <c r="F45" s="57" t="s">
        <v>490</v>
      </c>
      <c r="G45" s="56" t="s">
        <v>9</v>
      </c>
      <c r="H45" s="56" t="s">
        <v>9</v>
      </c>
      <c r="I45" s="56" t="s">
        <v>9</v>
      </c>
      <c r="J45" s="56" t="s">
        <v>9</v>
      </c>
      <c r="K45" s="56" t="s">
        <v>9</v>
      </c>
      <c r="L45" s="46" t="s">
        <v>94</v>
      </c>
      <c r="M45" s="46" t="s">
        <v>453</v>
      </c>
      <c r="N45" s="46" t="s">
        <v>472</v>
      </c>
      <c r="O45" s="46" t="s">
        <v>473</v>
      </c>
      <c r="P45" s="46" t="s">
        <v>503</v>
      </c>
      <c r="Q45" s="46" t="s">
        <v>525</v>
      </c>
      <c r="R45" s="33" t="s">
        <v>9</v>
      </c>
      <c r="S45" s="33" t="s">
        <v>94</v>
      </c>
      <c r="T45" s="33" t="s">
        <v>453</v>
      </c>
      <c r="U45" s="33" t="s">
        <v>472</v>
      </c>
      <c r="V45" s="33" t="s">
        <v>180</v>
      </c>
      <c r="W45" s="53" t="str">
        <f t="shared" si="3"/>
        <v>Key-FABR-45</v>
      </c>
      <c r="X45" s="33" t="s">
        <v>9</v>
      </c>
      <c r="Y45" s="33" t="s">
        <v>9</v>
      </c>
      <c r="Z45" s="33" t="s">
        <v>493</v>
      </c>
      <c r="AA45" s="33" t="s">
        <v>515</v>
      </c>
    </row>
    <row r="46" spans="1:27" ht="6.65" customHeight="1" x14ac:dyDescent="0.4">
      <c r="A46" s="52">
        <v>46</v>
      </c>
      <c r="B46" s="47" t="s">
        <v>888</v>
      </c>
      <c r="C46" s="49" t="s">
        <v>94</v>
      </c>
      <c r="D46" s="47" t="s">
        <v>284</v>
      </c>
      <c r="E46" s="47" t="s">
        <v>217</v>
      </c>
      <c r="F46" s="57" t="s">
        <v>346</v>
      </c>
      <c r="G46" s="56" t="s">
        <v>9</v>
      </c>
      <c r="H46" s="56" t="s">
        <v>9</v>
      </c>
      <c r="I46" s="56" t="s">
        <v>9</v>
      </c>
      <c r="J46" s="56" t="s">
        <v>9</v>
      </c>
      <c r="K46" s="56" t="s">
        <v>9</v>
      </c>
      <c r="L46" s="46" t="str">
        <f t="shared" ref="L46:L53" si="19">_xlfn.CONCAT(SUBSTITUTE(C46,"1.",""))</f>
        <v>Fornecedores</v>
      </c>
      <c r="M46" s="46" t="str">
        <f t="shared" ref="M46:O53" si="20">_xlfn.CONCAT(SUBSTITUTE(D46,"."," "))</f>
        <v>Segmentos dos Profissionais</v>
      </c>
      <c r="N46" s="46" t="str">
        <f t="shared" si="20"/>
        <v>Segmento Geral</v>
      </c>
      <c r="O46" s="46" t="str">
        <f t="shared" si="20"/>
        <v>Ger Empresa Consultora</v>
      </c>
      <c r="P46" s="46" t="s">
        <v>183</v>
      </c>
      <c r="Q46" s="46" t="s">
        <v>615</v>
      </c>
      <c r="R46" s="33" t="s">
        <v>9</v>
      </c>
      <c r="S46" s="33" t="str">
        <f t="shared" ref="S46:U53" si="21">SUBSTITUTE(C46, ".", " ")</f>
        <v>Fornecedores</v>
      </c>
      <c r="T46" s="33" t="str">
        <f t="shared" si="21"/>
        <v>Segmentos dos Profissionais</v>
      </c>
      <c r="U46" s="33" t="str">
        <f t="shared" si="21"/>
        <v>Segmento Geral</v>
      </c>
      <c r="V46" s="33" t="s">
        <v>180</v>
      </c>
      <c r="W46" s="53" t="str">
        <f t="shared" si="3"/>
        <v>Key-FABR-46</v>
      </c>
      <c r="X46" s="33" t="s">
        <v>9</v>
      </c>
      <c r="Y46" s="33" t="s">
        <v>9</v>
      </c>
      <c r="Z46" s="33" t="s">
        <v>382</v>
      </c>
      <c r="AA46" s="33" t="s">
        <v>748</v>
      </c>
    </row>
    <row r="47" spans="1:27" ht="6.65" customHeight="1" x14ac:dyDescent="0.4">
      <c r="A47" s="52">
        <v>47</v>
      </c>
      <c r="B47" s="47" t="s">
        <v>888</v>
      </c>
      <c r="C47" s="49" t="s">
        <v>94</v>
      </c>
      <c r="D47" s="47" t="s">
        <v>284</v>
      </c>
      <c r="E47" s="47" t="s">
        <v>217</v>
      </c>
      <c r="F47" s="57" t="s">
        <v>347</v>
      </c>
      <c r="G47" s="56" t="s">
        <v>9</v>
      </c>
      <c r="H47" s="56" t="s">
        <v>9</v>
      </c>
      <c r="I47" s="56" t="s">
        <v>9</v>
      </c>
      <c r="J47" s="56" t="s">
        <v>9</v>
      </c>
      <c r="K47" s="56" t="s">
        <v>9</v>
      </c>
      <c r="L47" s="46" t="str">
        <f t="shared" si="19"/>
        <v>Fornecedores</v>
      </c>
      <c r="M47" s="46" t="str">
        <f t="shared" si="20"/>
        <v>Segmentos dos Profissionais</v>
      </c>
      <c r="N47" s="46" t="str">
        <f t="shared" si="20"/>
        <v>Segmento Geral</v>
      </c>
      <c r="O47" s="46" t="str">
        <f t="shared" si="20"/>
        <v>Ger Fabricante</v>
      </c>
      <c r="P47" s="46" t="s">
        <v>184</v>
      </c>
      <c r="Q47" s="46" t="s">
        <v>616</v>
      </c>
      <c r="R47" s="33" t="s">
        <v>9</v>
      </c>
      <c r="S47" s="33" t="str">
        <f t="shared" si="21"/>
        <v>Fornecedores</v>
      </c>
      <c r="T47" s="33" t="str">
        <f t="shared" si="21"/>
        <v>Segmentos dos Profissionais</v>
      </c>
      <c r="U47" s="33" t="str">
        <f t="shared" si="21"/>
        <v>Segmento Geral</v>
      </c>
      <c r="V47" s="33" t="s">
        <v>180</v>
      </c>
      <c r="W47" s="53" t="str">
        <f t="shared" si="3"/>
        <v>Key-FABR-47</v>
      </c>
      <c r="X47" s="33" t="s">
        <v>9</v>
      </c>
      <c r="Y47" s="33" t="s">
        <v>9</v>
      </c>
      <c r="Z47" s="33" t="s">
        <v>373</v>
      </c>
      <c r="AA47" s="33" t="s">
        <v>749</v>
      </c>
    </row>
    <row r="48" spans="1:27" ht="6.65" customHeight="1" x14ac:dyDescent="0.4">
      <c r="A48" s="52">
        <v>48</v>
      </c>
      <c r="B48" s="47" t="s">
        <v>888</v>
      </c>
      <c r="C48" s="49" t="s">
        <v>94</v>
      </c>
      <c r="D48" s="47" t="s">
        <v>284</v>
      </c>
      <c r="E48" s="47" t="s">
        <v>217</v>
      </c>
      <c r="F48" s="57" t="s">
        <v>547</v>
      </c>
      <c r="G48" s="56" t="s">
        <v>9</v>
      </c>
      <c r="H48" s="56" t="s">
        <v>9</v>
      </c>
      <c r="I48" s="56" t="s">
        <v>9</v>
      </c>
      <c r="J48" s="56" t="s">
        <v>9</v>
      </c>
      <c r="K48" s="56" t="s">
        <v>9</v>
      </c>
      <c r="L48" s="46" t="str">
        <f t="shared" si="19"/>
        <v>Fornecedores</v>
      </c>
      <c r="M48" s="46" t="str">
        <f t="shared" si="20"/>
        <v>Segmentos dos Profissionais</v>
      </c>
      <c r="N48" s="46" t="str">
        <f t="shared" si="20"/>
        <v>Segmento Geral</v>
      </c>
      <c r="O48" s="46" t="str">
        <f t="shared" si="20"/>
        <v>Ger Fornecedor</v>
      </c>
      <c r="P48" s="46" t="s">
        <v>185</v>
      </c>
      <c r="Q48" s="46" t="s">
        <v>617</v>
      </c>
      <c r="R48" s="33" t="s">
        <v>9</v>
      </c>
      <c r="S48" s="33" t="str">
        <f t="shared" si="21"/>
        <v>Fornecedores</v>
      </c>
      <c r="T48" s="33" t="str">
        <f t="shared" si="21"/>
        <v>Segmentos dos Profissionais</v>
      </c>
      <c r="U48" s="33" t="str">
        <f t="shared" si="21"/>
        <v>Segmento Geral</v>
      </c>
      <c r="V48" s="33" t="s">
        <v>180</v>
      </c>
      <c r="W48" s="53" t="str">
        <f t="shared" si="3"/>
        <v>Key-FABR-48</v>
      </c>
      <c r="X48" s="33" t="s">
        <v>9</v>
      </c>
      <c r="Y48" s="33" t="s">
        <v>9</v>
      </c>
      <c r="Z48" s="33" t="s">
        <v>380</v>
      </c>
      <c r="AA48" s="33" t="s">
        <v>750</v>
      </c>
    </row>
    <row r="49" spans="1:27" ht="6.65" customHeight="1" x14ac:dyDescent="0.4">
      <c r="A49" s="52">
        <v>49</v>
      </c>
      <c r="B49" s="47" t="s">
        <v>888</v>
      </c>
      <c r="C49" s="49" t="s">
        <v>94</v>
      </c>
      <c r="D49" s="47" t="s">
        <v>284</v>
      </c>
      <c r="E49" s="47" t="s">
        <v>217</v>
      </c>
      <c r="F49" s="57" t="s">
        <v>348</v>
      </c>
      <c r="G49" s="56" t="s">
        <v>9</v>
      </c>
      <c r="H49" s="56" t="s">
        <v>9</v>
      </c>
      <c r="I49" s="56" t="s">
        <v>9</v>
      </c>
      <c r="J49" s="56" t="s">
        <v>9</v>
      </c>
      <c r="K49" s="56" t="s">
        <v>9</v>
      </c>
      <c r="L49" s="46" t="str">
        <f t="shared" si="19"/>
        <v>Fornecedores</v>
      </c>
      <c r="M49" s="46" t="str">
        <f t="shared" si="20"/>
        <v>Segmentos dos Profissionais</v>
      </c>
      <c r="N49" s="46" t="str">
        <f t="shared" si="20"/>
        <v>Segmento Geral</v>
      </c>
      <c r="O49" s="46" t="str">
        <f t="shared" si="20"/>
        <v>Ger Projetista</v>
      </c>
      <c r="P49" s="46" t="s">
        <v>228</v>
      </c>
      <c r="Q49" s="46" t="s">
        <v>618</v>
      </c>
      <c r="R49" s="33" t="s">
        <v>9</v>
      </c>
      <c r="S49" s="33" t="str">
        <f t="shared" si="21"/>
        <v>Fornecedores</v>
      </c>
      <c r="T49" s="33" t="str">
        <f t="shared" si="21"/>
        <v>Segmentos dos Profissionais</v>
      </c>
      <c r="U49" s="33" t="str">
        <f t="shared" si="21"/>
        <v>Segmento Geral</v>
      </c>
      <c r="V49" s="33" t="s">
        <v>180</v>
      </c>
      <c r="W49" s="53" t="str">
        <f t="shared" si="3"/>
        <v>Key-FABR-49</v>
      </c>
      <c r="X49" s="33" t="s">
        <v>9</v>
      </c>
      <c r="Y49" s="33" t="s">
        <v>9</v>
      </c>
      <c r="Z49" s="33" t="s">
        <v>384</v>
      </c>
      <c r="AA49" s="33" t="s">
        <v>751</v>
      </c>
    </row>
    <row r="50" spans="1:27" ht="6.65" customHeight="1" x14ac:dyDescent="0.4">
      <c r="A50" s="52">
        <v>50</v>
      </c>
      <c r="B50" s="47" t="s">
        <v>888</v>
      </c>
      <c r="C50" s="49" t="s">
        <v>94</v>
      </c>
      <c r="D50" s="47" t="s">
        <v>284</v>
      </c>
      <c r="E50" s="47" t="s">
        <v>217</v>
      </c>
      <c r="F50" s="57" t="s">
        <v>349</v>
      </c>
      <c r="G50" s="56" t="s">
        <v>9</v>
      </c>
      <c r="H50" s="56" t="s">
        <v>9</v>
      </c>
      <c r="I50" s="56" t="s">
        <v>9</v>
      </c>
      <c r="J50" s="56" t="s">
        <v>9</v>
      </c>
      <c r="K50" s="56" t="s">
        <v>9</v>
      </c>
      <c r="L50" s="46" t="str">
        <f t="shared" si="19"/>
        <v>Fornecedores</v>
      </c>
      <c r="M50" s="46" t="str">
        <f t="shared" si="20"/>
        <v>Segmentos dos Profissionais</v>
      </c>
      <c r="N50" s="46" t="str">
        <f t="shared" si="20"/>
        <v>Segmento Geral</v>
      </c>
      <c r="O50" s="46" t="str">
        <f t="shared" si="20"/>
        <v>Ger Serviço</v>
      </c>
      <c r="P50" s="46" t="s">
        <v>186</v>
      </c>
      <c r="Q50" s="46" t="s">
        <v>619</v>
      </c>
      <c r="R50" s="33" t="s">
        <v>9</v>
      </c>
      <c r="S50" s="33" t="str">
        <f t="shared" si="21"/>
        <v>Fornecedores</v>
      </c>
      <c r="T50" s="33" t="str">
        <f t="shared" si="21"/>
        <v>Segmentos dos Profissionais</v>
      </c>
      <c r="U50" s="33" t="str">
        <f t="shared" si="21"/>
        <v>Segmento Geral</v>
      </c>
      <c r="V50" s="33" t="s">
        <v>180</v>
      </c>
      <c r="W50" s="53" t="str">
        <f t="shared" si="3"/>
        <v>Key-FABR-50</v>
      </c>
      <c r="X50" s="33" t="s">
        <v>9</v>
      </c>
      <c r="Y50" s="33" t="s">
        <v>9</v>
      </c>
      <c r="Z50" s="33" t="s">
        <v>383</v>
      </c>
      <c r="AA50" s="33" t="s">
        <v>752</v>
      </c>
    </row>
    <row r="51" spans="1:27" ht="6.65" customHeight="1" x14ac:dyDescent="0.4">
      <c r="A51" s="52">
        <v>51</v>
      </c>
      <c r="B51" s="47" t="s">
        <v>888</v>
      </c>
      <c r="C51" s="49" t="s">
        <v>94</v>
      </c>
      <c r="D51" s="47" t="s">
        <v>284</v>
      </c>
      <c r="E51" s="47" t="s">
        <v>217</v>
      </c>
      <c r="F51" s="57" t="s">
        <v>560</v>
      </c>
      <c r="G51" s="56" t="s">
        <v>9</v>
      </c>
      <c r="H51" s="56" t="s">
        <v>9</v>
      </c>
      <c r="I51" s="56" t="s">
        <v>9</v>
      </c>
      <c r="J51" s="56" t="s">
        <v>9</v>
      </c>
      <c r="K51" s="56" t="s">
        <v>9</v>
      </c>
      <c r="L51" s="46" t="str">
        <f t="shared" si="19"/>
        <v>Fornecedores</v>
      </c>
      <c r="M51" s="46" t="str">
        <f t="shared" si="20"/>
        <v>Segmentos dos Profissionais</v>
      </c>
      <c r="N51" s="46" t="str">
        <f t="shared" si="20"/>
        <v>Segmento Geral</v>
      </c>
      <c r="O51" s="46" t="str">
        <f t="shared" si="20"/>
        <v>Ger Vendedor</v>
      </c>
      <c r="P51" s="46" t="s">
        <v>450</v>
      </c>
      <c r="Q51" s="46" t="s">
        <v>620</v>
      </c>
      <c r="R51" s="33" t="s">
        <v>9</v>
      </c>
      <c r="S51" s="33" t="str">
        <f t="shared" si="21"/>
        <v>Fornecedores</v>
      </c>
      <c r="T51" s="33" t="str">
        <f t="shared" si="21"/>
        <v>Segmentos dos Profissionais</v>
      </c>
      <c r="U51" s="33" t="str">
        <f t="shared" si="21"/>
        <v>Segmento Geral</v>
      </c>
      <c r="V51" s="33" t="s">
        <v>180</v>
      </c>
      <c r="W51" s="53" t="str">
        <f t="shared" si="3"/>
        <v>Key-FABR-51</v>
      </c>
      <c r="X51" s="33" t="s">
        <v>9</v>
      </c>
      <c r="Y51" s="33" t="s">
        <v>9</v>
      </c>
      <c r="Z51" s="33" t="s">
        <v>381</v>
      </c>
      <c r="AA51" s="33" t="s">
        <v>753</v>
      </c>
    </row>
    <row r="52" spans="1:27" ht="6.65" customHeight="1" x14ac:dyDescent="0.4">
      <c r="A52" s="52">
        <v>52</v>
      </c>
      <c r="B52" s="47" t="s">
        <v>888</v>
      </c>
      <c r="C52" s="49" t="s">
        <v>94</v>
      </c>
      <c r="D52" s="47" t="s">
        <v>284</v>
      </c>
      <c r="E52" s="47" t="s">
        <v>100</v>
      </c>
      <c r="F52" s="57" t="s">
        <v>424</v>
      </c>
      <c r="G52" s="56" t="s">
        <v>9</v>
      </c>
      <c r="H52" s="56" t="s">
        <v>9</v>
      </c>
      <c r="I52" s="56" t="s">
        <v>9</v>
      </c>
      <c r="J52" s="56" t="s">
        <v>9</v>
      </c>
      <c r="K52" s="56" t="s">
        <v>9</v>
      </c>
      <c r="L52" s="46" t="str">
        <f t="shared" si="19"/>
        <v>Fornecedores</v>
      </c>
      <c r="M52" s="46" t="str">
        <f t="shared" si="20"/>
        <v>Segmentos dos Profissionais</v>
      </c>
      <c r="N52" s="46" t="str">
        <f t="shared" si="20"/>
        <v>Segmento Hospitalar</v>
      </c>
      <c r="O52" s="46" t="str">
        <f t="shared" si="20"/>
        <v>Hos Compra</v>
      </c>
      <c r="P52" s="46" t="s">
        <v>432</v>
      </c>
      <c r="Q52" s="46" t="s">
        <v>621</v>
      </c>
      <c r="R52" s="33" t="s">
        <v>9</v>
      </c>
      <c r="S52" s="33" t="str">
        <f t="shared" si="21"/>
        <v>Fornecedores</v>
      </c>
      <c r="T52" s="33" t="str">
        <f t="shared" si="21"/>
        <v>Segmentos dos Profissionais</v>
      </c>
      <c r="U52" s="33" t="str">
        <f t="shared" si="21"/>
        <v>Segmento Hospitalar</v>
      </c>
      <c r="V52" s="33" t="s">
        <v>180</v>
      </c>
      <c r="W52" s="53" t="str">
        <f t="shared" si="3"/>
        <v>Key-FABR-52</v>
      </c>
      <c r="X52" s="33" t="s">
        <v>9</v>
      </c>
      <c r="Y52" s="33" t="s">
        <v>9</v>
      </c>
      <c r="Z52" s="33" t="s">
        <v>440</v>
      </c>
      <c r="AA52" s="33" t="s">
        <v>754</v>
      </c>
    </row>
    <row r="53" spans="1:27" ht="6.65" customHeight="1" x14ac:dyDescent="0.4">
      <c r="A53" s="52">
        <v>53</v>
      </c>
      <c r="B53" s="47" t="s">
        <v>888</v>
      </c>
      <c r="C53" s="49" t="s">
        <v>94</v>
      </c>
      <c r="D53" s="47" t="s">
        <v>284</v>
      </c>
      <c r="E53" s="47" t="s">
        <v>100</v>
      </c>
      <c r="F53" s="57" t="s">
        <v>331</v>
      </c>
      <c r="G53" s="56" t="s">
        <v>9</v>
      </c>
      <c r="H53" s="56" t="s">
        <v>9</v>
      </c>
      <c r="I53" s="56" t="s">
        <v>9</v>
      </c>
      <c r="J53" s="56" t="s">
        <v>9</v>
      </c>
      <c r="K53" s="56" t="s">
        <v>9</v>
      </c>
      <c r="L53" s="46" t="str">
        <f t="shared" si="19"/>
        <v>Fornecedores</v>
      </c>
      <c r="M53" s="46" t="str">
        <f t="shared" si="20"/>
        <v>Segmentos dos Profissionais</v>
      </c>
      <c r="N53" s="46" t="str">
        <f t="shared" si="20"/>
        <v>Segmento Hospitalar</v>
      </c>
      <c r="O53" s="46" t="str">
        <f t="shared" si="20"/>
        <v>Hos Consultor</v>
      </c>
      <c r="P53" s="46" t="s">
        <v>127</v>
      </c>
      <c r="Q53" s="46" t="s">
        <v>622</v>
      </c>
      <c r="R53" s="33" t="s">
        <v>9</v>
      </c>
      <c r="S53" s="33" t="str">
        <f t="shared" si="21"/>
        <v>Fornecedores</v>
      </c>
      <c r="T53" s="33" t="str">
        <f t="shared" si="21"/>
        <v>Segmentos dos Profissionais</v>
      </c>
      <c r="U53" s="33" t="str">
        <f t="shared" si="21"/>
        <v>Segmento Hospitalar</v>
      </c>
      <c r="V53" s="33" t="s">
        <v>180</v>
      </c>
      <c r="W53" s="53" t="str">
        <f t="shared" si="3"/>
        <v>Key-FABR-53</v>
      </c>
      <c r="X53" s="33" t="s">
        <v>9</v>
      </c>
      <c r="Y53" s="33" t="s">
        <v>9</v>
      </c>
      <c r="Z53" s="33" t="s">
        <v>377</v>
      </c>
      <c r="AA53" s="33" t="s">
        <v>755</v>
      </c>
    </row>
    <row r="54" spans="1:27" ht="6.65" customHeight="1" x14ac:dyDescent="0.4">
      <c r="A54" s="52">
        <v>54</v>
      </c>
      <c r="B54" s="47" t="s">
        <v>888</v>
      </c>
      <c r="C54" s="49" t="s">
        <v>94</v>
      </c>
      <c r="D54" s="47" t="s">
        <v>284</v>
      </c>
      <c r="E54" s="47" t="s">
        <v>100</v>
      </c>
      <c r="F54" s="57" t="s">
        <v>483</v>
      </c>
      <c r="G54" s="56" t="s">
        <v>9</v>
      </c>
      <c r="H54" s="56" t="s">
        <v>9</v>
      </c>
      <c r="I54" s="56" t="s">
        <v>9</v>
      </c>
      <c r="J54" s="56" t="s">
        <v>9</v>
      </c>
      <c r="K54" s="56" t="s">
        <v>9</v>
      </c>
      <c r="L54" s="46" t="s">
        <v>94</v>
      </c>
      <c r="M54" s="46" t="s">
        <v>453</v>
      </c>
      <c r="N54" s="46" t="s">
        <v>458</v>
      </c>
      <c r="O54" s="46" t="s">
        <v>459</v>
      </c>
      <c r="P54" s="46" t="s">
        <v>496</v>
      </c>
      <c r="Q54" s="46" t="s">
        <v>521</v>
      </c>
      <c r="R54" s="33" t="s">
        <v>9</v>
      </c>
      <c r="S54" s="33" t="s">
        <v>94</v>
      </c>
      <c r="T54" s="33" t="s">
        <v>453</v>
      </c>
      <c r="U54" s="33" t="s">
        <v>458</v>
      </c>
      <c r="V54" s="33" t="s">
        <v>180</v>
      </c>
      <c r="W54" s="53" t="str">
        <f t="shared" si="3"/>
        <v>Key-FABR-54</v>
      </c>
      <c r="X54" s="33" t="s">
        <v>9</v>
      </c>
      <c r="Y54" s="33" t="s">
        <v>9</v>
      </c>
      <c r="Z54" s="33" t="s">
        <v>493</v>
      </c>
      <c r="AA54" s="33" t="s">
        <v>508</v>
      </c>
    </row>
    <row r="55" spans="1:27" ht="6.65" customHeight="1" x14ac:dyDescent="0.4">
      <c r="A55" s="52">
        <v>55</v>
      </c>
      <c r="B55" s="47" t="s">
        <v>888</v>
      </c>
      <c r="C55" s="49" t="s">
        <v>94</v>
      </c>
      <c r="D55" s="47" t="s">
        <v>284</v>
      </c>
      <c r="E55" s="47" t="s">
        <v>100</v>
      </c>
      <c r="F55" s="57" t="s">
        <v>332</v>
      </c>
      <c r="G55" s="56" t="s">
        <v>9</v>
      </c>
      <c r="H55" s="56" t="s">
        <v>9</v>
      </c>
      <c r="I55" s="56" t="s">
        <v>9</v>
      </c>
      <c r="J55" s="56" t="s">
        <v>9</v>
      </c>
      <c r="K55" s="56" t="s">
        <v>9</v>
      </c>
      <c r="L55" s="46" t="str">
        <f t="shared" ref="L55:L62" si="22">_xlfn.CONCAT(SUBSTITUTE(C55,"1.",""))</f>
        <v>Fornecedores</v>
      </c>
      <c r="M55" s="46" t="str">
        <f t="shared" ref="M55:O62" si="23">_xlfn.CONCAT(SUBSTITUTE(D55,"."," "))</f>
        <v>Segmentos dos Profissionais</v>
      </c>
      <c r="N55" s="46" t="str">
        <f t="shared" si="23"/>
        <v>Segmento Hospitalar</v>
      </c>
      <c r="O55" s="46" t="str">
        <f t="shared" si="23"/>
        <v>Hos Empresa Consultora</v>
      </c>
      <c r="P55" s="46" t="s">
        <v>128</v>
      </c>
      <c r="Q55" s="46" t="s">
        <v>623</v>
      </c>
      <c r="R55" s="33" t="s">
        <v>9</v>
      </c>
      <c r="S55" s="33" t="str">
        <f t="shared" ref="S55:U62" si="24">SUBSTITUTE(C55, ".", " ")</f>
        <v>Fornecedores</v>
      </c>
      <c r="T55" s="33" t="str">
        <f t="shared" si="24"/>
        <v>Segmentos dos Profissionais</v>
      </c>
      <c r="U55" s="33" t="str">
        <f t="shared" si="24"/>
        <v>Segmento Hospitalar</v>
      </c>
      <c r="V55" s="33" t="s">
        <v>180</v>
      </c>
      <c r="W55" s="53" t="str">
        <f t="shared" si="3"/>
        <v>Key-FABR-55</v>
      </c>
      <c r="X55" s="33" t="s">
        <v>9</v>
      </c>
      <c r="Y55" s="33" t="s">
        <v>9</v>
      </c>
      <c r="Z55" s="33" t="s">
        <v>377</v>
      </c>
      <c r="AA55" s="33" t="s">
        <v>756</v>
      </c>
    </row>
    <row r="56" spans="1:27" ht="6.65" customHeight="1" x14ac:dyDescent="0.4">
      <c r="A56" s="52">
        <v>56</v>
      </c>
      <c r="B56" s="47" t="s">
        <v>888</v>
      </c>
      <c r="C56" s="49" t="s">
        <v>94</v>
      </c>
      <c r="D56" s="47" t="s">
        <v>284</v>
      </c>
      <c r="E56" s="47" t="s">
        <v>100</v>
      </c>
      <c r="F56" s="57" t="s">
        <v>333</v>
      </c>
      <c r="G56" s="56" t="s">
        <v>9</v>
      </c>
      <c r="H56" s="56" t="s">
        <v>9</v>
      </c>
      <c r="I56" s="56" t="s">
        <v>9</v>
      </c>
      <c r="J56" s="56" t="s">
        <v>9</v>
      </c>
      <c r="K56" s="56" t="s">
        <v>9</v>
      </c>
      <c r="L56" s="46" t="str">
        <f t="shared" si="22"/>
        <v>Fornecedores</v>
      </c>
      <c r="M56" s="46" t="str">
        <f t="shared" si="23"/>
        <v>Segmentos dos Profissionais</v>
      </c>
      <c r="N56" s="46" t="str">
        <f t="shared" si="23"/>
        <v>Segmento Hospitalar</v>
      </c>
      <c r="O56" s="46" t="str">
        <f t="shared" si="23"/>
        <v>Hos Fabricante</v>
      </c>
      <c r="P56" s="46" t="s">
        <v>129</v>
      </c>
      <c r="Q56" s="46" t="s">
        <v>624</v>
      </c>
      <c r="R56" s="33" t="s">
        <v>9</v>
      </c>
      <c r="S56" s="33" t="str">
        <f t="shared" si="24"/>
        <v>Fornecedores</v>
      </c>
      <c r="T56" s="33" t="str">
        <f t="shared" si="24"/>
        <v>Segmentos dos Profissionais</v>
      </c>
      <c r="U56" s="33" t="str">
        <f t="shared" si="24"/>
        <v>Segmento Hospitalar</v>
      </c>
      <c r="V56" s="33" t="s">
        <v>180</v>
      </c>
      <c r="W56" s="53" t="str">
        <f t="shared" si="3"/>
        <v>Key-FABR-56</v>
      </c>
      <c r="X56" s="33" t="s">
        <v>9</v>
      </c>
      <c r="Y56" s="33" t="s">
        <v>9</v>
      </c>
      <c r="Z56" s="33" t="s">
        <v>373</v>
      </c>
      <c r="AA56" s="33" t="s">
        <v>757</v>
      </c>
    </row>
    <row r="57" spans="1:27" ht="6.65" customHeight="1" x14ac:dyDescent="0.4">
      <c r="A57" s="52">
        <v>57</v>
      </c>
      <c r="B57" s="47" t="s">
        <v>888</v>
      </c>
      <c r="C57" s="49" t="s">
        <v>94</v>
      </c>
      <c r="D57" s="47" t="s">
        <v>284</v>
      </c>
      <c r="E57" s="47" t="s">
        <v>100</v>
      </c>
      <c r="F57" s="57" t="s">
        <v>548</v>
      </c>
      <c r="G57" s="56" t="s">
        <v>9</v>
      </c>
      <c r="H57" s="56" t="s">
        <v>9</v>
      </c>
      <c r="I57" s="56" t="s">
        <v>9</v>
      </c>
      <c r="J57" s="56" t="s">
        <v>9</v>
      </c>
      <c r="K57" s="56" t="s">
        <v>9</v>
      </c>
      <c r="L57" s="46" t="str">
        <f t="shared" si="22"/>
        <v>Fornecedores</v>
      </c>
      <c r="M57" s="46" t="str">
        <f t="shared" si="23"/>
        <v>Segmentos dos Profissionais</v>
      </c>
      <c r="N57" s="46" t="str">
        <f t="shared" si="23"/>
        <v>Segmento Hospitalar</v>
      </c>
      <c r="O57" s="46" t="str">
        <f t="shared" si="23"/>
        <v>Hos Fornecedor</v>
      </c>
      <c r="P57" s="46" t="s">
        <v>176</v>
      </c>
      <c r="Q57" s="46" t="s">
        <v>625</v>
      </c>
      <c r="R57" s="33" t="s">
        <v>9</v>
      </c>
      <c r="S57" s="33" t="str">
        <f t="shared" si="24"/>
        <v>Fornecedores</v>
      </c>
      <c r="T57" s="33" t="str">
        <f t="shared" si="24"/>
        <v>Segmentos dos Profissionais</v>
      </c>
      <c r="U57" s="33" t="str">
        <f t="shared" si="24"/>
        <v>Segmento Hospitalar</v>
      </c>
      <c r="V57" s="33" t="s">
        <v>180</v>
      </c>
      <c r="W57" s="53" t="str">
        <f t="shared" si="3"/>
        <v>Key-FABR-57</v>
      </c>
      <c r="X57" s="33" t="s">
        <v>9</v>
      </c>
      <c r="Y57" s="33" t="s">
        <v>9</v>
      </c>
      <c r="Z57" s="33" t="s">
        <v>380</v>
      </c>
      <c r="AA57" s="33" t="s">
        <v>758</v>
      </c>
    </row>
    <row r="58" spans="1:27" ht="6.65" customHeight="1" x14ac:dyDescent="0.4">
      <c r="A58" s="52">
        <v>58</v>
      </c>
      <c r="B58" s="47" t="s">
        <v>888</v>
      </c>
      <c r="C58" s="49" t="s">
        <v>94</v>
      </c>
      <c r="D58" s="47" t="s">
        <v>284</v>
      </c>
      <c r="E58" s="47" t="s">
        <v>100</v>
      </c>
      <c r="F58" s="57" t="s">
        <v>334</v>
      </c>
      <c r="G58" s="56" t="s">
        <v>9</v>
      </c>
      <c r="H58" s="56" t="s">
        <v>9</v>
      </c>
      <c r="I58" s="56" t="s">
        <v>9</v>
      </c>
      <c r="J58" s="56" t="s">
        <v>9</v>
      </c>
      <c r="K58" s="56" t="s">
        <v>9</v>
      </c>
      <c r="L58" s="46" t="str">
        <f t="shared" si="22"/>
        <v>Fornecedores</v>
      </c>
      <c r="M58" s="46" t="str">
        <f t="shared" si="23"/>
        <v>Segmentos dos Profissionais</v>
      </c>
      <c r="N58" s="46" t="str">
        <f t="shared" si="23"/>
        <v>Segmento Hospitalar</v>
      </c>
      <c r="O58" s="46" t="str">
        <f t="shared" si="23"/>
        <v>Hos Projetista</v>
      </c>
      <c r="P58" s="46" t="s">
        <v>222</v>
      </c>
      <c r="Q58" s="46" t="s">
        <v>626</v>
      </c>
      <c r="R58" s="33" t="s">
        <v>9</v>
      </c>
      <c r="S58" s="33" t="str">
        <f t="shared" si="24"/>
        <v>Fornecedores</v>
      </c>
      <c r="T58" s="33" t="str">
        <f t="shared" si="24"/>
        <v>Segmentos dos Profissionais</v>
      </c>
      <c r="U58" s="33" t="str">
        <f t="shared" si="24"/>
        <v>Segmento Hospitalar</v>
      </c>
      <c r="V58" s="33" t="s">
        <v>180</v>
      </c>
      <c r="W58" s="53" t="str">
        <f t="shared" si="3"/>
        <v>Key-FABR-58</v>
      </c>
      <c r="X58" s="33" t="s">
        <v>9</v>
      </c>
      <c r="Y58" s="33" t="s">
        <v>9</v>
      </c>
      <c r="Z58" s="33" t="s">
        <v>378</v>
      </c>
      <c r="AA58" s="33" t="s">
        <v>759</v>
      </c>
    </row>
    <row r="59" spans="1:27" ht="6.65" customHeight="1" x14ac:dyDescent="0.4">
      <c r="A59" s="52">
        <v>59</v>
      </c>
      <c r="B59" s="47" t="s">
        <v>888</v>
      </c>
      <c r="C59" s="49" t="s">
        <v>94</v>
      </c>
      <c r="D59" s="47" t="s">
        <v>284</v>
      </c>
      <c r="E59" s="47" t="s">
        <v>100</v>
      </c>
      <c r="F59" s="57" t="s">
        <v>335</v>
      </c>
      <c r="G59" s="56" t="s">
        <v>9</v>
      </c>
      <c r="H59" s="56" t="s">
        <v>9</v>
      </c>
      <c r="I59" s="56" t="s">
        <v>9</v>
      </c>
      <c r="J59" s="56" t="s">
        <v>9</v>
      </c>
      <c r="K59" s="56" t="s">
        <v>9</v>
      </c>
      <c r="L59" s="46" t="str">
        <f t="shared" si="22"/>
        <v>Fornecedores</v>
      </c>
      <c r="M59" s="46" t="str">
        <f t="shared" si="23"/>
        <v>Segmentos dos Profissionais</v>
      </c>
      <c r="N59" s="46" t="str">
        <f t="shared" si="23"/>
        <v>Segmento Hospitalar</v>
      </c>
      <c r="O59" s="46" t="str">
        <f t="shared" si="23"/>
        <v>Hos Serviço</v>
      </c>
      <c r="P59" s="46" t="s">
        <v>126</v>
      </c>
      <c r="Q59" s="46" t="s">
        <v>627</v>
      </c>
      <c r="R59" s="33" t="s">
        <v>9</v>
      </c>
      <c r="S59" s="33" t="str">
        <f t="shared" si="24"/>
        <v>Fornecedores</v>
      </c>
      <c r="T59" s="33" t="str">
        <f t="shared" si="24"/>
        <v>Segmentos dos Profissionais</v>
      </c>
      <c r="U59" s="33" t="str">
        <f t="shared" si="24"/>
        <v>Segmento Hospitalar</v>
      </c>
      <c r="V59" s="33" t="s">
        <v>180</v>
      </c>
      <c r="W59" s="53" t="str">
        <f t="shared" si="3"/>
        <v>Key-FABR-59</v>
      </c>
      <c r="X59" s="33" t="s">
        <v>9</v>
      </c>
      <c r="Y59" s="33" t="s">
        <v>9</v>
      </c>
      <c r="Z59" s="33" t="s">
        <v>379</v>
      </c>
      <c r="AA59" s="33" t="s">
        <v>760</v>
      </c>
    </row>
    <row r="60" spans="1:27" ht="6.65" customHeight="1" x14ac:dyDescent="0.4">
      <c r="A60" s="52">
        <v>60</v>
      </c>
      <c r="B60" s="47" t="s">
        <v>888</v>
      </c>
      <c r="C60" s="49" t="s">
        <v>94</v>
      </c>
      <c r="D60" s="47" t="s">
        <v>284</v>
      </c>
      <c r="E60" s="47" t="s">
        <v>100</v>
      </c>
      <c r="F60" s="57" t="s">
        <v>561</v>
      </c>
      <c r="G60" s="56" t="s">
        <v>9</v>
      </c>
      <c r="H60" s="56" t="s">
        <v>9</v>
      </c>
      <c r="I60" s="56" t="s">
        <v>9</v>
      </c>
      <c r="J60" s="56" t="s">
        <v>9</v>
      </c>
      <c r="K60" s="56" t="s">
        <v>9</v>
      </c>
      <c r="L60" s="46" t="str">
        <f t="shared" si="22"/>
        <v>Fornecedores</v>
      </c>
      <c r="M60" s="46" t="str">
        <f t="shared" si="23"/>
        <v>Segmentos dos Profissionais</v>
      </c>
      <c r="N60" s="46" t="str">
        <f t="shared" si="23"/>
        <v>Segmento Hospitalar</v>
      </c>
      <c r="O60" s="46" t="str">
        <f t="shared" si="23"/>
        <v>Hos Vendedor</v>
      </c>
      <c r="P60" s="46" t="s">
        <v>443</v>
      </c>
      <c r="Q60" s="46" t="s">
        <v>628</v>
      </c>
      <c r="R60" s="33" t="s">
        <v>9</v>
      </c>
      <c r="S60" s="33" t="str">
        <f t="shared" si="24"/>
        <v>Fornecedores</v>
      </c>
      <c r="T60" s="33" t="str">
        <f t="shared" si="24"/>
        <v>Segmentos dos Profissionais</v>
      </c>
      <c r="U60" s="33" t="str">
        <f t="shared" si="24"/>
        <v>Segmento Hospitalar</v>
      </c>
      <c r="V60" s="33" t="s">
        <v>180</v>
      </c>
      <c r="W60" s="53" t="str">
        <f t="shared" si="3"/>
        <v>Key-FABR-60</v>
      </c>
      <c r="X60" s="33" t="s">
        <v>9</v>
      </c>
      <c r="Y60" s="33" t="s">
        <v>9</v>
      </c>
      <c r="Z60" s="33" t="s">
        <v>381</v>
      </c>
      <c r="AA60" s="33" t="s">
        <v>761</v>
      </c>
    </row>
    <row r="61" spans="1:27" ht="6.65" customHeight="1" x14ac:dyDescent="0.4">
      <c r="A61" s="52">
        <v>61</v>
      </c>
      <c r="B61" s="47" t="s">
        <v>888</v>
      </c>
      <c r="C61" s="49" t="s">
        <v>94</v>
      </c>
      <c r="D61" s="47" t="s">
        <v>284</v>
      </c>
      <c r="E61" s="47" t="s">
        <v>291</v>
      </c>
      <c r="F61" s="57" t="s">
        <v>416</v>
      </c>
      <c r="G61" s="56" t="s">
        <v>9</v>
      </c>
      <c r="H61" s="56" t="s">
        <v>9</v>
      </c>
      <c r="I61" s="56" t="s">
        <v>9</v>
      </c>
      <c r="J61" s="56" t="s">
        <v>9</v>
      </c>
      <c r="K61" s="56" t="s">
        <v>9</v>
      </c>
      <c r="L61" s="46" t="str">
        <f t="shared" si="22"/>
        <v>Fornecedores</v>
      </c>
      <c r="M61" s="46" t="str">
        <f t="shared" si="23"/>
        <v>Segmentos dos Profissionais</v>
      </c>
      <c r="N61" s="46" t="str">
        <f t="shared" si="23"/>
        <v>Segmento de Iluminação</v>
      </c>
      <c r="O61" s="46" t="str">
        <f t="shared" si="23"/>
        <v>Ilu Compra</v>
      </c>
      <c r="P61" s="46" t="s">
        <v>427</v>
      </c>
      <c r="Q61" s="46" t="s">
        <v>629</v>
      </c>
      <c r="R61" s="33" t="s">
        <v>9</v>
      </c>
      <c r="S61" s="33" t="str">
        <f t="shared" si="24"/>
        <v>Fornecedores</v>
      </c>
      <c r="T61" s="33" t="str">
        <f t="shared" si="24"/>
        <v>Segmentos dos Profissionais</v>
      </c>
      <c r="U61" s="33" t="str">
        <f t="shared" si="24"/>
        <v>Segmento de Iluminação</v>
      </c>
      <c r="V61" s="33" t="s">
        <v>180</v>
      </c>
      <c r="W61" s="53" t="str">
        <f t="shared" si="3"/>
        <v>Key-FABR-61</v>
      </c>
      <c r="X61" s="33" t="s">
        <v>9</v>
      </c>
      <c r="Y61" s="33" t="s">
        <v>9</v>
      </c>
      <c r="Z61" s="33" t="s">
        <v>440</v>
      </c>
      <c r="AA61" s="33" t="s">
        <v>762</v>
      </c>
    </row>
    <row r="62" spans="1:27" ht="6.65" customHeight="1" x14ac:dyDescent="0.4">
      <c r="A62" s="52">
        <v>62</v>
      </c>
      <c r="B62" s="47" t="s">
        <v>888</v>
      </c>
      <c r="C62" s="49" t="s">
        <v>94</v>
      </c>
      <c r="D62" s="47" t="s">
        <v>284</v>
      </c>
      <c r="E62" s="47" t="s">
        <v>291</v>
      </c>
      <c r="F62" s="57" t="s">
        <v>350</v>
      </c>
      <c r="G62" s="56" t="s">
        <v>9</v>
      </c>
      <c r="H62" s="56" t="s">
        <v>9</v>
      </c>
      <c r="I62" s="56" t="s">
        <v>9</v>
      </c>
      <c r="J62" s="56" t="s">
        <v>9</v>
      </c>
      <c r="K62" s="56" t="s">
        <v>9</v>
      </c>
      <c r="L62" s="46" t="str">
        <f t="shared" si="22"/>
        <v>Fornecedores</v>
      </c>
      <c r="M62" s="46" t="str">
        <f t="shared" si="23"/>
        <v>Segmentos dos Profissionais</v>
      </c>
      <c r="N62" s="46" t="str">
        <f t="shared" si="23"/>
        <v>Segmento de Iluminação</v>
      </c>
      <c r="O62" s="46" t="str">
        <f t="shared" si="23"/>
        <v>Ilu Consultor</v>
      </c>
      <c r="P62" s="46" t="s">
        <v>285</v>
      </c>
      <c r="Q62" s="46" t="s">
        <v>630</v>
      </c>
      <c r="R62" s="33" t="s">
        <v>9</v>
      </c>
      <c r="S62" s="33" t="str">
        <f t="shared" si="24"/>
        <v>Fornecedores</v>
      </c>
      <c r="T62" s="33" t="str">
        <f t="shared" si="24"/>
        <v>Segmentos dos Profissionais</v>
      </c>
      <c r="U62" s="33" t="str">
        <f t="shared" si="24"/>
        <v>Segmento de Iluminação</v>
      </c>
      <c r="V62" s="33" t="s">
        <v>180</v>
      </c>
      <c r="W62" s="53" t="str">
        <f t="shared" si="3"/>
        <v>Key-FABR-62</v>
      </c>
      <c r="X62" s="33" t="s">
        <v>9</v>
      </c>
      <c r="Y62" s="33" t="s">
        <v>9</v>
      </c>
      <c r="Z62" s="33" t="s">
        <v>382</v>
      </c>
      <c r="AA62" s="33" t="s">
        <v>763</v>
      </c>
    </row>
    <row r="63" spans="1:27" ht="6.65" customHeight="1" x14ac:dyDescent="0.4">
      <c r="A63" s="52">
        <v>63</v>
      </c>
      <c r="B63" s="47" t="s">
        <v>888</v>
      </c>
      <c r="C63" s="49" t="s">
        <v>94</v>
      </c>
      <c r="D63" s="47" t="s">
        <v>284</v>
      </c>
      <c r="E63" s="47" t="s">
        <v>291</v>
      </c>
      <c r="F63" s="57" t="s">
        <v>491</v>
      </c>
      <c r="G63" s="56" t="s">
        <v>9</v>
      </c>
      <c r="H63" s="56" t="s">
        <v>9</v>
      </c>
      <c r="I63" s="56" t="s">
        <v>9</v>
      </c>
      <c r="J63" s="56" t="s">
        <v>9</v>
      </c>
      <c r="K63" s="56" t="s">
        <v>9</v>
      </c>
      <c r="L63" s="46" t="s">
        <v>94</v>
      </c>
      <c r="M63" s="46" t="s">
        <v>453</v>
      </c>
      <c r="N63" s="46" t="s">
        <v>474</v>
      </c>
      <c r="O63" s="46" t="s">
        <v>475</v>
      </c>
      <c r="P63" s="46" t="s">
        <v>504</v>
      </c>
      <c r="Q63" s="46" t="s">
        <v>526</v>
      </c>
      <c r="R63" s="33" t="s">
        <v>9</v>
      </c>
      <c r="S63" s="33" t="s">
        <v>94</v>
      </c>
      <c r="T63" s="33" t="s">
        <v>453</v>
      </c>
      <c r="U63" s="33" t="s">
        <v>474</v>
      </c>
      <c r="V63" s="33" t="s">
        <v>180</v>
      </c>
      <c r="W63" s="53" t="str">
        <f t="shared" si="3"/>
        <v>Key-FABR-63</v>
      </c>
      <c r="X63" s="33" t="s">
        <v>9</v>
      </c>
      <c r="Y63" s="33" t="s">
        <v>9</v>
      </c>
      <c r="Z63" s="33" t="s">
        <v>493</v>
      </c>
      <c r="AA63" s="33" t="s">
        <v>516</v>
      </c>
    </row>
    <row r="64" spans="1:27" ht="6.65" customHeight="1" x14ac:dyDescent="0.4">
      <c r="A64" s="52">
        <v>64</v>
      </c>
      <c r="B64" s="47" t="s">
        <v>888</v>
      </c>
      <c r="C64" s="49" t="s">
        <v>94</v>
      </c>
      <c r="D64" s="47" t="s">
        <v>284</v>
      </c>
      <c r="E64" s="47" t="s">
        <v>291</v>
      </c>
      <c r="F64" s="57" t="s">
        <v>351</v>
      </c>
      <c r="G64" s="56" t="s">
        <v>9</v>
      </c>
      <c r="H64" s="56" t="s">
        <v>9</v>
      </c>
      <c r="I64" s="56" t="s">
        <v>9</v>
      </c>
      <c r="J64" s="56" t="s">
        <v>9</v>
      </c>
      <c r="K64" s="56" t="s">
        <v>9</v>
      </c>
      <c r="L64" s="46" t="str">
        <f t="shared" ref="L64:L71" si="25">_xlfn.CONCAT(SUBSTITUTE(C64,"1.",""))</f>
        <v>Fornecedores</v>
      </c>
      <c r="M64" s="46" t="str">
        <f t="shared" ref="M64:O71" si="26">_xlfn.CONCAT(SUBSTITUTE(D64,"."," "))</f>
        <v>Segmentos dos Profissionais</v>
      </c>
      <c r="N64" s="46" t="str">
        <f t="shared" si="26"/>
        <v>Segmento de Iluminação</v>
      </c>
      <c r="O64" s="46" t="str">
        <f t="shared" si="26"/>
        <v>Ilu Empresa Consultora</v>
      </c>
      <c r="P64" s="46" t="s">
        <v>286</v>
      </c>
      <c r="Q64" s="46" t="s">
        <v>631</v>
      </c>
      <c r="R64" s="33" t="s">
        <v>9</v>
      </c>
      <c r="S64" s="33" t="str">
        <f t="shared" ref="S64:U71" si="27">SUBSTITUTE(C64, ".", " ")</f>
        <v>Fornecedores</v>
      </c>
      <c r="T64" s="33" t="str">
        <f t="shared" si="27"/>
        <v>Segmentos dos Profissionais</v>
      </c>
      <c r="U64" s="33" t="str">
        <f t="shared" si="27"/>
        <v>Segmento de Iluminação</v>
      </c>
      <c r="V64" s="33" t="s">
        <v>180</v>
      </c>
      <c r="W64" s="53" t="str">
        <f t="shared" si="3"/>
        <v>Key-FABR-64</v>
      </c>
      <c r="X64" s="33" t="s">
        <v>9</v>
      </c>
      <c r="Y64" s="33" t="s">
        <v>9</v>
      </c>
      <c r="Z64" s="33" t="s">
        <v>382</v>
      </c>
      <c r="AA64" s="33" t="s">
        <v>764</v>
      </c>
    </row>
    <row r="65" spans="1:27" ht="6.65" customHeight="1" x14ac:dyDescent="0.4">
      <c r="A65" s="52">
        <v>65</v>
      </c>
      <c r="B65" s="47" t="s">
        <v>888</v>
      </c>
      <c r="C65" s="49" t="s">
        <v>94</v>
      </c>
      <c r="D65" s="47" t="s">
        <v>284</v>
      </c>
      <c r="E65" s="47" t="s">
        <v>291</v>
      </c>
      <c r="F65" s="57" t="s">
        <v>352</v>
      </c>
      <c r="G65" s="56" t="s">
        <v>9</v>
      </c>
      <c r="H65" s="56" t="s">
        <v>9</v>
      </c>
      <c r="I65" s="56" t="s">
        <v>9</v>
      </c>
      <c r="J65" s="56" t="s">
        <v>9</v>
      </c>
      <c r="K65" s="56" t="s">
        <v>9</v>
      </c>
      <c r="L65" s="46" t="str">
        <f t="shared" si="25"/>
        <v>Fornecedores</v>
      </c>
      <c r="M65" s="46" t="str">
        <f t="shared" si="26"/>
        <v>Segmentos dos Profissionais</v>
      </c>
      <c r="N65" s="46" t="str">
        <f t="shared" si="26"/>
        <v>Segmento de Iluminação</v>
      </c>
      <c r="O65" s="46" t="str">
        <f t="shared" si="26"/>
        <v>Ilu Fabricante</v>
      </c>
      <c r="P65" s="46" t="s">
        <v>287</v>
      </c>
      <c r="Q65" s="46" t="s">
        <v>632</v>
      </c>
      <c r="R65" s="33" t="s">
        <v>9</v>
      </c>
      <c r="S65" s="33" t="str">
        <f t="shared" si="27"/>
        <v>Fornecedores</v>
      </c>
      <c r="T65" s="33" t="str">
        <f t="shared" si="27"/>
        <v>Segmentos dos Profissionais</v>
      </c>
      <c r="U65" s="33" t="str">
        <f t="shared" si="27"/>
        <v>Segmento de Iluminação</v>
      </c>
      <c r="V65" s="33" t="s">
        <v>180</v>
      </c>
      <c r="W65" s="53" t="str">
        <f t="shared" si="3"/>
        <v>Key-FABR-65</v>
      </c>
      <c r="X65" s="33" t="s">
        <v>9</v>
      </c>
      <c r="Y65" s="33" t="s">
        <v>9</v>
      </c>
      <c r="Z65" s="33" t="s">
        <v>373</v>
      </c>
      <c r="AA65" s="33" t="s">
        <v>765</v>
      </c>
    </row>
    <row r="66" spans="1:27" ht="6.65" customHeight="1" x14ac:dyDescent="0.4">
      <c r="A66" s="52">
        <v>66</v>
      </c>
      <c r="B66" s="47" t="s">
        <v>888</v>
      </c>
      <c r="C66" s="49" t="s">
        <v>94</v>
      </c>
      <c r="D66" s="47" t="s">
        <v>284</v>
      </c>
      <c r="E66" s="47" t="s">
        <v>291</v>
      </c>
      <c r="F66" s="57" t="s">
        <v>549</v>
      </c>
      <c r="G66" s="56" t="s">
        <v>9</v>
      </c>
      <c r="H66" s="56" t="s">
        <v>9</v>
      </c>
      <c r="I66" s="56" t="s">
        <v>9</v>
      </c>
      <c r="J66" s="56" t="s">
        <v>9</v>
      </c>
      <c r="K66" s="56" t="s">
        <v>9</v>
      </c>
      <c r="L66" s="46" t="str">
        <f t="shared" si="25"/>
        <v>Fornecedores</v>
      </c>
      <c r="M66" s="46" t="str">
        <f t="shared" si="26"/>
        <v>Segmentos dos Profissionais</v>
      </c>
      <c r="N66" s="46" t="str">
        <f t="shared" si="26"/>
        <v>Segmento de Iluminação</v>
      </c>
      <c r="O66" s="46" t="str">
        <f t="shared" si="26"/>
        <v>Ilu Fornecedor</v>
      </c>
      <c r="P66" s="46" t="s">
        <v>288</v>
      </c>
      <c r="Q66" s="46" t="s">
        <v>633</v>
      </c>
      <c r="R66" s="33" t="s">
        <v>9</v>
      </c>
      <c r="S66" s="33" t="str">
        <f t="shared" si="27"/>
        <v>Fornecedores</v>
      </c>
      <c r="T66" s="33" t="str">
        <f t="shared" si="27"/>
        <v>Segmentos dos Profissionais</v>
      </c>
      <c r="U66" s="33" t="str">
        <f t="shared" si="27"/>
        <v>Segmento de Iluminação</v>
      </c>
      <c r="V66" s="33" t="s">
        <v>180</v>
      </c>
      <c r="W66" s="53" t="str">
        <f t="shared" ref="W66:W129" si="28">CONCATENATE("Key-FABR-",A66)</f>
        <v>Key-FABR-66</v>
      </c>
      <c r="X66" s="33" t="s">
        <v>9</v>
      </c>
      <c r="Y66" s="33" t="s">
        <v>9</v>
      </c>
      <c r="Z66" s="33" t="s">
        <v>380</v>
      </c>
      <c r="AA66" s="33" t="s">
        <v>766</v>
      </c>
    </row>
    <row r="67" spans="1:27" ht="6.65" customHeight="1" x14ac:dyDescent="0.4">
      <c r="A67" s="52">
        <v>67</v>
      </c>
      <c r="B67" s="47" t="s">
        <v>888</v>
      </c>
      <c r="C67" s="49" t="s">
        <v>94</v>
      </c>
      <c r="D67" s="47" t="s">
        <v>284</v>
      </c>
      <c r="E67" s="47" t="s">
        <v>291</v>
      </c>
      <c r="F67" s="57" t="s">
        <v>353</v>
      </c>
      <c r="G67" s="56" t="s">
        <v>9</v>
      </c>
      <c r="H67" s="56" t="s">
        <v>9</v>
      </c>
      <c r="I67" s="56" t="s">
        <v>9</v>
      </c>
      <c r="J67" s="56" t="s">
        <v>9</v>
      </c>
      <c r="K67" s="56" t="s">
        <v>9</v>
      </c>
      <c r="L67" s="46" t="str">
        <f t="shared" si="25"/>
        <v>Fornecedores</v>
      </c>
      <c r="M67" s="46" t="str">
        <f t="shared" si="26"/>
        <v>Segmentos dos Profissionais</v>
      </c>
      <c r="N67" s="46" t="str">
        <f t="shared" si="26"/>
        <v>Segmento de Iluminação</v>
      </c>
      <c r="O67" s="46" t="str">
        <f t="shared" si="26"/>
        <v>Ilu Projetista</v>
      </c>
      <c r="P67" s="46" t="s">
        <v>289</v>
      </c>
      <c r="Q67" s="46" t="s">
        <v>634</v>
      </c>
      <c r="R67" s="33" t="s">
        <v>9</v>
      </c>
      <c r="S67" s="33" t="str">
        <f t="shared" si="27"/>
        <v>Fornecedores</v>
      </c>
      <c r="T67" s="33" t="str">
        <f t="shared" si="27"/>
        <v>Segmentos dos Profissionais</v>
      </c>
      <c r="U67" s="33" t="str">
        <f t="shared" si="27"/>
        <v>Segmento de Iluminação</v>
      </c>
      <c r="V67" s="33" t="s">
        <v>180</v>
      </c>
      <c r="W67" s="53" t="str">
        <f t="shared" si="28"/>
        <v>Key-FABR-67</v>
      </c>
      <c r="X67" s="33" t="s">
        <v>9</v>
      </c>
      <c r="Y67" s="33" t="s">
        <v>9</v>
      </c>
      <c r="Z67" s="33" t="s">
        <v>384</v>
      </c>
      <c r="AA67" s="33" t="s">
        <v>767</v>
      </c>
    </row>
    <row r="68" spans="1:27" ht="6.65" customHeight="1" x14ac:dyDescent="0.4">
      <c r="A68" s="52">
        <v>68</v>
      </c>
      <c r="B68" s="47" t="s">
        <v>888</v>
      </c>
      <c r="C68" s="49" t="s">
        <v>94</v>
      </c>
      <c r="D68" s="47" t="s">
        <v>284</v>
      </c>
      <c r="E68" s="47" t="s">
        <v>291</v>
      </c>
      <c r="F68" s="57" t="s">
        <v>354</v>
      </c>
      <c r="G68" s="56" t="s">
        <v>9</v>
      </c>
      <c r="H68" s="56" t="s">
        <v>9</v>
      </c>
      <c r="I68" s="56" t="s">
        <v>9</v>
      </c>
      <c r="J68" s="56" t="s">
        <v>9</v>
      </c>
      <c r="K68" s="56" t="s">
        <v>9</v>
      </c>
      <c r="L68" s="46" t="str">
        <f t="shared" si="25"/>
        <v>Fornecedores</v>
      </c>
      <c r="M68" s="46" t="str">
        <f t="shared" si="26"/>
        <v>Segmentos dos Profissionais</v>
      </c>
      <c r="N68" s="46" t="str">
        <f t="shared" si="26"/>
        <v>Segmento de Iluminação</v>
      </c>
      <c r="O68" s="46" t="str">
        <f t="shared" si="26"/>
        <v>Ilu Serviço</v>
      </c>
      <c r="P68" s="46" t="s">
        <v>290</v>
      </c>
      <c r="Q68" s="46" t="s">
        <v>635</v>
      </c>
      <c r="R68" s="33" t="s">
        <v>9</v>
      </c>
      <c r="S68" s="33" t="str">
        <f t="shared" si="27"/>
        <v>Fornecedores</v>
      </c>
      <c r="T68" s="33" t="str">
        <f t="shared" si="27"/>
        <v>Segmentos dos Profissionais</v>
      </c>
      <c r="U68" s="33" t="str">
        <f t="shared" si="27"/>
        <v>Segmento de Iluminação</v>
      </c>
      <c r="V68" s="33" t="s">
        <v>180</v>
      </c>
      <c r="W68" s="53" t="str">
        <f t="shared" si="28"/>
        <v>Key-FABR-68</v>
      </c>
      <c r="X68" s="33" t="s">
        <v>9</v>
      </c>
      <c r="Y68" s="33" t="s">
        <v>9</v>
      </c>
      <c r="Z68" s="33" t="s">
        <v>383</v>
      </c>
      <c r="AA68" s="33" t="s">
        <v>768</v>
      </c>
    </row>
    <row r="69" spans="1:27" ht="6.65" customHeight="1" x14ac:dyDescent="0.4">
      <c r="A69" s="52">
        <v>69</v>
      </c>
      <c r="B69" s="47" t="s">
        <v>888</v>
      </c>
      <c r="C69" s="49" t="s">
        <v>94</v>
      </c>
      <c r="D69" s="47" t="s">
        <v>284</v>
      </c>
      <c r="E69" s="47" t="s">
        <v>291</v>
      </c>
      <c r="F69" s="57" t="s">
        <v>562</v>
      </c>
      <c r="G69" s="56" t="s">
        <v>9</v>
      </c>
      <c r="H69" s="56" t="s">
        <v>9</v>
      </c>
      <c r="I69" s="56" t="s">
        <v>9</v>
      </c>
      <c r="J69" s="56" t="s">
        <v>9</v>
      </c>
      <c r="K69" s="56" t="s">
        <v>9</v>
      </c>
      <c r="L69" s="46" t="str">
        <f t="shared" si="25"/>
        <v>Fornecedores</v>
      </c>
      <c r="M69" s="46" t="str">
        <f t="shared" si="26"/>
        <v>Segmentos dos Profissionais</v>
      </c>
      <c r="N69" s="46" t="str">
        <f t="shared" si="26"/>
        <v>Segmento de Iluminação</v>
      </c>
      <c r="O69" s="46" t="str">
        <f t="shared" si="26"/>
        <v>Ilu Vendedor</v>
      </c>
      <c r="P69" s="46" t="s">
        <v>451</v>
      </c>
      <c r="Q69" s="46" t="s">
        <v>636</v>
      </c>
      <c r="R69" s="33" t="s">
        <v>9</v>
      </c>
      <c r="S69" s="33" t="str">
        <f t="shared" si="27"/>
        <v>Fornecedores</v>
      </c>
      <c r="T69" s="33" t="str">
        <f t="shared" si="27"/>
        <v>Segmentos dos Profissionais</v>
      </c>
      <c r="U69" s="33" t="str">
        <f t="shared" si="27"/>
        <v>Segmento de Iluminação</v>
      </c>
      <c r="V69" s="33" t="s">
        <v>180</v>
      </c>
      <c r="W69" s="53" t="str">
        <f t="shared" si="28"/>
        <v>Key-FABR-69</v>
      </c>
      <c r="X69" s="33" t="s">
        <v>9</v>
      </c>
      <c r="Y69" s="33" t="s">
        <v>9</v>
      </c>
      <c r="Z69" s="33" t="s">
        <v>381</v>
      </c>
      <c r="AA69" s="33" t="s">
        <v>769</v>
      </c>
    </row>
    <row r="70" spans="1:27" ht="6.65" customHeight="1" x14ac:dyDescent="0.4">
      <c r="A70" s="52">
        <v>70</v>
      </c>
      <c r="B70" s="47" t="s">
        <v>888</v>
      </c>
      <c r="C70" s="49" t="s">
        <v>94</v>
      </c>
      <c r="D70" s="47" t="s">
        <v>284</v>
      </c>
      <c r="E70" s="47" t="s">
        <v>98</v>
      </c>
      <c r="F70" s="57" t="s">
        <v>419</v>
      </c>
      <c r="G70" s="56" t="s">
        <v>9</v>
      </c>
      <c r="H70" s="56" t="s">
        <v>9</v>
      </c>
      <c r="I70" s="56" t="s">
        <v>9</v>
      </c>
      <c r="J70" s="56" t="s">
        <v>9</v>
      </c>
      <c r="K70" s="56" t="s">
        <v>9</v>
      </c>
      <c r="L70" s="46" t="str">
        <f t="shared" si="25"/>
        <v>Fornecedores</v>
      </c>
      <c r="M70" s="46" t="str">
        <f t="shared" si="26"/>
        <v>Segmentos dos Profissionais</v>
      </c>
      <c r="N70" s="46" t="str">
        <f t="shared" si="26"/>
        <v>Segmento de Inovação</v>
      </c>
      <c r="O70" s="46" t="str">
        <f t="shared" si="26"/>
        <v>Ino Compra</v>
      </c>
      <c r="P70" s="46" t="s">
        <v>437</v>
      </c>
      <c r="Q70" s="46" t="s">
        <v>637</v>
      </c>
      <c r="R70" s="33" t="s">
        <v>9</v>
      </c>
      <c r="S70" s="33" t="str">
        <f t="shared" si="27"/>
        <v>Fornecedores</v>
      </c>
      <c r="T70" s="33" t="str">
        <f t="shared" si="27"/>
        <v>Segmentos dos Profissionais</v>
      </c>
      <c r="U70" s="33" t="str">
        <f t="shared" si="27"/>
        <v>Segmento de Inovação</v>
      </c>
      <c r="V70" s="33" t="s">
        <v>180</v>
      </c>
      <c r="W70" s="53" t="str">
        <f t="shared" si="28"/>
        <v>Key-FABR-70</v>
      </c>
      <c r="X70" s="33" t="s">
        <v>9</v>
      </c>
      <c r="Y70" s="33" t="s">
        <v>9</v>
      </c>
      <c r="Z70" s="33" t="s">
        <v>440</v>
      </c>
      <c r="AA70" s="33" t="s">
        <v>770</v>
      </c>
    </row>
    <row r="71" spans="1:27" ht="6.65" customHeight="1" x14ac:dyDescent="0.4">
      <c r="A71" s="52">
        <v>71</v>
      </c>
      <c r="B71" s="47" t="s">
        <v>888</v>
      </c>
      <c r="C71" s="49" t="s">
        <v>94</v>
      </c>
      <c r="D71" s="47" t="s">
        <v>284</v>
      </c>
      <c r="E71" s="47" t="s">
        <v>98</v>
      </c>
      <c r="F71" s="57" t="s">
        <v>336</v>
      </c>
      <c r="G71" s="56" t="s">
        <v>9</v>
      </c>
      <c r="H71" s="56" t="s">
        <v>9</v>
      </c>
      <c r="I71" s="56" t="s">
        <v>9</v>
      </c>
      <c r="J71" s="56" t="s">
        <v>9</v>
      </c>
      <c r="K71" s="56" t="s">
        <v>9</v>
      </c>
      <c r="L71" s="46" t="str">
        <f t="shared" si="25"/>
        <v>Fornecedores</v>
      </c>
      <c r="M71" s="46" t="str">
        <f t="shared" si="26"/>
        <v>Segmentos dos Profissionais</v>
      </c>
      <c r="N71" s="46" t="str">
        <f t="shared" si="26"/>
        <v>Segmento de Inovação</v>
      </c>
      <c r="O71" s="46" t="str">
        <f t="shared" si="26"/>
        <v>Ino Consultor</v>
      </c>
      <c r="P71" s="46" t="s">
        <v>119</v>
      </c>
      <c r="Q71" s="46" t="s">
        <v>638</v>
      </c>
      <c r="R71" s="33" t="s">
        <v>9</v>
      </c>
      <c r="S71" s="33" t="str">
        <f t="shared" si="27"/>
        <v>Fornecedores</v>
      </c>
      <c r="T71" s="33" t="str">
        <f t="shared" si="27"/>
        <v>Segmentos dos Profissionais</v>
      </c>
      <c r="U71" s="33" t="str">
        <f t="shared" si="27"/>
        <v>Segmento de Inovação</v>
      </c>
      <c r="V71" s="33" t="s">
        <v>180</v>
      </c>
      <c r="W71" s="53" t="str">
        <f t="shared" si="28"/>
        <v>Key-FABR-71</v>
      </c>
      <c r="X71" s="33" t="s">
        <v>9</v>
      </c>
      <c r="Y71" s="33" t="s">
        <v>9</v>
      </c>
      <c r="Z71" s="33" t="s">
        <v>382</v>
      </c>
      <c r="AA71" s="33" t="s">
        <v>771</v>
      </c>
    </row>
    <row r="72" spans="1:27" ht="6.65" customHeight="1" x14ac:dyDescent="0.4">
      <c r="A72" s="52">
        <v>72</v>
      </c>
      <c r="B72" s="47" t="s">
        <v>888</v>
      </c>
      <c r="C72" s="49" t="s">
        <v>94</v>
      </c>
      <c r="D72" s="47" t="s">
        <v>284</v>
      </c>
      <c r="E72" s="47" t="s">
        <v>98</v>
      </c>
      <c r="F72" s="57" t="s">
        <v>488</v>
      </c>
      <c r="G72" s="56" t="s">
        <v>9</v>
      </c>
      <c r="H72" s="56" t="s">
        <v>9</v>
      </c>
      <c r="I72" s="56" t="s">
        <v>9</v>
      </c>
      <c r="J72" s="56" t="s">
        <v>9</v>
      </c>
      <c r="K72" s="56" t="s">
        <v>9</v>
      </c>
      <c r="L72" s="46" t="s">
        <v>94</v>
      </c>
      <c r="M72" s="46" t="s">
        <v>453</v>
      </c>
      <c r="N72" s="46" t="s">
        <v>468</v>
      </c>
      <c r="O72" s="46" t="s">
        <v>469</v>
      </c>
      <c r="P72" s="46" t="s">
        <v>501</v>
      </c>
      <c r="Q72" s="46" t="s">
        <v>529</v>
      </c>
      <c r="R72" s="33" t="s">
        <v>9</v>
      </c>
      <c r="S72" s="33" t="s">
        <v>94</v>
      </c>
      <c r="T72" s="33" t="s">
        <v>453</v>
      </c>
      <c r="U72" s="33" t="s">
        <v>468</v>
      </c>
      <c r="V72" s="33" t="s">
        <v>180</v>
      </c>
      <c r="W72" s="53" t="str">
        <f t="shared" si="28"/>
        <v>Key-FABR-72</v>
      </c>
      <c r="X72" s="33" t="s">
        <v>9</v>
      </c>
      <c r="Y72" s="33" t="s">
        <v>9</v>
      </c>
      <c r="Z72" s="33" t="s">
        <v>493</v>
      </c>
      <c r="AA72" s="33" t="s">
        <v>513</v>
      </c>
    </row>
    <row r="73" spans="1:27" ht="6.65" customHeight="1" x14ac:dyDescent="0.4">
      <c r="A73" s="52">
        <v>73</v>
      </c>
      <c r="B73" s="47" t="s">
        <v>888</v>
      </c>
      <c r="C73" s="49" t="s">
        <v>94</v>
      </c>
      <c r="D73" s="47" t="s">
        <v>284</v>
      </c>
      <c r="E73" s="47" t="s">
        <v>98</v>
      </c>
      <c r="F73" s="57" t="s">
        <v>337</v>
      </c>
      <c r="G73" s="56" t="s">
        <v>9</v>
      </c>
      <c r="H73" s="56" t="s">
        <v>9</v>
      </c>
      <c r="I73" s="56" t="s">
        <v>9</v>
      </c>
      <c r="J73" s="56" t="s">
        <v>9</v>
      </c>
      <c r="K73" s="56" t="s">
        <v>9</v>
      </c>
      <c r="L73" s="46" t="str">
        <f t="shared" ref="L73:L80" si="29">_xlfn.CONCAT(SUBSTITUTE(C73,"1.",""))</f>
        <v>Fornecedores</v>
      </c>
      <c r="M73" s="46" t="str">
        <f t="shared" ref="M73:O80" si="30">_xlfn.CONCAT(SUBSTITUTE(D73,"."," "))</f>
        <v>Segmentos dos Profissionais</v>
      </c>
      <c r="N73" s="46" t="str">
        <f t="shared" si="30"/>
        <v>Segmento de Inovação</v>
      </c>
      <c r="O73" s="46" t="str">
        <f t="shared" si="30"/>
        <v>Ino Empresa Consultora</v>
      </c>
      <c r="P73" s="46" t="s">
        <v>120</v>
      </c>
      <c r="Q73" s="46" t="s">
        <v>639</v>
      </c>
      <c r="R73" s="33" t="s">
        <v>9</v>
      </c>
      <c r="S73" s="33" t="str">
        <f t="shared" ref="S73:U80" si="31">SUBSTITUTE(C73, ".", " ")</f>
        <v>Fornecedores</v>
      </c>
      <c r="T73" s="33" t="str">
        <f t="shared" si="31"/>
        <v>Segmentos dos Profissionais</v>
      </c>
      <c r="U73" s="33" t="str">
        <f t="shared" si="31"/>
        <v>Segmento de Inovação</v>
      </c>
      <c r="V73" s="33" t="s">
        <v>180</v>
      </c>
      <c r="W73" s="53" t="str">
        <f t="shared" si="28"/>
        <v>Key-FABR-73</v>
      </c>
      <c r="X73" s="33" t="s">
        <v>9</v>
      </c>
      <c r="Y73" s="33" t="s">
        <v>9</v>
      </c>
      <c r="Z73" s="33" t="s">
        <v>382</v>
      </c>
      <c r="AA73" s="33" t="s">
        <v>772</v>
      </c>
    </row>
    <row r="74" spans="1:27" ht="6.65" customHeight="1" x14ac:dyDescent="0.4">
      <c r="A74" s="52">
        <v>74</v>
      </c>
      <c r="B74" s="47" t="s">
        <v>888</v>
      </c>
      <c r="C74" s="49" t="s">
        <v>94</v>
      </c>
      <c r="D74" s="47" t="s">
        <v>284</v>
      </c>
      <c r="E74" s="47" t="s">
        <v>98</v>
      </c>
      <c r="F74" s="57" t="s">
        <v>338</v>
      </c>
      <c r="G74" s="56" t="s">
        <v>9</v>
      </c>
      <c r="H74" s="56" t="s">
        <v>9</v>
      </c>
      <c r="I74" s="56" t="s">
        <v>9</v>
      </c>
      <c r="J74" s="56" t="s">
        <v>9</v>
      </c>
      <c r="K74" s="56" t="s">
        <v>9</v>
      </c>
      <c r="L74" s="46" t="str">
        <f t="shared" si="29"/>
        <v>Fornecedores</v>
      </c>
      <c r="M74" s="46" t="str">
        <f t="shared" si="30"/>
        <v>Segmentos dos Profissionais</v>
      </c>
      <c r="N74" s="46" t="str">
        <f t="shared" si="30"/>
        <v>Segmento de Inovação</v>
      </c>
      <c r="O74" s="46" t="str">
        <f t="shared" si="30"/>
        <v>Ino Fabricante</v>
      </c>
      <c r="P74" s="46" t="s">
        <v>121</v>
      </c>
      <c r="Q74" s="46" t="s">
        <v>640</v>
      </c>
      <c r="R74" s="33" t="s">
        <v>9</v>
      </c>
      <c r="S74" s="33" t="str">
        <f t="shared" si="31"/>
        <v>Fornecedores</v>
      </c>
      <c r="T74" s="33" t="str">
        <f t="shared" si="31"/>
        <v>Segmentos dos Profissionais</v>
      </c>
      <c r="U74" s="33" t="str">
        <f t="shared" si="31"/>
        <v>Segmento de Inovação</v>
      </c>
      <c r="V74" s="33" t="s">
        <v>180</v>
      </c>
      <c r="W74" s="53" t="str">
        <f t="shared" si="28"/>
        <v>Key-FABR-74</v>
      </c>
      <c r="X74" s="33" t="s">
        <v>9</v>
      </c>
      <c r="Y74" s="33" t="s">
        <v>9</v>
      </c>
      <c r="Z74" s="33" t="s">
        <v>373</v>
      </c>
      <c r="AA74" s="33" t="s">
        <v>773</v>
      </c>
    </row>
    <row r="75" spans="1:27" ht="6.65" customHeight="1" x14ac:dyDescent="0.4">
      <c r="A75" s="52">
        <v>75</v>
      </c>
      <c r="B75" s="47" t="s">
        <v>888</v>
      </c>
      <c r="C75" s="49" t="s">
        <v>94</v>
      </c>
      <c r="D75" s="47" t="s">
        <v>284</v>
      </c>
      <c r="E75" s="47" t="s">
        <v>98</v>
      </c>
      <c r="F75" s="57" t="s">
        <v>550</v>
      </c>
      <c r="G75" s="56" t="s">
        <v>9</v>
      </c>
      <c r="H75" s="56" t="s">
        <v>9</v>
      </c>
      <c r="I75" s="56" t="s">
        <v>9</v>
      </c>
      <c r="J75" s="56" t="s">
        <v>9</v>
      </c>
      <c r="K75" s="56" t="s">
        <v>9</v>
      </c>
      <c r="L75" s="46" t="str">
        <f t="shared" si="29"/>
        <v>Fornecedores</v>
      </c>
      <c r="M75" s="46" t="str">
        <f t="shared" si="30"/>
        <v>Segmentos dos Profissionais</v>
      </c>
      <c r="N75" s="46" t="str">
        <f t="shared" si="30"/>
        <v>Segmento de Inovação</v>
      </c>
      <c r="O75" s="46" t="str">
        <f t="shared" si="30"/>
        <v>Ino Fornecedor</v>
      </c>
      <c r="P75" s="46" t="s">
        <v>178</v>
      </c>
      <c r="Q75" s="46" t="s">
        <v>641</v>
      </c>
      <c r="R75" s="33" t="s">
        <v>9</v>
      </c>
      <c r="S75" s="33" t="str">
        <f t="shared" si="31"/>
        <v>Fornecedores</v>
      </c>
      <c r="T75" s="33" t="str">
        <f t="shared" si="31"/>
        <v>Segmentos dos Profissionais</v>
      </c>
      <c r="U75" s="33" t="str">
        <f t="shared" si="31"/>
        <v>Segmento de Inovação</v>
      </c>
      <c r="V75" s="33" t="s">
        <v>180</v>
      </c>
      <c r="W75" s="53" t="str">
        <f t="shared" si="28"/>
        <v>Key-FABR-75</v>
      </c>
      <c r="X75" s="33" t="s">
        <v>9</v>
      </c>
      <c r="Y75" s="33" t="s">
        <v>9</v>
      </c>
      <c r="Z75" s="33" t="s">
        <v>380</v>
      </c>
      <c r="AA75" s="33" t="s">
        <v>774</v>
      </c>
    </row>
    <row r="76" spans="1:27" ht="6.65" customHeight="1" x14ac:dyDescent="0.4">
      <c r="A76" s="52">
        <v>76</v>
      </c>
      <c r="B76" s="47" t="s">
        <v>888</v>
      </c>
      <c r="C76" s="49" t="s">
        <v>94</v>
      </c>
      <c r="D76" s="47" t="s">
        <v>284</v>
      </c>
      <c r="E76" s="47" t="s">
        <v>98</v>
      </c>
      <c r="F76" s="57" t="s">
        <v>339</v>
      </c>
      <c r="G76" s="56" t="s">
        <v>9</v>
      </c>
      <c r="H76" s="56" t="s">
        <v>9</v>
      </c>
      <c r="I76" s="56" t="s">
        <v>9</v>
      </c>
      <c r="J76" s="56" t="s">
        <v>9</v>
      </c>
      <c r="K76" s="56" t="s">
        <v>9</v>
      </c>
      <c r="L76" s="46" t="str">
        <f t="shared" si="29"/>
        <v>Fornecedores</v>
      </c>
      <c r="M76" s="46" t="str">
        <f t="shared" si="30"/>
        <v>Segmentos dos Profissionais</v>
      </c>
      <c r="N76" s="46" t="str">
        <f t="shared" si="30"/>
        <v>Segmento de Inovação</v>
      </c>
      <c r="O76" s="46" t="str">
        <f t="shared" si="30"/>
        <v>Ino Projetista</v>
      </c>
      <c r="P76" s="46" t="s">
        <v>226</v>
      </c>
      <c r="Q76" s="46" t="s">
        <v>642</v>
      </c>
      <c r="R76" s="33" t="s">
        <v>9</v>
      </c>
      <c r="S76" s="33" t="str">
        <f t="shared" si="31"/>
        <v>Fornecedores</v>
      </c>
      <c r="T76" s="33" t="str">
        <f t="shared" si="31"/>
        <v>Segmentos dos Profissionais</v>
      </c>
      <c r="U76" s="33" t="str">
        <f t="shared" si="31"/>
        <v>Segmento de Inovação</v>
      </c>
      <c r="V76" s="33" t="s">
        <v>180</v>
      </c>
      <c r="W76" s="53" t="str">
        <f t="shared" si="28"/>
        <v>Key-FABR-76</v>
      </c>
      <c r="X76" s="33" t="s">
        <v>9</v>
      </c>
      <c r="Y76" s="33" t="s">
        <v>9</v>
      </c>
      <c r="Z76" s="33" t="s">
        <v>384</v>
      </c>
      <c r="AA76" s="33" t="s">
        <v>775</v>
      </c>
    </row>
    <row r="77" spans="1:27" ht="6.65" customHeight="1" x14ac:dyDescent="0.4">
      <c r="A77" s="52">
        <v>77</v>
      </c>
      <c r="B77" s="47" t="s">
        <v>888</v>
      </c>
      <c r="C77" s="49" t="s">
        <v>94</v>
      </c>
      <c r="D77" s="47" t="s">
        <v>284</v>
      </c>
      <c r="E77" s="47" t="s">
        <v>98</v>
      </c>
      <c r="F77" s="57" t="s">
        <v>340</v>
      </c>
      <c r="G77" s="56" t="s">
        <v>9</v>
      </c>
      <c r="H77" s="56" t="s">
        <v>9</v>
      </c>
      <c r="I77" s="56" t="s">
        <v>9</v>
      </c>
      <c r="J77" s="56" t="s">
        <v>9</v>
      </c>
      <c r="K77" s="56" t="s">
        <v>9</v>
      </c>
      <c r="L77" s="46" t="str">
        <f t="shared" si="29"/>
        <v>Fornecedores</v>
      </c>
      <c r="M77" s="46" t="str">
        <f t="shared" si="30"/>
        <v>Segmentos dos Profissionais</v>
      </c>
      <c r="N77" s="46" t="str">
        <f t="shared" si="30"/>
        <v>Segmento de Inovação</v>
      </c>
      <c r="O77" s="46" t="str">
        <f t="shared" si="30"/>
        <v>Ino Serviço</v>
      </c>
      <c r="P77" s="46" t="s">
        <v>118</v>
      </c>
      <c r="Q77" s="46" t="s">
        <v>643</v>
      </c>
      <c r="R77" s="33" t="s">
        <v>9</v>
      </c>
      <c r="S77" s="33" t="str">
        <f t="shared" si="31"/>
        <v>Fornecedores</v>
      </c>
      <c r="T77" s="33" t="str">
        <f t="shared" si="31"/>
        <v>Segmentos dos Profissionais</v>
      </c>
      <c r="U77" s="33" t="str">
        <f t="shared" si="31"/>
        <v>Segmento de Inovação</v>
      </c>
      <c r="V77" s="33" t="s">
        <v>180</v>
      </c>
      <c r="W77" s="53" t="str">
        <f t="shared" si="28"/>
        <v>Key-FABR-77</v>
      </c>
      <c r="X77" s="33" t="s">
        <v>9</v>
      </c>
      <c r="Y77" s="33" t="s">
        <v>9</v>
      </c>
      <c r="Z77" s="33" t="s">
        <v>383</v>
      </c>
      <c r="AA77" s="33" t="s">
        <v>776</v>
      </c>
    </row>
    <row r="78" spans="1:27" ht="6.65" customHeight="1" x14ac:dyDescent="0.4">
      <c r="A78" s="52">
        <v>78</v>
      </c>
      <c r="B78" s="47" t="s">
        <v>888</v>
      </c>
      <c r="C78" s="49" t="s">
        <v>94</v>
      </c>
      <c r="D78" s="47" t="s">
        <v>284</v>
      </c>
      <c r="E78" s="47" t="s">
        <v>98</v>
      </c>
      <c r="F78" s="57" t="s">
        <v>563</v>
      </c>
      <c r="G78" s="56" t="s">
        <v>9</v>
      </c>
      <c r="H78" s="56" t="s">
        <v>9</v>
      </c>
      <c r="I78" s="56" t="s">
        <v>9</v>
      </c>
      <c r="J78" s="56" t="s">
        <v>9</v>
      </c>
      <c r="K78" s="56" t="s">
        <v>9</v>
      </c>
      <c r="L78" s="46" t="str">
        <f t="shared" si="29"/>
        <v>Fornecedores</v>
      </c>
      <c r="M78" s="46" t="str">
        <f t="shared" si="30"/>
        <v>Segmentos dos Profissionais</v>
      </c>
      <c r="N78" s="46" t="str">
        <f t="shared" si="30"/>
        <v>Segmento de Inovação</v>
      </c>
      <c r="O78" s="46" t="str">
        <f t="shared" si="30"/>
        <v>Ino Vendedor</v>
      </c>
      <c r="P78" s="46" t="s">
        <v>448</v>
      </c>
      <c r="Q78" s="46" t="s">
        <v>644</v>
      </c>
      <c r="R78" s="33" t="s">
        <v>9</v>
      </c>
      <c r="S78" s="33" t="str">
        <f t="shared" si="31"/>
        <v>Fornecedores</v>
      </c>
      <c r="T78" s="33" t="str">
        <f t="shared" si="31"/>
        <v>Segmentos dos Profissionais</v>
      </c>
      <c r="U78" s="33" t="str">
        <f t="shared" si="31"/>
        <v>Segmento de Inovação</v>
      </c>
      <c r="V78" s="33" t="s">
        <v>180</v>
      </c>
      <c r="W78" s="53" t="str">
        <f t="shared" si="28"/>
        <v>Key-FABR-78</v>
      </c>
      <c r="X78" s="33" t="s">
        <v>9</v>
      </c>
      <c r="Y78" s="33" t="s">
        <v>9</v>
      </c>
      <c r="Z78" s="33" t="s">
        <v>381</v>
      </c>
      <c r="AA78" s="33" t="s">
        <v>777</v>
      </c>
    </row>
    <row r="79" spans="1:27" ht="6.65" customHeight="1" x14ac:dyDescent="0.4">
      <c r="A79" s="52">
        <v>79</v>
      </c>
      <c r="B79" s="47" t="s">
        <v>888</v>
      </c>
      <c r="C79" s="49" t="s">
        <v>94</v>
      </c>
      <c r="D79" s="47" t="s">
        <v>284</v>
      </c>
      <c r="E79" s="47" t="s">
        <v>97</v>
      </c>
      <c r="F79" s="57" t="s">
        <v>423</v>
      </c>
      <c r="G79" s="56" t="s">
        <v>9</v>
      </c>
      <c r="H79" s="56" t="s">
        <v>9</v>
      </c>
      <c r="I79" s="56" t="s">
        <v>9</v>
      </c>
      <c r="J79" s="56" t="s">
        <v>9</v>
      </c>
      <c r="K79" s="56" t="s">
        <v>9</v>
      </c>
      <c r="L79" s="46" t="str">
        <f t="shared" si="29"/>
        <v>Fornecedores</v>
      </c>
      <c r="M79" s="46" t="str">
        <f t="shared" si="30"/>
        <v>Segmentos dos Profissionais</v>
      </c>
      <c r="N79" s="46" t="str">
        <f t="shared" si="30"/>
        <v>Segmento de Instalações</v>
      </c>
      <c r="O79" s="46" t="str">
        <f t="shared" si="30"/>
        <v>Ins Compra</v>
      </c>
      <c r="P79" s="46" t="s">
        <v>433</v>
      </c>
      <c r="Q79" s="46" t="s">
        <v>645</v>
      </c>
      <c r="R79" s="33" t="s">
        <v>9</v>
      </c>
      <c r="S79" s="33" t="str">
        <f t="shared" si="31"/>
        <v>Fornecedores</v>
      </c>
      <c r="T79" s="33" t="str">
        <f t="shared" si="31"/>
        <v>Segmentos dos Profissionais</v>
      </c>
      <c r="U79" s="33" t="str">
        <f t="shared" si="31"/>
        <v>Segmento de Instalações</v>
      </c>
      <c r="V79" s="33" t="s">
        <v>180</v>
      </c>
      <c r="W79" s="53" t="str">
        <f t="shared" si="28"/>
        <v>Key-FABR-79</v>
      </c>
      <c r="X79" s="33" t="s">
        <v>9</v>
      </c>
      <c r="Y79" s="33" t="s">
        <v>9</v>
      </c>
      <c r="Z79" s="33" t="s">
        <v>440</v>
      </c>
      <c r="AA79" s="33" t="s">
        <v>778</v>
      </c>
    </row>
    <row r="80" spans="1:27" ht="6.65" customHeight="1" x14ac:dyDescent="0.4">
      <c r="A80" s="52">
        <v>80</v>
      </c>
      <c r="B80" s="47" t="s">
        <v>888</v>
      </c>
      <c r="C80" s="49" t="s">
        <v>94</v>
      </c>
      <c r="D80" s="47" t="s">
        <v>284</v>
      </c>
      <c r="E80" s="47" t="s">
        <v>97</v>
      </c>
      <c r="F80" s="57" t="s">
        <v>312</v>
      </c>
      <c r="G80" s="56" t="s">
        <v>9</v>
      </c>
      <c r="H80" s="56" t="s">
        <v>9</v>
      </c>
      <c r="I80" s="56" t="s">
        <v>9</v>
      </c>
      <c r="J80" s="56" t="s">
        <v>9</v>
      </c>
      <c r="K80" s="56" t="s">
        <v>9</v>
      </c>
      <c r="L80" s="46" t="str">
        <f t="shared" si="29"/>
        <v>Fornecedores</v>
      </c>
      <c r="M80" s="46" t="str">
        <f t="shared" si="30"/>
        <v>Segmentos dos Profissionais</v>
      </c>
      <c r="N80" s="46" t="str">
        <f t="shared" si="30"/>
        <v>Segmento de Instalações</v>
      </c>
      <c r="O80" s="46" t="str">
        <f t="shared" si="30"/>
        <v>Ins Consultor</v>
      </c>
      <c r="P80" s="46" t="s">
        <v>107</v>
      </c>
      <c r="Q80" s="46" t="s">
        <v>646</v>
      </c>
      <c r="R80" s="33" t="s">
        <v>9</v>
      </c>
      <c r="S80" s="33" t="str">
        <f t="shared" si="31"/>
        <v>Fornecedores</v>
      </c>
      <c r="T80" s="33" t="str">
        <f t="shared" si="31"/>
        <v>Segmentos dos Profissionais</v>
      </c>
      <c r="U80" s="33" t="str">
        <f t="shared" si="31"/>
        <v>Segmento de Instalações</v>
      </c>
      <c r="V80" s="33" t="s">
        <v>180</v>
      </c>
      <c r="W80" s="53" t="str">
        <f t="shared" si="28"/>
        <v>Key-FABR-80</v>
      </c>
      <c r="X80" s="33" t="s">
        <v>9</v>
      </c>
      <c r="Y80" s="33" t="s">
        <v>9</v>
      </c>
      <c r="Z80" s="33" t="s">
        <v>382</v>
      </c>
      <c r="AA80" s="33" t="s">
        <v>779</v>
      </c>
    </row>
    <row r="81" spans="1:27" ht="6.65" customHeight="1" x14ac:dyDescent="0.4">
      <c r="A81" s="52">
        <v>81</v>
      </c>
      <c r="B81" s="47" t="s">
        <v>888</v>
      </c>
      <c r="C81" s="49" t="s">
        <v>94</v>
      </c>
      <c r="D81" s="47" t="s">
        <v>284</v>
      </c>
      <c r="E81" s="47" t="s">
        <v>97</v>
      </c>
      <c r="F81" s="57" t="s">
        <v>484</v>
      </c>
      <c r="G81" s="56" t="s">
        <v>9</v>
      </c>
      <c r="H81" s="56" t="s">
        <v>9</v>
      </c>
      <c r="I81" s="56" t="s">
        <v>9</v>
      </c>
      <c r="J81" s="56" t="s">
        <v>9</v>
      </c>
      <c r="K81" s="56" t="s">
        <v>9</v>
      </c>
      <c r="L81" s="46" t="s">
        <v>94</v>
      </c>
      <c r="M81" s="46" t="s">
        <v>453</v>
      </c>
      <c r="N81" s="46" t="s">
        <v>460</v>
      </c>
      <c r="O81" s="46" t="s">
        <v>461</v>
      </c>
      <c r="P81" s="46" t="s">
        <v>497</v>
      </c>
      <c r="Q81" s="46" t="s">
        <v>530</v>
      </c>
      <c r="R81" s="33" t="s">
        <v>9</v>
      </c>
      <c r="S81" s="33" t="s">
        <v>94</v>
      </c>
      <c r="T81" s="33" t="s">
        <v>453</v>
      </c>
      <c r="U81" s="33" t="s">
        <v>460</v>
      </c>
      <c r="V81" s="33" t="s">
        <v>180</v>
      </c>
      <c r="W81" s="53" t="str">
        <f t="shared" si="28"/>
        <v>Key-FABR-81</v>
      </c>
      <c r="X81" s="33" t="s">
        <v>9</v>
      </c>
      <c r="Y81" s="33" t="s">
        <v>9</v>
      </c>
      <c r="Z81" s="33" t="s">
        <v>493</v>
      </c>
      <c r="AA81" s="33" t="s">
        <v>509</v>
      </c>
    </row>
    <row r="82" spans="1:27" ht="6.65" customHeight="1" x14ac:dyDescent="0.4">
      <c r="A82" s="52">
        <v>82</v>
      </c>
      <c r="B82" s="47" t="s">
        <v>888</v>
      </c>
      <c r="C82" s="49" t="s">
        <v>94</v>
      </c>
      <c r="D82" s="47" t="s">
        <v>284</v>
      </c>
      <c r="E82" s="47" t="s">
        <v>97</v>
      </c>
      <c r="F82" s="57" t="s">
        <v>313</v>
      </c>
      <c r="G82" s="56" t="s">
        <v>9</v>
      </c>
      <c r="H82" s="56" t="s">
        <v>9</v>
      </c>
      <c r="I82" s="56" t="s">
        <v>9</v>
      </c>
      <c r="J82" s="56" t="s">
        <v>9</v>
      </c>
      <c r="K82" s="56" t="s">
        <v>9</v>
      </c>
      <c r="L82" s="46" t="str">
        <f t="shared" ref="L82:L89" si="32">_xlfn.CONCAT(SUBSTITUTE(C82,"1.",""))</f>
        <v>Fornecedores</v>
      </c>
      <c r="M82" s="46" t="str">
        <f t="shared" ref="M82:O89" si="33">_xlfn.CONCAT(SUBSTITUTE(D82,"."," "))</f>
        <v>Segmentos dos Profissionais</v>
      </c>
      <c r="N82" s="46" t="str">
        <f t="shared" si="33"/>
        <v>Segmento de Instalações</v>
      </c>
      <c r="O82" s="46" t="str">
        <f t="shared" si="33"/>
        <v>Ins Empresa Consultora</v>
      </c>
      <c r="P82" s="46" t="s">
        <v>108</v>
      </c>
      <c r="Q82" s="46" t="s">
        <v>647</v>
      </c>
      <c r="R82" s="33" t="s">
        <v>9</v>
      </c>
      <c r="S82" s="33" t="str">
        <f t="shared" ref="S82:U89" si="34">SUBSTITUTE(C82, ".", " ")</f>
        <v>Fornecedores</v>
      </c>
      <c r="T82" s="33" t="str">
        <f t="shared" si="34"/>
        <v>Segmentos dos Profissionais</v>
      </c>
      <c r="U82" s="33" t="str">
        <f t="shared" si="34"/>
        <v>Segmento de Instalações</v>
      </c>
      <c r="V82" s="33" t="s">
        <v>180</v>
      </c>
      <c r="W82" s="53" t="str">
        <f t="shared" si="28"/>
        <v>Key-FABR-82</v>
      </c>
      <c r="X82" s="33" t="s">
        <v>9</v>
      </c>
      <c r="Y82" s="33" t="s">
        <v>9</v>
      </c>
      <c r="Z82" s="33" t="s">
        <v>382</v>
      </c>
      <c r="AA82" s="33" t="s">
        <v>780</v>
      </c>
    </row>
    <row r="83" spans="1:27" ht="6.65" customHeight="1" x14ac:dyDescent="0.4">
      <c r="A83" s="52">
        <v>83</v>
      </c>
      <c r="B83" s="47" t="s">
        <v>888</v>
      </c>
      <c r="C83" s="49" t="s">
        <v>94</v>
      </c>
      <c r="D83" s="47" t="s">
        <v>284</v>
      </c>
      <c r="E83" s="47" t="s">
        <v>97</v>
      </c>
      <c r="F83" s="57" t="s">
        <v>314</v>
      </c>
      <c r="G83" s="56" t="s">
        <v>9</v>
      </c>
      <c r="H83" s="56" t="s">
        <v>9</v>
      </c>
      <c r="I83" s="56" t="s">
        <v>9</v>
      </c>
      <c r="J83" s="56" t="s">
        <v>9</v>
      </c>
      <c r="K83" s="56" t="s">
        <v>9</v>
      </c>
      <c r="L83" s="46" t="str">
        <f t="shared" si="32"/>
        <v>Fornecedores</v>
      </c>
      <c r="M83" s="46" t="str">
        <f t="shared" si="33"/>
        <v>Segmentos dos Profissionais</v>
      </c>
      <c r="N83" s="46" t="str">
        <f t="shared" si="33"/>
        <v>Segmento de Instalações</v>
      </c>
      <c r="O83" s="46" t="str">
        <f t="shared" si="33"/>
        <v>Ins Fabricante</v>
      </c>
      <c r="P83" s="46" t="s">
        <v>109</v>
      </c>
      <c r="Q83" s="46" t="s">
        <v>648</v>
      </c>
      <c r="R83" s="33" t="s">
        <v>9</v>
      </c>
      <c r="S83" s="33" t="str">
        <f t="shared" si="34"/>
        <v>Fornecedores</v>
      </c>
      <c r="T83" s="33" t="str">
        <f t="shared" si="34"/>
        <v>Segmentos dos Profissionais</v>
      </c>
      <c r="U83" s="33" t="str">
        <f t="shared" si="34"/>
        <v>Segmento de Instalações</v>
      </c>
      <c r="V83" s="33" t="s">
        <v>180</v>
      </c>
      <c r="W83" s="53" t="str">
        <f t="shared" si="28"/>
        <v>Key-FABR-83</v>
      </c>
      <c r="X83" s="33" t="s">
        <v>9</v>
      </c>
      <c r="Y83" s="33" t="s">
        <v>9</v>
      </c>
      <c r="Z83" s="33" t="s">
        <v>373</v>
      </c>
      <c r="AA83" s="33" t="s">
        <v>781</v>
      </c>
    </row>
    <row r="84" spans="1:27" ht="6.65" customHeight="1" x14ac:dyDescent="0.4">
      <c r="A84" s="52">
        <v>84</v>
      </c>
      <c r="B84" s="47" t="s">
        <v>888</v>
      </c>
      <c r="C84" s="49" t="s">
        <v>94</v>
      </c>
      <c r="D84" s="47" t="s">
        <v>284</v>
      </c>
      <c r="E84" s="47" t="s">
        <v>97</v>
      </c>
      <c r="F84" s="57" t="s">
        <v>551</v>
      </c>
      <c r="G84" s="56" t="s">
        <v>9</v>
      </c>
      <c r="H84" s="56" t="s">
        <v>9</v>
      </c>
      <c r="I84" s="56" t="s">
        <v>9</v>
      </c>
      <c r="J84" s="56" t="s">
        <v>9</v>
      </c>
      <c r="K84" s="56" t="s">
        <v>9</v>
      </c>
      <c r="L84" s="46" t="str">
        <f t="shared" si="32"/>
        <v>Fornecedores</v>
      </c>
      <c r="M84" s="46" t="str">
        <f t="shared" si="33"/>
        <v>Segmentos dos Profissionais</v>
      </c>
      <c r="N84" s="46" t="str">
        <f t="shared" si="33"/>
        <v>Segmento de Instalações</v>
      </c>
      <c r="O84" s="46" t="str">
        <f t="shared" si="33"/>
        <v>Ins Fornecedor</v>
      </c>
      <c r="P84" s="46" t="s">
        <v>174</v>
      </c>
      <c r="Q84" s="46" t="s">
        <v>649</v>
      </c>
      <c r="R84" s="33" t="s">
        <v>9</v>
      </c>
      <c r="S84" s="33" t="str">
        <f t="shared" si="34"/>
        <v>Fornecedores</v>
      </c>
      <c r="T84" s="33" t="str">
        <f t="shared" si="34"/>
        <v>Segmentos dos Profissionais</v>
      </c>
      <c r="U84" s="33" t="str">
        <f t="shared" si="34"/>
        <v>Segmento de Instalações</v>
      </c>
      <c r="V84" s="33" t="s">
        <v>180</v>
      </c>
      <c r="W84" s="53" t="str">
        <f t="shared" si="28"/>
        <v>Key-FABR-84</v>
      </c>
      <c r="X84" s="33" t="s">
        <v>9</v>
      </c>
      <c r="Y84" s="33" t="s">
        <v>9</v>
      </c>
      <c r="Z84" s="33" t="s">
        <v>380</v>
      </c>
      <c r="AA84" s="33" t="s">
        <v>782</v>
      </c>
    </row>
    <row r="85" spans="1:27" ht="6.65" customHeight="1" x14ac:dyDescent="0.4">
      <c r="A85" s="52">
        <v>85</v>
      </c>
      <c r="B85" s="47" t="s">
        <v>888</v>
      </c>
      <c r="C85" s="49" t="s">
        <v>94</v>
      </c>
      <c r="D85" s="47" t="s">
        <v>284</v>
      </c>
      <c r="E85" s="47" t="s">
        <v>97</v>
      </c>
      <c r="F85" s="57" t="s">
        <v>315</v>
      </c>
      <c r="G85" s="56" t="s">
        <v>9</v>
      </c>
      <c r="H85" s="56" t="s">
        <v>9</v>
      </c>
      <c r="I85" s="56" t="s">
        <v>9</v>
      </c>
      <c r="J85" s="56" t="s">
        <v>9</v>
      </c>
      <c r="K85" s="56" t="s">
        <v>9</v>
      </c>
      <c r="L85" s="46" t="str">
        <f t="shared" si="32"/>
        <v>Fornecedores</v>
      </c>
      <c r="M85" s="46" t="str">
        <f t="shared" si="33"/>
        <v>Segmentos dos Profissionais</v>
      </c>
      <c r="N85" s="46" t="str">
        <f t="shared" si="33"/>
        <v>Segmento de Instalações</v>
      </c>
      <c r="O85" s="46" t="str">
        <f t="shared" si="33"/>
        <v>Ins Projetista</v>
      </c>
      <c r="P85" s="46" t="s">
        <v>223</v>
      </c>
      <c r="Q85" s="46" t="s">
        <v>650</v>
      </c>
      <c r="R85" s="33" t="s">
        <v>9</v>
      </c>
      <c r="S85" s="33" t="str">
        <f t="shared" si="34"/>
        <v>Fornecedores</v>
      </c>
      <c r="T85" s="33" t="str">
        <f t="shared" si="34"/>
        <v>Segmentos dos Profissionais</v>
      </c>
      <c r="U85" s="33" t="str">
        <f t="shared" si="34"/>
        <v>Segmento de Instalações</v>
      </c>
      <c r="V85" s="33" t="s">
        <v>180</v>
      </c>
      <c r="W85" s="53" t="str">
        <f t="shared" si="28"/>
        <v>Key-FABR-85</v>
      </c>
      <c r="X85" s="33" t="s">
        <v>9</v>
      </c>
      <c r="Y85" s="33" t="s">
        <v>9</v>
      </c>
      <c r="Z85" s="33" t="s">
        <v>375</v>
      </c>
      <c r="AA85" s="33" t="s">
        <v>783</v>
      </c>
    </row>
    <row r="86" spans="1:27" ht="6.65" customHeight="1" x14ac:dyDescent="0.4">
      <c r="A86" s="52">
        <v>86</v>
      </c>
      <c r="B86" s="47" t="s">
        <v>888</v>
      </c>
      <c r="C86" s="49" t="s">
        <v>94</v>
      </c>
      <c r="D86" s="47" t="s">
        <v>284</v>
      </c>
      <c r="E86" s="47" t="s">
        <v>97</v>
      </c>
      <c r="F86" s="57" t="s">
        <v>316</v>
      </c>
      <c r="G86" s="56" t="s">
        <v>9</v>
      </c>
      <c r="H86" s="56" t="s">
        <v>9</v>
      </c>
      <c r="I86" s="56" t="s">
        <v>9</v>
      </c>
      <c r="J86" s="56" t="s">
        <v>9</v>
      </c>
      <c r="K86" s="56" t="s">
        <v>9</v>
      </c>
      <c r="L86" s="46" t="str">
        <f t="shared" si="32"/>
        <v>Fornecedores</v>
      </c>
      <c r="M86" s="46" t="str">
        <f t="shared" si="33"/>
        <v>Segmentos dos Profissionais</v>
      </c>
      <c r="N86" s="46" t="str">
        <f t="shared" si="33"/>
        <v>Segmento de Instalações</v>
      </c>
      <c r="O86" s="46" t="str">
        <f t="shared" si="33"/>
        <v>Ins Serviço</v>
      </c>
      <c r="P86" s="46" t="s">
        <v>106</v>
      </c>
      <c r="Q86" s="46" t="s">
        <v>651</v>
      </c>
      <c r="R86" s="33" t="s">
        <v>9</v>
      </c>
      <c r="S86" s="33" t="str">
        <f t="shared" si="34"/>
        <v>Fornecedores</v>
      </c>
      <c r="T86" s="33" t="str">
        <f t="shared" si="34"/>
        <v>Segmentos dos Profissionais</v>
      </c>
      <c r="U86" s="33" t="str">
        <f t="shared" si="34"/>
        <v>Segmento de Instalações</v>
      </c>
      <c r="V86" s="33" t="s">
        <v>180</v>
      </c>
      <c r="W86" s="53" t="str">
        <f t="shared" si="28"/>
        <v>Key-FABR-86</v>
      </c>
      <c r="X86" s="33" t="s">
        <v>9</v>
      </c>
      <c r="Y86" s="33" t="s">
        <v>9</v>
      </c>
      <c r="Z86" s="33" t="s">
        <v>383</v>
      </c>
      <c r="AA86" s="33" t="s">
        <v>784</v>
      </c>
    </row>
    <row r="87" spans="1:27" ht="6.65" customHeight="1" x14ac:dyDescent="0.4">
      <c r="A87" s="52">
        <v>87</v>
      </c>
      <c r="B87" s="47" t="s">
        <v>888</v>
      </c>
      <c r="C87" s="49" t="s">
        <v>94</v>
      </c>
      <c r="D87" s="47" t="s">
        <v>284</v>
      </c>
      <c r="E87" s="47" t="s">
        <v>97</v>
      </c>
      <c r="F87" s="57" t="s">
        <v>564</v>
      </c>
      <c r="G87" s="56" t="s">
        <v>9</v>
      </c>
      <c r="H87" s="56" t="s">
        <v>9</v>
      </c>
      <c r="I87" s="56" t="s">
        <v>9</v>
      </c>
      <c r="J87" s="56" t="s">
        <v>9</v>
      </c>
      <c r="K87" s="56" t="s">
        <v>9</v>
      </c>
      <c r="L87" s="46" t="str">
        <f t="shared" si="32"/>
        <v>Fornecedores</v>
      </c>
      <c r="M87" s="46" t="str">
        <f t="shared" si="33"/>
        <v>Segmentos dos Profissionais</v>
      </c>
      <c r="N87" s="46" t="str">
        <f t="shared" si="33"/>
        <v>Segmento de Instalações</v>
      </c>
      <c r="O87" s="46" t="str">
        <f t="shared" si="33"/>
        <v>Ins Vendedor</v>
      </c>
      <c r="P87" s="46" t="s">
        <v>444</v>
      </c>
      <c r="Q87" s="46" t="s">
        <v>652</v>
      </c>
      <c r="R87" s="33" t="s">
        <v>9</v>
      </c>
      <c r="S87" s="33" t="str">
        <f t="shared" si="34"/>
        <v>Fornecedores</v>
      </c>
      <c r="T87" s="33" t="str">
        <f t="shared" si="34"/>
        <v>Segmentos dos Profissionais</v>
      </c>
      <c r="U87" s="33" t="str">
        <f t="shared" si="34"/>
        <v>Segmento de Instalações</v>
      </c>
      <c r="V87" s="33" t="s">
        <v>180</v>
      </c>
      <c r="W87" s="53" t="str">
        <f t="shared" si="28"/>
        <v>Key-FABR-87</v>
      </c>
      <c r="X87" s="33" t="s">
        <v>9</v>
      </c>
      <c r="Y87" s="33" t="s">
        <v>9</v>
      </c>
      <c r="Z87" s="33" t="s">
        <v>381</v>
      </c>
      <c r="AA87" s="33" t="s">
        <v>785</v>
      </c>
    </row>
    <row r="88" spans="1:27" ht="6.65" customHeight="1" x14ac:dyDescent="0.4">
      <c r="A88" s="52">
        <v>88</v>
      </c>
      <c r="B88" s="47" t="s">
        <v>888</v>
      </c>
      <c r="C88" s="49" t="s">
        <v>94</v>
      </c>
      <c r="D88" s="47" t="s">
        <v>284</v>
      </c>
      <c r="E88" s="47" t="s">
        <v>101</v>
      </c>
      <c r="F88" s="57" t="s">
        <v>422</v>
      </c>
      <c r="G88" s="56" t="s">
        <v>9</v>
      </c>
      <c r="H88" s="56" t="s">
        <v>9</v>
      </c>
      <c r="I88" s="56" t="s">
        <v>9</v>
      </c>
      <c r="J88" s="56" t="s">
        <v>9</v>
      </c>
      <c r="K88" s="56" t="s">
        <v>9</v>
      </c>
      <c r="L88" s="46" t="str">
        <f t="shared" si="32"/>
        <v>Fornecedores</v>
      </c>
      <c r="M88" s="46" t="str">
        <f t="shared" si="33"/>
        <v>Segmentos dos Profissionais</v>
      </c>
      <c r="N88" s="46" t="str">
        <f t="shared" si="33"/>
        <v>Segmento Laboratorial</v>
      </c>
      <c r="O88" s="46" t="str">
        <f t="shared" si="33"/>
        <v>Lab Compra</v>
      </c>
      <c r="P88" s="46" t="s">
        <v>434</v>
      </c>
      <c r="Q88" s="46" t="s">
        <v>653</v>
      </c>
      <c r="R88" s="33" t="s">
        <v>9</v>
      </c>
      <c r="S88" s="33" t="str">
        <f t="shared" si="34"/>
        <v>Fornecedores</v>
      </c>
      <c r="T88" s="33" t="str">
        <f t="shared" si="34"/>
        <v>Segmentos dos Profissionais</v>
      </c>
      <c r="U88" s="33" t="str">
        <f t="shared" si="34"/>
        <v>Segmento Laboratorial</v>
      </c>
      <c r="V88" s="33" t="s">
        <v>180</v>
      </c>
      <c r="W88" s="53" t="str">
        <f t="shared" si="28"/>
        <v>Key-FABR-88</v>
      </c>
      <c r="X88" s="33" t="s">
        <v>9</v>
      </c>
      <c r="Y88" s="33" t="s">
        <v>9</v>
      </c>
      <c r="Z88" s="33" t="s">
        <v>440</v>
      </c>
      <c r="AA88" s="33" t="s">
        <v>786</v>
      </c>
    </row>
    <row r="89" spans="1:27" ht="6.65" customHeight="1" x14ac:dyDescent="0.4">
      <c r="A89" s="52">
        <v>89</v>
      </c>
      <c r="B89" s="47" t="s">
        <v>888</v>
      </c>
      <c r="C89" s="49" t="s">
        <v>94</v>
      </c>
      <c r="D89" s="47" t="s">
        <v>284</v>
      </c>
      <c r="E89" s="47" t="s">
        <v>101</v>
      </c>
      <c r="F89" s="57" t="s">
        <v>307</v>
      </c>
      <c r="G89" s="56" t="s">
        <v>9</v>
      </c>
      <c r="H89" s="56" t="s">
        <v>9</v>
      </c>
      <c r="I89" s="56" t="s">
        <v>9</v>
      </c>
      <c r="J89" s="56" t="s">
        <v>9</v>
      </c>
      <c r="K89" s="56" t="s">
        <v>9</v>
      </c>
      <c r="L89" s="46" t="str">
        <f t="shared" si="32"/>
        <v>Fornecedores</v>
      </c>
      <c r="M89" s="46" t="str">
        <f t="shared" si="33"/>
        <v>Segmentos dos Profissionais</v>
      </c>
      <c r="N89" s="46" t="str">
        <f t="shared" si="33"/>
        <v>Segmento Laboratorial</v>
      </c>
      <c r="O89" s="46" t="str">
        <f t="shared" si="33"/>
        <v>Lab Consultor</v>
      </c>
      <c r="P89" s="46" t="s">
        <v>115</v>
      </c>
      <c r="Q89" s="46" t="s">
        <v>654</v>
      </c>
      <c r="R89" s="33" t="s">
        <v>9</v>
      </c>
      <c r="S89" s="33" t="str">
        <f t="shared" si="34"/>
        <v>Fornecedores</v>
      </c>
      <c r="T89" s="33" t="str">
        <f t="shared" si="34"/>
        <v>Segmentos dos Profissionais</v>
      </c>
      <c r="U89" s="33" t="str">
        <f t="shared" si="34"/>
        <v>Segmento Laboratorial</v>
      </c>
      <c r="V89" s="33" t="s">
        <v>180</v>
      </c>
      <c r="W89" s="53" t="str">
        <f t="shared" si="28"/>
        <v>Key-FABR-89</v>
      </c>
      <c r="X89" s="33" t="s">
        <v>9</v>
      </c>
      <c r="Y89" s="33" t="s">
        <v>9</v>
      </c>
      <c r="Z89" s="33" t="s">
        <v>382</v>
      </c>
      <c r="AA89" s="33" t="s">
        <v>787</v>
      </c>
    </row>
    <row r="90" spans="1:27" ht="6.65" customHeight="1" x14ac:dyDescent="0.4">
      <c r="A90" s="52">
        <v>90</v>
      </c>
      <c r="B90" s="47" t="s">
        <v>888</v>
      </c>
      <c r="C90" s="49" t="s">
        <v>94</v>
      </c>
      <c r="D90" s="47" t="s">
        <v>284</v>
      </c>
      <c r="E90" s="47" t="s">
        <v>101</v>
      </c>
      <c r="F90" s="57" t="s">
        <v>485</v>
      </c>
      <c r="G90" s="56" t="s">
        <v>9</v>
      </c>
      <c r="H90" s="56" t="s">
        <v>9</v>
      </c>
      <c r="I90" s="56" t="s">
        <v>9</v>
      </c>
      <c r="J90" s="56" t="s">
        <v>9</v>
      </c>
      <c r="K90" s="56" t="s">
        <v>9</v>
      </c>
      <c r="L90" s="46" t="s">
        <v>94</v>
      </c>
      <c r="M90" s="46" t="s">
        <v>453</v>
      </c>
      <c r="N90" s="46" t="s">
        <v>462</v>
      </c>
      <c r="O90" s="46" t="s">
        <v>463</v>
      </c>
      <c r="P90" s="46" t="s">
        <v>498</v>
      </c>
      <c r="Q90" s="46" t="s">
        <v>522</v>
      </c>
      <c r="R90" s="33" t="s">
        <v>9</v>
      </c>
      <c r="S90" s="33" t="s">
        <v>94</v>
      </c>
      <c r="T90" s="33" t="s">
        <v>453</v>
      </c>
      <c r="U90" s="33" t="s">
        <v>462</v>
      </c>
      <c r="V90" s="33" t="s">
        <v>180</v>
      </c>
      <c r="W90" s="53" t="str">
        <f t="shared" si="28"/>
        <v>Key-FABR-90</v>
      </c>
      <c r="X90" s="33" t="s">
        <v>9</v>
      </c>
      <c r="Y90" s="33" t="s">
        <v>9</v>
      </c>
      <c r="Z90" s="33" t="s">
        <v>493</v>
      </c>
      <c r="AA90" s="33" t="s">
        <v>510</v>
      </c>
    </row>
    <row r="91" spans="1:27" ht="6.65" customHeight="1" x14ac:dyDescent="0.4">
      <c r="A91" s="52">
        <v>91</v>
      </c>
      <c r="B91" s="47" t="s">
        <v>888</v>
      </c>
      <c r="C91" s="49" t="s">
        <v>94</v>
      </c>
      <c r="D91" s="47" t="s">
        <v>284</v>
      </c>
      <c r="E91" s="47" t="s">
        <v>101</v>
      </c>
      <c r="F91" s="57" t="s">
        <v>308</v>
      </c>
      <c r="G91" s="56" t="s">
        <v>9</v>
      </c>
      <c r="H91" s="56" t="s">
        <v>9</v>
      </c>
      <c r="I91" s="56" t="s">
        <v>9</v>
      </c>
      <c r="J91" s="56" t="s">
        <v>9</v>
      </c>
      <c r="K91" s="56" t="s">
        <v>9</v>
      </c>
      <c r="L91" s="46" t="str">
        <f t="shared" ref="L91:L98" si="35">_xlfn.CONCAT(SUBSTITUTE(C91,"1.",""))</f>
        <v>Fornecedores</v>
      </c>
      <c r="M91" s="46" t="str">
        <f t="shared" ref="M91:O98" si="36">_xlfn.CONCAT(SUBSTITUTE(D91,"."," "))</f>
        <v>Segmentos dos Profissionais</v>
      </c>
      <c r="N91" s="46" t="str">
        <f t="shared" si="36"/>
        <v>Segmento Laboratorial</v>
      </c>
      <c r="O91" s="46" t="str">
        <f t="shared" si="36"/>
        <v>Lab Empresa Consultora</v>
      </c>
      <c r="P91" s="46" t="s">
        <v>116</v>
      </c>
      <c r="Q91" s="46" t="s">
        <v>655</v>
      </c>
      <c r="R91" s="33" t="s">
        <v>9</v>
      </c>
      <c r="S91" s="33" t="str">
        <f t="shared" ref="S91:U98" si="37">SUBSTITUTE(C91, ".", " ")</f>
        <v>Fornecedores</v>
      </c>
      <c r="T91" s="33" t="str">
        <f t="shared" si="37"/>
        <v>Segmentos dos Profissionais</v>
      </c>
      <c r="U91" s="33" t="str">
        <f t="shared" si="37"/>
        <v>Segmento Laboratorial</v>
      </c>
      <c r="V91" s="33" t="s">
        <v>180</v>
      </c>
      <c r="W91" s="53" t="str">
        <f t="shared" si="28"/>
        <v>Key-FABR-91</v>
      </c>
      <c r="X91" s="33" t="s">
        <v>9</v>
      </c>
      <c r="Y91" s="33" t="s">
        <v>9</v>
      </c>
      <c r="Z91" s="33" t="s">
        <v>382</v>
      </c>
      <c r="AA91" s="33" t="s">
        <v>788</v>
      </c>
    </row>
    <row r="92" spans="1:27" ht="6.65" customHeight="1" x14ac:dyDescent="0.4">
      <c r="A92" s="52">
        <v>92</v>
      </c>
      <c r="B92" s="47" t="s">
        <v>888</v>
      </c>
      <c r="C92" s="49" t="s">
        <v>94</v>
      </c>
      <c r="D92" s="47" t="s">
        <v>284</v>
      </c>
      <c r="E92" s="47" t="s">
        <v>101</v>
      </c>
      <c r="F92" s="57" t="s">
        <v>309</v>
      </c>
      <c r="G92" s="56" t="s">
        <v>9</v>
      </c>
      <c r="H92" s="56" t="s">
        <v>9</v>
      </c>
      <c r="I92" s="56" t="s">
        <v>9</v>
      </c>
      <c r="J92" s="56" t="s">
        <v>9</v>
      </c>
      <c r="K92" s="56" t="s">
        <v>9</v>
      </c>
      <c r="L92" s="46" t="str">
        <f t="shared" si="35"/>
        <v>Fornecedores</v>
      </c>
      <c r="M92" s="46" t="str">
        <f t="shared" si="36"/>
        <v>Segmentos dos Profissionais</v>
      </c>
      <c r="N92" s="46" t="str">
        <f t="shared" si="36"/>
        <v>Segmento Laboratorial</v>
      </c>
      <c r="O92" s="46" t="str">
        <f t="shared" si="36"/>
        <v>Lab Fabricante</v>
      </c>
      <c r="P92" s="46" t="s">
        <v>117</v>
      </c>
      <c r="Q92" s="46" t="s">
        <v>656</v>
      </c>
      <c r="R92" s="33" t="s">
        <v>9</v>
      </c>
      <c r="S92" s="33" t="str">
        <f t="shared" si="37"/>
        <v>Fornecedores</v>
      </c>
      <c r="T92" s="33" t="str">
        <f t="shared" si="37"/>
        <v>Segmentos dos Profissionais</v>
      </c>
      <c r="U92" s="33" t="str">
        <f t="shared" si="37"/>
        <v>Segmento Laboratorial</v>
      </c>
      <c r="V92" s="33" t="s">
        <v>180</v>
      </c>
      <c r="W92" s="53" t="str">
        <f t="shared" si="28"/>
        <v>Key-FABR-92</v>
      </c>
      <c r="X92" s="33" t="s">
        <v>9</v>
      </c>
      <c r="Y92" s="33" t="s">
        <v>9</v>
      </c>
      <c r="Z92" s="33" t="s">
        <v>373</v>
      </c>
      <c r="AA92" s="33" t="s">
        <v>789</v>
      </c>
    </row>
    <row r="93" spans="1:27" ht="6.65" customHeight="1" x14ac:dyDescent="0.4">
      <c r="A93" s="52">
        <v>93</v>
      </c>
      <c r="B93" s="47" t="s">
        <v>888</v>
      </c>
      <c r="C93" s="49" t="s">
        <v>94</v>
      </c>
      <c r="D93" s="47" t="s">
        <v>284</v>
      </c>
      <c r="E93" s="47" t="s">
        <v>101</v>
      </c>
      <c r="F93" s="57" t="s">
        <v>552</v>
      </c>
      <c r="G93" s="56" t="s">
        <v>9</v>
      </c>
      <c r="H93" s="56" t="s">
        <v>9</v>
      </c>
      <c r="I93" s="56" t="s">
        <v>9</v>
      </c>
      <c r="J93" s="56" t="s">
        <v>9</v>
      </c>
      <c r="K93" s="56" t="s">
        <v>9</v>
      </c>
      <c r="L93" s="46" t="str">
        <f t="shared" si="35"/>
        <v>Fornecedores</v>
      </c>
      <c r="M93" s="46" t="str">
        <f t="shared" si="36"/>
        <v>Segmentos dos Profissionais</v>
      </c>
      <c r="N93" s="46" t="str">
        <f t="shared" si="36"/>
        <v>Segmento Laboratorial</v>
      </c>
      <c r="O93" s="46" t="str">
        <f t="shared" si="36"/>
        <v>Lab Fornecedor</v>
      </c>
      <c r="P93" s="46" t="s">
        <v>177</v>
      </c>
      <c r="Q93" s="46" t="s">
        <v>657</v>
      </c>
      <c r="R93" s="33" t="s">
        <v>9</v>
      </c>
      <c r="S93" s="33" t="str">
        <f t="shared" si="37"/>
        <v>Fornecedores</v>
      </c>
      <c r="T93" s="33" t="str">
        <f t="shared" si="37"/>
        <v>Segmentos dos Profissionais</v>
      </c>
      <c r="U93" s="33" t="str">
        <f t="shared" si="37"/>
        <v>Segmento Laboratorial</v>
      </c>
      <c r="V93" s="33" t="s">
        <v>180</v>
      </c>
      <c r="W93" s="53" t="str">
        <f t="shared" si="28"/>
        <v>Key-FABR-93</v>
      </c>
      <c r="X93" s="33" t="s">
        <v>9</v>
      </c>
      <c r="Y93" s="33" t="s">
        <v>9</v>
      </c>
      <c r="Z93" s="33" t="s">
        <v>380</v>
      </c>
      <c r="AA93" s="33" t="s">
        <v>790</v>
      </c>
    </row>
    <row r="94" spans="1:27" ht="6.65" customHeight="1" x14ac:dyDescent="0.4">
      <c r="A94" s="52">
        <v>94</v>
      </c>
      <c r="B94" s="47" t="s">
        <v>888</v>
      </c>
      <c r="C94" s="49" t="s">
        <v>94</v>
      </c>
      <c r="D94" s="47" t="s">
        <v>284</v>
      </c>
      <c r="E94" s="47" t="s">
        <v>101</v>
      </c>
      <c r="F94" s="57" t="s">
        <v>310</v>
      </c>
      <c r="G94" s="56" t="s">
        <v>9</v>
      </c>
      <c r="H94" s="56" t="s">
        <v>9</v>
      </c>
      <c r="I94" s="56" t="s">
        <v>9</v>
      </c>
      <c r="J94" s="56" t="s">
        <v>9</v>
      </c>
      <c r="K94" s="56" t="s">
        <v>9</v>
      </c>
      <c r="L94" s="46" t="str">
        <f t="shared" si="35"/>
        <v>Fornecedores</v>
      </c>
      <c r="M94" s="46" t="str">
        <f t="shared" si="36"/>
        <v>Segmentos dos Profissionais</v>
      </c>
      <c r="N94" s="46" t="str">
        <f t="shared" si="36"/>
        <v>Segmento Laboratorial</v>
      </c>
      <c r="O94" s="46" t="str">
        <f t="shared" si="36"/>
        <v>Lab Projetista</v>
      </c>
      <c r="P94" s="46" t="s">
        <v>224</v>
      </c>
      <c r="Q94" s="46" t="s">
        <v>658</v>
      </c>
      <c r="R94" s="33" t="s">
        <v>9</v>
      </c>
      <c r="S94" s="33" t="str">
        <f t="shared" si="37"/>
        <v>Fornecedores</v>
      </c>
      <c r="T94" s="33" t="str">
        <f t="shared" si="37"/>
        <v>Segmentos dos Profissionais</v>
      </c>
      <c r="U94" s="33" t="str">
        <f t="shared" si="37"/>
        <v>Segmento Laboratorial</v>
      </c>
      <c r="V94" s="33" t="s">
        <v>180</v>
      </c>
      <c r="W94" s="53" t="str">
        <f t="shared" si="28"/>
        <v>Key-FABR-94</v>
      </c>
      <c r="X94" s="33" t="s">
        <v>9</v>
      </c>
      <c r="Y94" s="33" t="s">
        <v>9</v>
      </c>
      <c r="Z94" s="33" t="s">
        <v>384</v>
      </c>
      <c r="AA94" s="33" t="s">
        <v>791</v>
      </c>
    </row>
    <row r="95" spans="1:27" ht="6.65" customHeight="1" x14ac:dyDescent="0.4">
      <c r="A95" s="52">
        <v>95</v>
      </c>
      <c r="B95" s="47" t="s">
        <v>888</v>
      </c>
      <c r="C95" s="49" t="s">
        <v>94</v>
      </c>
      <c r="D95" s="47" t="s">
        <v>284</v>
      </c>
      <c r="E95" s="47" t="s">
        <v>101</v>
      </c>
      <c r="F95" s="57" t="s">
        <v>311</v>
      </c>
      <c r="G95" s="56" t="s">
        <v>9</v>
      </c>
      <c r="H95" s="56" t="s">
        <v>9</v>
      </c>
      <c r="I95" s="56" t="s">
        <v>9</v>
      </c>
      <c r="J95" s="56" t="s">
        <v>9</v>
      </c>
      <c r="K95" s="56" t="s">
        <v>9</v>
      </c>
      <c r="L95" s="46" t="str">
        <f t="shared" si="35"/>
        <v>Fornecedores</v>
      </c>
      <c r="M95" s="46" t="str">
        <f t="shared" si="36"/>
        <v>Segmentos dos Profissionais</v>
      </c>
      <c r="N95" s="46" t="str">
        <f t="shared" si="36"/>
        <v>Segmento Laboratorial</v>
      </c>
      <c r="O95" s="46" t="str">
        <f t="shared" si="36"/>
        <v>Lab Serviço</v>
      </c>
      <c r="P95" s="46" t="s">
        <v>114</v>
      </c>
      <c r="Q95" s="46" t="s">
        <v>659</v>
      </c>
      <c r="R95" s="33" t="s">
        <v>9</v>
      </c>
      <c r="S95" s="33" t="str">
        <f t="shared" si="37"/>
        <v>Fornecedores</v>
      </c>
      <c r="T95" s="33" t="str">
        <f t="shared" si="37"/>
        <v>Segmentos dos Profissionais</v>
      </c>
      <c r="U95" s="33" t="str">
        <f t="shared" si="37"/>
        <v>Segmento Laboratorial</v>
      </c>
      <c r="V95" s="33" t="s">
        <v>180</v>
      </c>
      <c r="W95" s="53" t="str">
        <f t="shared" si="28"/>
        <v>Key-FABR-95</v>
      </c>
      <c r="X95" s="33" t="s">
        <v>9</v>
      </c>
      <c r="Y95" s="33" t="s">
        <v>9</v>
      </c>
      <c r="Z95" s="33" t="s">
        <v>383</v>
      </c>
      <c r="AA95" s="33" t="s">
        <v>792</v>
      </c>
    </row>
    <row r="96" spans="1:27" ht="6.65" customHeight="1" x14ac:dyDescent="0.4">
      <c r="A96" s="52">
        <v>96</v>
      </c>
      <c r="B96" s="47" t="s">
        <v>888</v>
      </c>
      <c r="C96" s="49" t="s">
        <v>94</v>
      </c>
      <c r="D96" s="47" t="s">
        <v>284</v>
      </c>
      <c r="E96" s="47" t="s">
        <v>101</v>
      </c>
      <c r="F96" s="57" t="s">
        <v>565</v>
      </c>
      <c r="G96" s="56" t="s">
        <v>9</v>
      </c>
      <c r="H96" s="56" t="s">
        <v>9</v>
      </c>
      <c r="I96" s="56" t="s">
        <v>9</v>
      </c>
      <c r="J96" s="56" t="s">
        <v>9</v>
      </c>
      <c r="K96" s="56" t="s">
        <v>9</v>
      </c>
      <c r="L96" s="46" t="str">
        <f t="shared" si="35"/>
        <v>Fornecedores</v>
      </c>
      <c r="M96" s="46" t="str">
        <f t="shared" si="36"/>
        <v>Segmentos dos Profissionais</v>
      </c>
      <c r="N96" s="46" t="str">
        <f t="shared" si="36"/>
        <v>Segmento Laboratorial</v>
      </c>
      <c r="O96" s="46" t="str">
        <f t="shared" si="36"/>
        <v>Lab Vendedor</v>
      </c>
      <c r="P96" s="46" t="s">
        <v>445</v>
      </c>
      <c r="Q96" s="46" t="s">
        <v>660</v>
      </c>
      <c r="R96" s="33" t="s">
        <v>9</v>
      </c>
      <c r="S96" s="33" t="str">
        <f t="shared" si="37"/>
        <v>Fornecedores</v>
      </c>
      <c r="T96" s="33" t="str">
        <f t="shared" si="37"/>
        <v>Segmentos dos Profissionais</v>
      </c>
      <c r="U96" s="33" t="str">
        <f t="shared" si="37"/>
        <v>Segmento Laboratorial</v>
      </c>
      <c r="V96" s="33" t="s">
        <v>180</v>
      </c>
      <c r="W96" s="53" t="str">
        <f t="shared" si="28"/>
        <v>Key-FABR-96</v>
      </c>
      <c r="X96" s="33" t="s">
        <v>9</v>
      </c>
      <c r="Y96" s="33" t="s">
        <v>9</v>
      </c>
      <c r="Z96" s="33" t="s">
        <v>381</v>
      </c>
      <c r="AA96" s="33" t="s">
        <v>793</v>
      </c>
    </row>
    <row r="97" spans="1:27" ht="6.65" customHeight="1" x14ac:dyDescent="0.4">
      <c r="A97" s="52">
        <v>97</v>
      </c>
      <c r="B97" s="47" t="s">
        <v>888</v>
      </c>
      <c r="C97" s="49" t="s">
        <v>94</v>
      </c>
      <c r="D97" s="47" t="s">
        <v>284</v>
      </c>
      <c r="E97" s="47" t="s">
        <v>359</v>
      </c>
      <c r="F97" s="57" t="s">
        <v>420</v>
      </c>
      <c r="G97" s="56" t="s">
        <v>9</v>
      </c>
      <c r="H97" s="56" t="s">
        <v>9</v>
      </c>
      <c r="I97" s="56" t="s">
        <v>9</v>
      </c>
      <c r="J97" s="56" t="s">
        <v>9</v>
      </c>
      <c r="K97" s="56" t="s">
        <v>9</v>
      </c>
      <c r="L97" s="46" t="str">
        <f t="shared" si="35"/>
        <v>Fornecedores</v>
      </c>
      <c r="M97" s="46" t="str">
        <f t="shared" si="36"/>
        <v>Segmentos dos Profissionais</v>
      </c>
      <c r="N97" s="46" t="str">
        <f t="shared" si="36"/>
        <v>Segmento de Mecânica</v>
      </c>
      <c r="O97" s="46" t="str">
        <f t="shared" si="36"/>
        <v>Mec Compra</v>
      </c>
      <c r="P97" s="46" t="s">
        <v>436</v>
      </c>
      <c r="Q97" s="46" t="s">
        <v>661</v>
      </c>
      <c r="R97" s="33" t="s">
        <v>9</v>
      </c>
      <c r="S97" s="33" t="str">
        <f t="shared" si="37"/>
        <v>Fornecedores</v>
      </c>
      <c r="T97" s="33" t="str">
        <f t="shared" si="37"/>
        <v>Segmentos dos Profissionais</v>
      </c>
      <c r="U97" s="33" t="str">
        <f t="shared" si="37"/>
        <v>Segmento de Mecânica</v>
      </c>
      <c r="V97" s="33" t="s">
        <v>180</v>
      </c>
      <c r="W97" s="53" t="str">
        <f t="shared" si="28"/>
        <v>Key-FABR-97</v>
      </c>
      <c r="X97" s="33" t="s">
        <v>9</v>
      </c>
      <c r="Y97" s="33" t="s">
        <v>9</v>
      </c>
      <c r="Z97" s="33" t="s">
        <v>440</v>
      </c>
      <c r="AA97" s="33" t="s">
        <v>794</v>
      </c>
    </row>
    <row r="98" spans="1:27" ht="6.65" customHeight="1" x14ac:dyDescent="0.4">
      <c r="A98" s="52">
        <v>98</v>
      </c>
      <c r="B98" s="47" t="s">
        <v>888</v>
      </c>
      <c r="C98" s="49" t="s">
        <v>94</v>
      </c>
      <c r="D98" s="47" t="s">
        <v>284</v>
      </c>
      <c r="E98" s="47" t="s">
        <v>359</v>
      </c>
      <c r="F98" s="57" t="s">
        <v>292</v>
      </c>
      <c r="G98" s="56" t="s">
        <v>9</v>
      </c>
      <c r="H98" s="56" t="s">
        <v>9</v>
      </c>
      <c r="I98" s="56" t="s">
        <v>9</v>
      </c>
      <c r="J98" s="56" t="s">
        <v>9</v>
      </c>
      <c r="K98" s="56" t="s">
        <v>9</v>
      </c>
      <c r="L98" s="46" t="str">
        <f t="shared" si="35"/>
        <v>Fornecedores</v>
      </c>
      <c r="M98" s="46" t="str">
        <f t="shared" si="36"/>
        <v>Segmentos dos Profissionais</v>
      </c>
      <c r="N98" s="46" t="str">
        <f t="shared" si="36"/>
        <v>Segmento de Mecânica</v>
      </c>
      <c r="O98" s="46" t="str">
        <f t="shared" si="36"/>
        <v>Mec Consultor</v>
      </c>
      <c r="P98" s="46" t="s">
        <v>372</v>
      </c>
      <c r="Q98" s="46" t="s">
        <v>662</v>
      </c>
      <c r="R98" s="33" t="s">
        <v>9</v>
      </c>
      <c r="S98" s="33" t="str">
        <f t="shared" si="37"/>
        <v>Fornecedores</v>
      </c>
      <c r="T98" s="33" t="str">
        <f t="shared" si="37"/>
        <v>Segmentos dos Profissionais</v>
      </c>
      <c r="U98" s="33" t="str">
        <f t="shared" si="37"/>
        <v>Segmento de Mecânica</v>
      </c>
      <c r="V98" s="33" t="s">
        <v>180</v>
      </c>
      <c r="W98" s="53" t="str">
        <f t="shared" si="28"/>
        <v>Key-FABR-98</v>
      </c>
      <c r="X98" s="33" t="s">
        <v>9</v>
      </c>
      <c r="Y98" s="33" t="s">
        <v>9</v>
      </c>
      <c r="Z98" s="33" t="s">
        <v>382</v>
      </c>
      <c r="AA98" s="33" t="s">
        <v>795</v>
      </c>
    </row>
    <row r="99" spans="1:27" ht="6.65" customHeight="1" x14ac:dyDescent="0.4">
      <c r="A99" s="52">
        <v>99</v>
      </c>
      <c r="B99" s="47" t="s">
        <v>888</v>
      </c>
      <c r="C99" s="49" t="s">
        <v>94</v>
      </c>
      <c r="D99" s="47" t="s">
        <v>284</v>
      </c>
      <c r="E99" s="47" t="s">
        <v>359</v>
      </c>
      <c r="F99" s="57" t="s">
        <v>487</v>
      </c>
      <c r="G99" s="56" t="s">
        <v>9</v>
      </c>
      <c r="H99" s="56" t="s">
        <v>9</v>
      </c>
      <c r="I99" s="56" t="s">
        <v>9</v>
      </c>
      <c r="J99" s="56" t="s">
        <v>9</v>
      </c>
      <c r="K99" s="56" t="s">
        <v>9</v>
      </c>
      <c r="L99" s="46" t="s">
        <v>94</v>
      </c>
      <c r="M99" s="46" t="s">
        <v>453</v>
      </c>
      <c r="N99" s="46" t="s">
        <v>466</v>
      </c>
      <c r="O99" s="46" t="s">
        <v>467</v>
      </c>
      <c r="P99" s="46" t="s">
        <v>500</v>
      </c>
      <c r="Q99" s="46" t="s">
        <v>528</v>
      </c>
      <c r="R99" s="33" t="s">
        <v>9</v>
      </c>
      <c r="S99" s="33" t="s">
        <v>94</v>
      </c>
      <c r="T99" s="33" t="s">
        <v>453</v>
      </c>
      <c r="U99" s="33" t="s">
        <v>466</v>
      </c>
      <c r="V99" s="33" t="s">
        <v>180</v>
      </c>
      <c r="W99" s="53" t="str">
        <f t="shared" si="28"/>
        <v>Key-FABR-99</v>
      </c>
      <c r="X99" s="33" t="s">
        <v>9</v>
      </c>
      <c r="Y99" s="33" t="s">
        <v>9</v>
      </c>
      <c r="Z99" s="33" t="s">
        <v>493</v>
      </c>
      <c r="AA99" s="33" t="s">
        <v>512</v>
      </c>
    </row>
    <row r="100" spans="1:27" ht="6.65" customHeight="1" x14ac:dyDescent="0.4">
      <c r="A100" s="52">
        <v>100</v>
      </c>
      <c r="B100" s="47" t="s">
        <v>888</v>
      </c>
      <c r="C100" s="49" t="s">
        <v>94</v>
      </c>
      <c r="D100" s="47" t="s">
        <v>284</v>
      </c>
      <c r="E100" s="47" t="s">
        <v>359</v>
      </c>
      <c r="F100" s="57" t="s">
        <v>293</v>
      </c>
      <c r="G100" s="56" t="s">
        <v>9</v>
      </c>
      <c r="H100" s="56" t="s">
        <v>9</v>
      </c>
      <c r="I100" s="56" t="s">
        <v>9</v>
      </c>
      <c r="J100" s="56" t="s">
        <v>9</v>
      </c>
      <c r="K100" s="56" t="s">
        <v>9</v>
      </c>
      <c r="L100" s="46" t="str">
        <f t="shared" ref="L100:L107" si="38">_xlfn.CONCAT(SUBSTITUTE(C100,"1.",""))</f>
        <v>Fornecedores</v>
      </c>
      <c r="M100" s="46" t="str">
        <f t="shared" ref="M100:O107" si="39">_xlfn.CONCAT(SUBSTITUTE(D100,"."," "))</f>
        <v>Segmentos dos Profissionais</v>
      </c>
      <c r="N100" s="46" t="str">
        <f t="shared" si="39"/>
        <v>Segmento de Mecânica</v>
      </c>
      <c r="O100" s="46" t="str">
        <f t="shared" si="39"/>
        <v>Mec Empresa Consultora</v>
      </c>
      <c r="P100" s="46" t="s">
        <v>302</v>
      </c>
      <c r="Q100" s="46" t="s">
        <v>663</v>
      </c>
      <c r="R100" s="33" t="s">
        <v>9</v>
      </c>
      <c r="S100" s="33" t="str">
        <f t="shared" ref="S100:U107" si="40">SUBSTITUTE(C100, ".", " ")</f>
        <v>Fornecedores</v>
      </c>
      <c r="T100" s="33" t="str">
        <f t="shared" si="40"/>
        <v>Segmentos dos Profissionais</v>
      </c>
      <c r="U100" s="33" t="str">
        <f t="shared" si="40"/>
        <v>Segmento de Mecânica</v>
      </c>
      <c r="V100" s="33" t="s">
        <v>180</v>
      </c>
      <c r="W100" s="53" t="str">
        <f t="shared" si="28"/>
        <v>Key-FABR-100</v>
      </c>
      <c r="X100" s="33" t="s">
        <v>9</v>
      </c>
      <c r="Y100" s="33" t="s">
        <v>9</v>
      </c>
      <c r="Z100" s="33" t="s">
        <v>382</v>
      </c>
      <c r="AA100" s="33" t="s">
        <v>796</v>
      </c>
    </row>
    <row r="101" spans="1:27" ht="6.65" customHeight="1" x14ac:dyDescent="0.4">
      <c r="A101" s="52">
        <v>101</v>
      </c>
      <c r="B101" s="47" t="s">
        <v>888</v>
      </c>
      <c r="C101" s="49" t="s">
        <v>94</v>
      </c>
      <c r="D101" s="47" t="s">
        <v>284</v>
      </c>
      <c r="E101" s="47" t="s">
        <v>359</v>
      </c>
      <c r="F101" s="57" t="s">
        <v>294</v>
      </c>
      <c r="G101" s="56" t="s">
        <v>9</v>
      </c>
      <c r="H101" s="56" t="s">
        <v>9</v>
      </c>
      <c r="I101" s="56" t="s">
        <v>9</v>
      </c>
      <c r="J101" s="56" t="s">
        <v>9</v>
      </c>
      <c r="K101" s="56" t="s">
        <v>9</v>
      </c>
      <c r="L101" s="46" t="str">
        <f t="shared" si="38"/>
        <v>Fornecedores</v>
      </c>
      <c r="M101" s="46" t="str">
        <f t="shared" si="39"/>
        <v>Segmentos dos Profissionais</v>
      </c>
      <c r="N101" s="46" t="str">
        <f t="shared" si="39"/>
        <v>Segmento de Mecânica</v>
      </c>
      <c r="O101" s="46" t="str">
        <f t="shared" si="39"/>
        <v>Mec Fabricante</v>
      </c>
      <c r="P101" s="46" t="s">
        <v>303</v>
      </c>
      <c r="Q101" s="46" t="s">
        <v>664</v>
      </c>
      <c r="R101" s="33" t="s">
        <v>9</v>
      </c>
      <c r="S101" s="33" t="str">
        <f t="shared" si="40"/>
        <v>Fornecedores</v>
      </c>
      <c r="T101" s="33" t="str">
        <f t="shared" si="40"/>
        <v>Segmentos dos Profissionais</v>
      </c>
      <c r="U101" s="33" t="str">
        <f t="shared" si="40"/>
        <v>Segmento de Mecânica</v>
      </c>
      <c r="V101" s="33" t="s">
        <v>180</v>
      </c>
      <c r="W101" s="53" t="str">
        <f t="shared" si="28"/>
        <v>Key-FABR-101</v>
      </c>
      <c r="X101" s="33" t="s">
        <v>9</v>
      </c>
      <c r="Y101" s="33" t="s">
        <v>9</v>
      </c>
      <c r="Z101" s="33" t="s">
        <v>373</v>
      </c>
      <c r="AA101" s="33" t="s">
        <v>797</v>
      </c>
    </row>
    <row r="102" spans="1:27" ht="6.65" customHeight="1" x14ac:dyDescent="0.4">
      <c r="A102" s="52">
        <v>102</v>
      </c>
      <c r="B102" s="47" t="s">
        <v>888</v>
      </c>
      <c r="C102" s="49" t="s">
        <v>94</v>
      </c>
      <c r="D102" s="47" t="s">
        <v>284</v>
      </c>
      <c r="E102" s="47" t="s">
        <v>359</v>
      </c>
      <c r="F102" s="57" t="s">
        <v>553</v>
      </c>
      <c r="G102" s="56" t="s">
        <v>9</v>
      </c>
      <c r="H102" s="56" t="s">
        <v>9</v>
      </c>
      <c r="I102" s="56" t="s">
        <v>9</v>
      </c>
      <c r="J102" s="56" t="s">
        <v>9</v>
      </c>
      <c r="K102" s="56" t="s">
        <v>9</v>
      </c>
      <c r="L102" s="46" t="str">
        <f t="shared" si="38"/>
        <v>Fornecedores</v>
      </c>
      <c r="M102" s="46" t="str">
        <f t="shared" si="39"/>
        <v>Segmentos dos Profissionais</v>
      </c>
      <c r="N102" s="46" t="str">
        <f t="shared" si="39"/>
        <v>Segmento de Mecânica</v>
      </c>
      <c r="O102" s="46" t="str">
        <f t="shared" si="39"/>
        <v>Mec Fornecedor</v>
      </c>
      <c r="P102" s="46" t="s">
        <v>304</v>
      </c>
      <c r="Q102" s="46" t="s">
        <v>665</v>
      </c>
      <c r="R102" s="33" t="s">
        <v>9</v>
      </c>
      <c r="S102" s="33" t="str">
        <f t="shared" si="40"/>
        <v>Fornecedores</v>
      </c>
      <c r="T102" s="33" t="str">
        <f t="shared" si="40"/>
        <v>Segmentos dos Profissionais</v>
      </c>
      <c r="U102" s="33" t="str">
        <f t="shared" si="40"/>
        <v>Segmento de Mecânica</v>
      </c>
      <c r="V102" s="33" t="s">
        <v>180</v>
      </c>
      <c r="W102" s="53" t="str">
        <f t="shared" si="28"/>
        <v>Key-FABR-102</v>
      </c>
      <c r="X102" s="33" t="s">
        <v>9</v>
      </c>
      <c r="Y102" s="33" t="s">
        <v>9</v>
      </c>
      <c r="Z102" s="33" t="s">
        <v>380</v>
      </c>
      <c r="AA102" s="33" t="s">
        <v>798</v>
      </c>
    </row>
    <row r="103" spans="1:27" ht="6.65" customHeight="1" x14ac:dyDescent="0.4">
      <c r="A103" s="52">
        <v>103</v>
      </c>
      <c r="B103" s="47" t="s">
        <v>888</v>
      </c>
      <c r="C103" s="49" t="s">
        <v>94</v>
      </c>
      <c r="D103" s="47" t="s">
        <v>284</v>
      </c>
      <c r="E103" s="47" t="s">
        <v>359</v>
      </c>
      <c r="F103" s="57" t="s">
        <v>295</v>
      </c>
      <c r="G103" s="56" t="s">
        <v>9</v>
      </c>
      <c r="H103" s="56" t="s">
        <v>9</v>
      </c>
      <c r="I103" s="56" t="s">
        <v>9</v>
      </c>
      <c r="J103" s="56" t="s">
        <v>9</v>
      </c>
      <c r="K103" s="56" t="s">
        <v>9</v>
      </c>
      <c r="L103" s="46" t="str">
        <f t="shared" si="38"/>
        <v>Fornecedores</v>
      </c>
      <c r="M103" s="46" t="str">
        <f t="shared" si="39"/>
        <v>Segmentos dos Profissionais</v>
      </c>
      <c r="N103" s="46" t="str">
        <f t="shared" si="39"/>
        <v>Segmento de Mecânica</v>
      </c>
      <c r="O103" s="46" t="str">
        <f t="shared" si="39"/>
        <v>Mec Projetista</v>
      </c>
      <c r="P103" s="46" t="s">
        <v>305</v>
      </c>
      <c r="Q103" s="46" t="s">
        <v>666</v>
      </c>
      <c r="R103" s="33" t="s">
        <v>9</v>
      </c>
      <c r="S103" s="33" t="str">
        <f t="shared" si="40"/>
        <v>Fornecedores</v>
      </c>
      <c r="T103" s="33" t="str">
        <f t="shared" si="40"/>
        <v>Segmentos dos Profissionais</v>
      </c>
      <c r="U103" s="33" t="str">
        <f t="shared" si="40"/>
        <v>Segmento de Mecânica</v>
      </c>
      <c r="V103" s="33" t="s">
        <v>180</v>
      </c>
      <c r="W103" s="53" t="str">
        <f t="shared" si="28"/>
        <v>Key-FABR-103</v>
      </c>
      <c r="X103" s="33" t="s">
        <v>9</v>
      </c>
      <c r="Y103" s="33" t="s">
        <v>9</v>
      </c>
      <c r="Z103" s="33" t="s">
        <v>376</v>
      </c>
      <c r="AA103" s="33" t="s">
        <v>799</v>
      </c>
    </row>
    <row r="104" spans="1:27" ht="6.65" customHeight="1" x14ac:dyDescent="0.4">
      <c r="A104" s="52">
        <v>104</v>
      </c>
      <c r="B104" s="47" t="s">
        <v>888</v>
      </c>
      <c r="C104" s="49" t="s">
        <v>94</v>
      </c>
      <c r="D104" s="47" t="s">
        <v>284</v>
      </c>
      <c r="E104" s="47" t="s">
        <v>359</v>
      </c>
      <c r="F104" s="57" t="s">
        <v>296</v>
      </c>
      <c r="G104" s="56" t="s">
        <v>9</v>
      </c>
      <c r="H104" s="56" t="s">
        <v>9</v>
      </c>
      <c r="I104" s="56" t="s">
        <v>9</v>
      </c>
      <c r="J104" s="56" t="s">
        <v>9</v>
      </c>
      <c r="K104" s="56" t="s">
        <v>9</v>
      </c>
      <c r="L104" s="46" t="str">
        <f t="shared" si="38"/>
        <v>Fornecedores</v>
      </c>
      <c r="M104" s="46" t="str">
        <f t="shared" si="39"/>
        <v>Segmentos dos Profissionais</v>
      </c>
      <c r="N104" s="46" t="str">
        <f t="shared" si="39"/>
        <v>Segmento de Mecânica</v>
      </c>
      <c r="O104" s="46" t="str">
        <f t="shared" si="39"/>
        <v>Mec Serviço</v>
      </c>
      <c r="P104" s="46" t="s">
        <v>306</v>
      </c>
      <c r="Q104" s="46" t="s">
        <v>667</v>
      </c>
      <c r="R104" s="33" t="s">
        <v>9</v>
      </c>
      <c r="S104" s="33" t="str">
        <f t="shared" si="40"/>
        <v>Fornecedores</v>
      </c>
      <c r="T104" s="33" t="str">
        <f t="shared" si="40"/>
        <v>Segmentos dos Profissionais</v>
      </c>
      <c r="U104" s="33" t="str">
        <f t="shared" si="40"/>
        <v>Segmento de Mecânica</v>
      </c>
      <c r="V104" s="33" t="s">
        <v>180</v>
      </c>
      <c r="W104" s="53" t="str">
        <f t="shared" si="28"/>
        <v>Key-FABR-104</v>
      </c>
      <c r="X104" s="33" t="s">
        <v>9</v>
      </c>
      <c r="Y104" s="33" t="s">
        <v>9</v>
      </c>
      <c r="Z104" s="33" t="s">
        <v>383</v>
      </c>
      <c r="AA104" s="33" t="s">
        <v>800</v>
      </c>
    </row>
    <row r="105" spans="1:27" ht="6.65" customHeight="1" x14ac:dyDescent="0.4">
      <c r="A105" s="52">
        <v>105</v>
      </c>
      <c r="B105" s="47" t="s">
        <v>888</v>
      </c>
      <c r="C105" s="49" t="s">
        <v>94</v>
      </c>
      <c r="D105" s="47" t="s">
        <v>284</v>
      </c>
      <c r="E105" s="47" t="s">
        <v>359</v>
      </c>
      <c r="F105" s="57" t="s">
        <v>566</v>
      </c>
      <c r="G105" s="56" t="s">
        <v>9</v>
      </c>
      <c r="H105" s="56" t="s">
        <v>9</v>
      </c>
      <c r="I105" s="56" t="s">
        <v>9</v>
      </c>
      <c r="J105" s="56" t="s">
        <v>9</v>
      </c>
      <c r="K105" s="56" t="s">
        <v>9</v>
      </c>
      <c r="L105" s="46" t="str">
        <f t="shared" si="38"/>
        <v>Fornecedores</v>
      </c>
      <c r="M105" s="46" t="str">
        <f t="shared" si="39"/>
        <v>Segmentos dos Profissionais</v>
      </c>
      <c r="N105" s="46" t="str">
        <f t="shared" si="39"/>
        <v>Segmento de Mecânica</v>
      </c>
      <c r="O105" s="46" t="str">
        <f t="shared" si="39"/>
        <v>Mec Vendedor</v>
      </c>
      <c r="P105" s="46" t="s">
        <v>447</v>
      </c>
      <c r="Q105" s="46" t="s">
        <v>668</v>
      </c>
      <c r="R105" s="33" t="s">
        <v>9</v>
      </c>
      <c r="S105" s="33" t="str">
        <f t="shared" si="40"/>
        <v>Fornecedores</v>
      </c>
      <c r="T105" s="33" t="str">
        <f t="shared" si="40"/>
        <v>Segmentos dos Profissionais</v>
      </c>
      <c r="U105" s="33" t="str">
        <f t="shared" si="40"/>
        <v>Segmento de Mecânica</v>
      </c>
      <c r="V105" s="33" t="s">
        <v>180</v>
      </c>
      <c r="W105" s="53" t="str">
        <f t="shared" si="28"/>
        <v>Key-FABR-105</v>
      </c>
      <c r="X105" s="33" t="s">
        <v>9</v>
      </c>
      <c r="Y105" s="33" t="s">
        <v>9</v>
      </c>
      <c r="Z105" s="33" t="s">
        <v>381</v>
      </c>
      <c r="AA105" s="33" t="s">
        <v>801</v>
      </c>
    </row>
    <row r="106" spans="1:27" ht="6.65" customHeight="1" x14ac:dyDescent="0.4">
      <c r="A106" s="52">
        <v>106</v>
      </c>
      <c r="B106" s="47" t="s">
        <v>888</v>
      </c>
      <c r="C106" s="49" t="s">
        <v>94</v>
      </c>
      <c r="D106" s="47" t="s">
        <v>284</v>
      </c>
      <c r="E106" s="47" t="s">
        <v>99</v>
      </c>
      <c r="F106" s="57" t="s">
        <v>421</v>
      </c>
      <c r="G106" s="56" t="s">
        <v>9</v>
      </c>
      <c r="H106" s="56" t="s">
        <v>9</v>
      </c>
      <c r="I106" s="56" t="s">
        <v>9</v>
      </c>
      <c r="J106" s="56" t="s">
        <v>9</v>
      </c>
      <c r="K106" s="56" t="s">
        <v>9</v>
      </c>
      <c r="L106" s="46" t="str">
        <f t="shared" si="38"/>
        <v>Fornecedores</v>
      </c>
      <c r="M106" s="46" t="str">
        <f t="shared" si="39"/>
        <v>Segmentos dos Profissionais</v>
      </c>
      <c r="N106" s="46" t="str">
        <f t="shared" si="39"/>
        <v>Segmento de Mobiliário</v>
      </c>
      <c r="O106" s="46" t="str">
        <f t="shared" si="39"/>
        <v>Mob Compra</v>
      </c>
      <c r="P106" s="46" t="s">
        <v>435</v>
      </c>
      <c r="Q106" s="46" t="s">
        <v>669</v>
      </c>
      <c r="R106" s="33" t="s">
        <v>9</v>
      </c>
      <c r="S106" s="33" t="str">
        <f t="shared" si="40"/>
        <v>Fornecedores</v>
      </c>
      <c r="T106" s="33" t="str">
        <f t="shared" si="40"/>
        <v>Segmentos dos Profissionais</v>
      </c>
      <c r="U106" s="33" t="str">
        <f t="shared" si="40"/>
        <v>Segmento de Mobiliário</v>
      </c>
      <c r="V106" s="33" t="s">
        <v>180</v>
      </c>
      <c r="W106" s="53" t="str">
        <f t="shared" si="28"/>
        <v>Key-FABR-106</v>
      </c>
      <c r="X106" s="33" t="s">
        <v>9</v>
      </c>
      <c r="Y106" s="33" t="s">
        <v>9</v>
      </c>
      <c r="Z106" s="33" t="s">
        <v>440</v>
      </c>
      <c r="AA106" s="33" t="s">
        <v>802</v>
      </c>
    </row>
    <row r="107" spans="1:27" ht="6.65" customHeight="1" x14ac:dyDescent="0.4">
      <c r="A107" s="52">
        <v>107</v>
      </c>
      <c r="B107" s="47" t="s">
        <v>888</v>
      </c>
      <c r="C107" s="49" t="s">
        <v>94</v>
      </c>
      <c r="D107" s="47" t="s">
        <v>284</v>
      </c>
      <c r="E107" s="47" t="s">
        <v>99</v>
      </c>
      <c r="F107" s="57" t="s">
        <v>297</v>
      </c>
      <c r="G107" s="56" t="s">
        <v>9</v>
      </c>
      <c r="H107" s="56" t="s">
        <v>9</v>
      </c>
      <c r="I107" s="56" t="s">
        <v>9</v>
      </c>
      <c r="J107" s="56" t="s">
        <v>9</v>
      </c>
      <c r="K107" s="56" t="s">
        <v>9</v>
      </c>
      <c r="L107" s="46" t="str">
        <f t="shared" si="38"/>
        <v>Fornecedores</v>
      </c>
      <c r="M107" s="46" t="str">
        <f t="shared" si="39"/>
        <v>Segmentos dos Profissionais</v>
      </c>
      <c r="N107" s="46" t="str">
        <f t="shared" si="39"/>
        <v>Segmento de Mobiliário</v>
      </c>
      <c r="O107" s="46" t="str">
        <f t="shared" si="39"/>
        <v>Mob Consultor</v>
      </c>
      <c r="P107" s="46" t="s">
        <v>111</v>
      </c>
      <c r="Q107" s="46" t="s">
        <v>670</v>
      </c>
      <c r="R107" s="33" t="s">
        <v>9</v>
      </c>
      <c r="S107" s="33" t="str">
        <f t="shared" si="40"/>
        <v>Fornecedores</v>
      </c>
      <c r="T107" s="33" t="str">
        <f t="shared" si="40"/>
        <v>Segmentos dos Profissionais</v>
      </c>
      <c r="U107" s="33" t="str">
        <f t="shared" si="40"/>
        <v>Segmento de Mobiliário</v>
      </c>
      <c r="V107" s="33" t="s">
        <v>180</v>
      </c>
      <c r="W107" s="53" t="str">
        <f t="shared" si="28"/>
        <v>Key-FABR-107</v>
      </c>
      <c r="X107" s="33" t="s">
        <v>9</v>
      </c>
      <c r="Y107" s="33" t="s">
        <v>9</v>
      </c>
      <c r="Z107" s="33" t="s">
        <v>382</v>
      </c>
      <c r="AA107" s="33" t="s">
        <v>803</v>
      </c>
    </row>
    <row r="108" spans="1:27" ht="6.65" customHeight="1" x14ac:dyDescent="0.4">
      <c r="A108" s="52">
        <v>108</v>
      </c>
      <c r="B108" s="47" t="s">
        <v>888</v>
      </c>
      <c r="C108" s="49" t="s">
        <v>94</v>
      </c>
      <c r="D108" s="47" t="s">
        <v>284</v>
      </c>
      <c r="E108" s="47" t="s">
        <v>99</v>
      </c>
      <c r="F108" s="57" t="s">
        <v>486</v>
      </c>
      <c r="G108" s="56" t="s">
        <v>9</v>
      </c>
      <c r="H108" s="56" t="s">
        <v>9</v>
      </c>
      <c r="I108" s="56" t="s">
        <v>9</v>
      </c>
      <c r="J108" s="56" t="s">
        <v>9</v>
      </c>
      <c r="K108" s="56" t="s">
        <v>9</v>
      </c>
      <c r="L108" s="46" t="s">
        <v>94</v>
      </c>
      <c r="M108" s="46" t="s">
        <v>453</v>
      </c>
      <c r="N108" s="46" t="s">
        <v>464</v>
      </c>
      <c r="O108" s="46" t="s">
        <v>465</v>
      </c>
      <c r="P108" s="46" t="s">
        <v>499</v>
      </c>
      <c r="Q108" s="46" t="s">
        <v>523</v>
      </c>
      <c r="R108" s="33" t="s">
        <v>9</v>
      </c>
      <c r="S108" s="33" t="s">
        <v>94</v>
      </c>
      <c r="T108" s="33" t="s">
        <v>453</v>
      </c>
      <c r="U108" s="33" t="s">
        <v>464</v>
      </c>
      <c r="V108" s="33" t="s">
        <v>180</v>
      </c>
      <c r="W108" s="53" t="str">
        <f t="shared" si="28"/>
        <v>Key-FABR-108</v>
      </c>
      <c r="X108" s="33" t="s">
        <v>9</v>
      </c>
      <c r="Y108" s="33" t="s">
        <v>9</v>
      </c>
      <c r="Z108" s="33" t="s">
        <v>493</v>
      </c>
      <c r="AA108" s="33" t="s">
        <v>511</v>
      </c>
    </row>
    <row r="109" spans="1:27" ht="6.65" customHeight="1" x14ac:dyDescent="0.4">
      <c r="A109" s="52">
        <v>109</v>
      </c>
      <c r="B109" s="47" t="s">
        <v>888</v>
      </c>
      <c r="C109" s="49" t="s">
        <v>94</v>
      </c>
      <c r="D109" s="47" t="s">
        <v>284</v>
      </c>
      <c r="E109" s="47" t="s">
        <v>99</v>
      </c>
      <c r="F109" s="57" t="s">
        <v>298</v>
      </c>
      <c r="G109" s="56" t="s">
        <v>9</v>
      </c>
      <c r="H109" s="56" t="s">
        <v>9</v>
      </c>
      <c r="I109" s="56" t="s">
        <v>9</v>
      </c>
      <c r="J109" s="56" t="s">
        <v>9</v>
      </c>
      <c r="K109" s="56" t="s">
        <v>9</v>
      </c>
      <c r="L109" s="46" t="str">
        <f t="shared" ref="L109:L116" si="41">_xlfn.CONCAT(SUBSTITUTE(C109,"1.",""))</f>
        <v>Fornecedores</v>
      </c>
      <c r="M109" s="46" t="str">
        <f t="shared" ref="M109:O116" si="42">_xlfn.CONCAT(SUBSTITUTE(D109,"."," "))</f>
        <v>Segmentos dos Profissionais</v>
      </c>
      <c r="N109" s="46" t="str">
        <f t="shared" si="42"/>
        <v>Segmento de Mobiliário</v>
      </c>
      <c r="O109" s="46" t="str">
        <f t="shared" si="42"/>
        <v>Mob Empresa Consultora</v>
      </c>
      <c r="P109" s="46" t="s">
        <v>112</v>
      </c>
      <c r="Q109" s="46" t="s">
        <v>671</v>
      </c>
      <c r="R109" s="33" t="s">
        <v>9</v>
      </c>
      <c r="S109" s="33" t="str">
        <f t="shared" ref="S109:U116" si="43">SUBSTITUTE(C109, ".", " ")</f>
        <v>Fornecedores</v>
      </c>
      <c r="T109" s="33" t="str">
        <f t="shared" si="43"/>
        <v>Segmentos dos Profissionais</v>
      </c>
      <c r="U109" s="33" t="str">
        <f t="shared" si="43"/>
        <v>Segmento de Mobiliário</v>
      </c>
      <c r="V109" s="33" t="s">
        <v>180</v>
      </c>
      <c r="W109" s="53" t="str">
        <f t="shared" si="28"/>
        <v>Key-FABR-109</v>
      </c>
      <c r="X109" s="33" t="s">
        <v>9</v>
      </c>
      <c r="Y109" s="33" t="s">
        <v>9</v>
      </c>
      <c r="Z109" s="33" t="s">
        <v>382</v>
      </c>
      <c r="AA109" s="33" t="s">
        <v>804</v>
      </c>
    </row>
    <row r="110" spans="1:27" ht="6.65" customHeight="1" x14ac:dyDescent="0.4">
      <c r="A110" s="52">
        <v>110</v>
      </c>
      <c r="B110" s="47" t="s">
        <v>888</v>
      </c>
      <c r="C110" s="49" t="s">
        <v>94</v>
      </c>
      <c r="D110" s="47" t="s">
        <v>284</v>
      </c>
      <c r="E110" s="47" t="s">
        <v>99</v>
      </c>
      <c r="F110" s="57" t="s">
        <v>299</v>
      </c>
      <c r="G110" s="56" t="s">
        <v>9</v>
      </c>
      <c r="H110" s="56" t="s">
        <v>9</v>
      </c>
      <c r="I110" s="56" t="s">
        <v>9</v>
      </c>
      <c r="J110" s="56" t="s">
        <v>9</v>
      </c>
      <c r="K110" s="56" t="s">
        <v>9</v>
      </c>
      <c r="L110" s="46" t="str">
        <f t="shared" si="41"/>
        <v>Fornecedores</v>
      </c>
      <c r="M110" s="46" t="str">
        <f t="shared" si="42"/>
        <v>Segmentos dos Profissionais</v>
      </c>
      <c r="N110" s="46" t="str">
        <f t="shared" si="42"/>
        <v>Segmento de Mobiliário</v>
      </c>
      <c r="O110" s="46" t="str">
        <f t="shared" si="42"/>
        <v>Mob Fabricante</v>
      </c>
      <c r="P110" s="46" t="s">
        <v>113</v>
      </c>
      <c r="Q110" s="46" t="s">
        <v>672</v>
      </c>
      <c r="R110" s="33" t="s">
        <v>9</v>
      </c>
      <c r="S110" s="33" t="str">
        <f t="shared" si="43"/>
        <v>Fornecedores</v>
      </c>
      <c r="T110" s="33" t="str">
        <f t="shared" si="43"/>
        <v>Segmentos dos Profissionais</v>
      </c>
      <c r="U110" s="33" t="str">
        <f t="shared" si="43"/>
        <v>Segmento de Mobiliário</v>
      </c>
      <c r="V110" s="33" t="s">
        <v>180</v>
      </c>
      <c r="W110" s="53" t="str">
        <f t="shared" si="28"/>
        <v>Key-FABR-110</v>
      </c>
      <c r="X110" s="33" t="s">
        <v>9</v>
      </c>
      <c r="Y110" s="33" t="s">
        <v>9</v>
      </c>
      <c r="Z110" s="33" t="s">
        <v>373</v>
      </c>
      <c r="AA110" s="33" t="s">
        <v>805</v>
      </c>
    </row>
    <row r="111" spans="1:27" ht="6.65" customHeight="1" x14ac:dyDescent="0.4">
      <c r="A111" s="52">
        <v>111</v>
      </c>
      <c r="B111" s="47" t="s">
        <v>888</v>
      </c>
      <c r="C111" s="49" t="s">
        <v>94</v>
      </c>
      <c r="D111" s="47" t="s">
        <v>284</v>
      </c>
      <c r="E111" s="47" t="s">
        <v>99</v>
      </c>
      <c r="F111" s="57" t="s">
        <v>554</v>
      </c>
      <c r="G111" s="56" t="s">
        <v>9</v>
      </c>
      <c r="H111" s="56" t="s">
        <v>9</v>
      </c>
      <c r="I111" s="56" t="s">
        <v>9</v>
      </c>
      <c r="J111" s="56" t="s">
        <v>9</v>
      </c>
      <c r="K111" s="56" t="s">
        <v>9</v>
      </c>
      <c r="L111" s="46" t="str">
        <f t="shared" si="41"/>
        <v>Fornecedores</v>
      </c>
      <c r="M111" s="46" t="str">
        <f t="shared" si="42"/>
        <v>Segmentos dos Profissionais</v>
      </c>
      <c r="N111" s="46" t="str">
        <f t="shared" si="42"/>
        <v>Segmento de Mobiliário</v>
      </c>
      <c r="O111" s="46" t="str">
        <f t="shared" si="42"/>
        <v>Mob Fornecedor</v>
      </c>
      <c r="P111" s="46" t="s">
        <v>175</v>
      </c>
      <c r="Q111" s="46" t="s">
        <v>673</v>
      </c>
      <c r="R111" s="33" t="s">
        <v>9</v>
      </c>
      <c r="S111" s="33" t="str">
        <f t="shared" si="43"/>
        <v>Fornecedores</v>
      </c>
      <c r="T111" s="33" t="str">
        <f t="shared" si="43"/>
        <v>Segmentos dos Profissionais</v>
      </c>
      <c r="U111" s="33" t="str">
        <f t="shared" si="43"/>
        <v>Segmento de Mobiliário</v>
      </c>
      <c r="V111" s="33" t="s">
        <v>180</v>
      </c>
      <c r="W111" s="53" t="str">
        <f t="shared" si="28"/>
        <v>Key-FABR-111</v>
      </c>
      <c r="X111" s="33" t="s">
        <v>9</v>
      </c>
      <c r="Y111" s="33" t="s">
        <v>9</v>
      </c>
      <c r="Z111" s="33" t="s">
        <v>380</v>
      </c>
      <c r="AA111" s="33" t="s">
        <v>806</v>
      </c>
    </row>
    <row r="112" spans="1:27" ht="6.65" customHeight="1" x14ac:dyDescent="0.4">
      <c r="A112" s="52">
        <v>112</v>
      </c>
      <c r="B112" s="47" t="s">
        <v>888</v>
      </c>
      <c r="C112" s="49" t="s">
        <v>94</v>
      </c>
      <c r="D112" s="47" t="s">
        <v>284</v>
      </c>
      <c r="E112" s="47" t="s">
        <v>99</v>
      </c>
      <c r="F112" s="57" t="s">
        <v>300</v>
      </c>
      <c r="G112" s="56" t="s">
        <v>9</v>
      </c>
      <c r="H112" s="56" t="s">
        <v>9</v>
      </c>
      <c r="I112" s="56" t="s">
        <v>9</v>
      </c>
      <c r="J112" s="56" t="s">
        <v>9</v>
      </c>
      <c r="K112" s="56" t="s">
        <v>9</v>
      </c>
      <c r="L112" s="46" t="str">
        <f t="shared" si="41"/>
        <v>Fornecedores</v>
      </c>
      <c r="M112" s="46" t="str">
        <f t="shared" si="42"/>
        <v>Segmentos dos Profissionais</v>
      </c>
      <c r="N112" s="46" t="str">
        <f t="shared" si="42"/>
        <v>Segmento de Mobiliário</v>
      </c>
      <c r="O112" s="46" t="str">
        <f t="shared" si="42"/>
        <v>Mob Projetista</v>
      </c>
      <c r="P112" s="46" t="s">
        <v>225</v>
      </c>
      <c r="Q112" s="46" t="s">
        <v>674</v>
      </c>
      <c r="R112" s="33" t="s">
        <v>9</v>
      </c>
      <c r="S112" s="33" t="str">
        <f t="shared" si="43"/>
        <v>Fornecedores</v>
      </c>
      <c r="T112" s="33" t="str">
        <f t="shared" si="43"/>
        <v>Segmentos dos Profissionais</v>
      </c>
      <c r="U112" s="33" t="str">
        <f t="shared" si="43"/>
        <v>Segmento de Mobiliário</v>
      </c>
      <c r="V112" s="33" t="s">
        <v>180</v>
      </c>
      <c r="W112" s="53" t="str">
        <f t="shared" si="28"/>
        <v>Key-FABR-112</v>
      </c>
      <c r="X112" s="33" t="s">
        <v>9</v>
      </c>
      <c r="Y112" s="33" t="s">
        <v>9</v>
      </c>
      <c r="Z112" s="33" t="s">
        <v>384</v>
      </c>
      <c r="AA112" s="33" t="s">
        <v>807</v>
      </c>
    </row>
    <row r="113" spans="1:27" ht="6.65" customHeight="1" x14ac:dyDescent="0.4">
      <c r="A113" s="52">
        <v>113</v>
      </c>
      <c r="B113" s="47" t="s">
        <v>888</v>
      </c>
      <c r="C113" s="49" t="s">
        <v>94</v>
      </c>
      <c r="D113" s="47" t="s">
        <v>284</v>
      </c>
      <c r="E113" s="47" t="s">
        <v>99</v>
      </c>
      <c r="F113" s="57" t="s">
        <v>301</v>
      </c>
      <c r="G113" s="56" t="s">
        <v>9</v>
      </c>
      <c r="H113" s="56" t="s">
        <v>9</v>
      </c>
      <c r="I113" s="56" t="s">
        <v>9</v>
      </c>
      <c r="J113" s="56" t="s">
        <v>9</v>
      </c>
      <c r="K113" s="56" t="s">
        <v>9</v>
      </c>
      <c r="L113" s="46" t="str">
        <f t="shared" si="41"/>
        <v>Fornecedores</v>
      </c>
      <c r="M113" s="46" t="str">
        <f t="shared" si="42"/>
        <v>Segmentos dos Profissionais</v>
      </c>
      <c r="N113" s="46" t="str">
        <f t="shared" si="42"/>
        <v>Segmento de Mobiliário</v>
      </c>
      <c r="O113" s="46" t="str">
        <f t="shared" si="42"/>
        <v>Mob Serviço</v>
      </c>
      <c r="P113" s="46" t="s">
        <v>110</v>
      </c>
      <c r="Q113" s="46" t="s">
        <v>675</v>
      </c>
      <c r="R113" s="33" t="s">
        <v>9</v>
      </c>
      <c r="S113" s="33" t="str">
        <f t="shared" si="43"/>
        <v>Fornecedores</v>
      </c>
      <c r="T113" s="33" t="str">
        <f t="shared" si="43"/>
        <v>Segmentos dos Profissionais</v>
      </c>
      <c r="U113" s="33" t="str">
        <f t="shared" si="43"/>
        <v>Segmento de Mobiliário</v>
      </c>
      <c r="V113" s="33" t="s">
        <v>180</v>
      </c>
      <c r="W113" s="53" t="str">
        <f t="shared" si="28"/>
        <v>Key-FABR-113</v>
      </c>
      <c r="X113" s="33" t="s">
        <v>9</v>
      </c>
      <c r="Y113" s="33" t="s">
        <v>9</v>
      </c>
      <c r="Z113" s="33" t="s">
        <v>383</v>
      </c>
      <c r="AA113" s="33" t="s">
        <v>808</v>
      </c>
    </row>
    <row r="114" spans="1:27" ht="6.65" customHeight="1" x14ac:dyDescent="0.4">
      <c r="A114" s="52">
        <v>114</v>
      </c>
      <c r="B114" s="47" t="s">
        <v>888</v>
      </c>
      <c r="C114" s="49" t="s">
        <v>94</v>
      </c>
      <c r="D114" s="47" t="s">
        <v>284</v>
      </c>
      <c r="E114" s="47" t="s">
        <v>99</v>
      </c>
      <c r="F114" s="57" t="s">
        <v>567</v>
      </c>
      <c r="G114" s="56" t="s">
        <v>9</v>
      </c>
      <c r="H114" s="56" t="s">
        <v>9</v>
      </c>
      <c r="I114" s="56" t="s">
        <v>9</v>
      </c>
      <c r="J114" s="56" t="s">
        <v>9</v>
      </c>
      <c r="K114" s="56" t="s">
        <v>9</v>
      </c>
      <c r="L114" s="46" t="str">
        <f t="shared" si="41"/>
        <v>Fornecedores</v>
      </c>
      <c r="M114" s="46" t="str">
        <f t="shared" si="42"/>
        <v>Segmentos dos Profissionais</v>
      </c>
      <c r="N114" s="46" t="str">
        <f t="shared" si="42"/>
        <v>Segmento de Mobiliário</v>
      </c>
      <c r="O114" s="46" t="str">
        <f t="shared" si="42"/>
        <v>Mob Vendedor</v>
      </c>
      <c r="P114" s="46" t="s">
        <v>446</v>
      </c>
      <c r="Q114" s="46" t="s">
        <v>676</v>
      </c>
      <c r="R114" s="33" t="s">
        <v>9</v>
      </c>
      <c r="S114" s="33" t="str">
        <f t="shared" si="43"/>
        <v>Fornecedores</v>
      </c>
      <c r="T114" s="33" t="str">
        <f t="shared" si="43"/>
        <v>Segmentos dos Profissionais</v>
      </c>
      <c r="U114" s="33" t="str">
        <f t="shared" si="43"/>
        <v>Segmento de Mobiliário</v>
      </c>
      <c r="V114" s="33" t="s">
        <v>180</v>
      </c>
      <c r="W114" s="53" t="str">
        <f t="shared" si="28"/>
        <v>Key-FABR-114</v>
      </c>
      <c r="X114" s="33" t="s">
        <v>9</v>
      </c>
      <c r="Y114" s="33" t="s">
        <v>9</v>
      </c>
      <c r="Z114" s="33" t="s">
        <v>381</v>
      </c>
      <c r="AA114" s="33" t="s">
        <v>809</v>
      </c>
    </row>
    <row r="115" spans="1:27" ht="6.65" customHeight="1" x14ac:dyDescent="0.4">
      <c r="A115" s="52">
        <v>115</v>
      </c>
      <c r="B115" s="47" t="s">
        <v>888</v>
      </c>
      <c r="C115" s="49" t="s">
        <v>94</v>
      </c>
      <c r="D115" s="47" t="s">
        <v>284</v>
      </c>
      <c r="E115" s="47" t="s">
        <v>360</v>
      </c>
      <c r="F115" s="57" t="s">
        <v>415</v>
      </c>
      <c r="G115" s="56" t="s">
        <v>9</v>
      </c>
      <c r="H115" s="56" t="s">
        <v>9</v>
      </c>
      <c r="I115" s="56" t="s">
        <v>9</v>
      </c>
      <c r="J115" s="56" t="s">
        <v>9</v>
      </c>
      <c r="K115" s="56" t="s">
        <v>9</v>
      </c>
      <c r="L115" s="46" t="str">
        <f t="shared" si="41"/>
        <v>Fornecedores</v>
      </c>
      <c r="M115" s="46" t="str">
        <f t="shared" si="42"/>
        <v>Segmentos dos Profissionais</v>
      </c>
      <c r="N115" s="46" t="str">
        <f t="shared" si="42"/>
        <v>Segmento de Telecom</v>
      </c>
      <c r="O115" s="46" t="str">
        <f t="shared" si="42"/>
        <v>Tel Compra</v>
      </c>
      <c r="P115" s="46" t="s">
        <v>428</v>
      </c>
      <c r="Q115" s="46" t="s">
        <v>677</v>
      </c>
      <c r="R115" s="33" t="s">
        <v>9</v>
      </c>
      <c r="S115" s="33" t="str">
        <f t="shared" si="43"/>
        <v>Fornecedores</v>
      </c>
      <c r="T115" s="33" t="str">
        <f t="shared" si="43"/>
        <v>Segmentos dos Profissionais</v>
      </c>
      <c r="U115" s="33" t="str">
        <f t="shared" si="43"/>
        <v>Segmento de Telecom</v>
      </c>
      <c r="V115" s="33" t="s">
        <v>180</v>
      </c>
      <c r="W115" s="53" t="str">
        <f t="shared" si="28"/>
        <v>Key-FABR-115</v>
      </c>
      <c r="X115" s="33" t="s">
        <v>9</v>
      </c>
      <c r="Y115" s="33" t="s">
        <v>9</v>
      </c>
      <c r="Z115" s="33" t="s">
        <v>440</v>
      </c>
      <c r="AA115" s="33" t="s">
        <v>810</v>
      </c>
    </row>
    <row r="116" spans="1:27" ht="6.65" customHeight="1" x14ac:dyDescent="0.4">
      <c r="A116" s="52">
        <v>116</v>
      </c>
      <c r="B116" s="47" t="s">
        <v>888</v>
      </c>
      <c r="C116" s="49" t="s">
        <v>94</v>
      </c>
      <c r="D116" s="47" t="s">
        <v>284</v>
      </c>
      <c r="E116" s="47" t="s">
        <v>360</v>
      </c>
      <c r="F116" s="57" t="s">
        <v>361</v>
      </c>
      <c r="G116" s="56" t="s">
        <v>9</v>
      </c>
      <c r="H116" s="56" t="s">
        <v>9</v>
      </c>
      <c r="I116" s="56" t="s">
        <v>9</v>
      </c>
      <c r="J116" s="56" t="s">
        <v>9</v>
      </c>
      <c r="K116" s="56" t="s">
        <v>9</v>
      </c>
      <c r="L116" s="46" t="str">
        <f t="shared" si="41"/>
        <v>Fornecedores</v>
      </c>
      <c r="M116" s="46" t="str">
        <f t="shared" si="42"/>
        <v>Segmentos dos Profissionais</v>
      </c>
      <c r="N116" s="46" t="str">
        <f t="shared" si="42"/>
        <v>Segmento de Telecom</v>
      </c>
      <c r="O116" s="46" t="str">
        <f t="shared" si="42"/>
        <v>Tel Consultor</v>
      </c>
      <c r="P116" s="46" t="s">
        <v>371</v>
      </c>
      <c r="Q116" s="46" t="s">
        <v>678</v>
      </c>
      <c r="R116" s="33" t="s">
        <v>9</v>
      </c>
      <c r="S116" s="33" t="str">
        <f t="shared" si="43"/>
        <v>Fornecedores</v>
      </c>
      <c r="T116" s="33" t="str">
        <f t="shared" si="43"/>
        <v>Segmentos dos Profissionais</v>
      </c>
      <c r="U116" s="33" t="str">
        <f t="shared" si="43"/>
        <v>Segmento de Telecom</v>
      </c>
      <c r="V116" s="33" t="s">
        <v>180</v>
      </c>
      <c r="W116" s="53" t="str">
        <f t="shared" si="28"/>
        <v>Key-FABR-116</v>
      </c>
      <c r="X116" s="33" t="s">
        <v>9</v>
      </c>
      <c r="Y116" s="33" t="s">
        <v>9</v>
      </c>
      <c r="Z116" s="33" t="s">
        <v>382</v>
      </c>
      <c r="AA116" s="33" t="s">
        <v>811</v>
      </c>
    </row>
    <row r="117" spans="1:27" ht="6.65" customHeight="1" x14ac:dyDescent="0.4">
      <c r="A117" s="52">
        <v>117</v>
      </c>
      <c r="B117" s="47" t="s">
        <v>888</v>
      </c>
      <c r="C117" s="49" t="s">
        <v>94</v>
      </c>
      <c r="D117" s="47" t="s">
        <v>284</v>
      </c>
      <c r="E117" s="47" t="s">
        <v>360</v>
      </c>
      <c r="F117" s="57" t="s">
        <v>492</v>
      </c>
      <c r="G117" s="56" t="s">
        <v>9</v>
      </c>
      <c r="H117" s="56" t="s">
        <v>9</v>
      </c>
      <c r="I117" s="56" t="s">
        <v>9</v>
      </c>
      <c r="J117" s="56" t="s">
        <v>9</v>
      </c>
      <c r="K117" s="56" t="s">
        <v>9</v>
      </c>
      <c r="L117" s="46" t="s">
        <v>94</v>
      </c>
      <c r="M117" s="46" t="s">
        <v>453</v>
      </c>
      <c r="N117" s="46" t="s">
        <v>476</v>
      </c>
      <c r="O117" s="46" t="s">
        <v>477</v>
      </c>
      <c r="P117" s="46" t="s">
        <v>505</v>
      </c>
      <c r="Q117" s="46" t="s">
        <v>527</v>
      </c>
      <c r="R117" s="33" t="s">
        <v>9</v>
      </c>
      <c r="S117" s="33" t="s">
        <v>94</v>
      </c>
      <c r="T117" s="33" t="s">
        <v>453</v>
      </c>
      <c r="U117" s="33" t="s">
        <v>476</v>
      </c>
      <c r="V117" s="33" t="s">
        <v>180</v>
      </c>
      <c r="W117" s="53" t="str">
        <f t="shared" si="28"/>
        <v>Key-FABR-117</v>
      </c>
      <c r="X117" s="33" t="s">
        <v>9</v>
      </c>
      <c r="Y117" s="33" t="s">
        <v>9</v>
      </c>
      <c r="Z117" s="33" t="s">
        <v>493</v>
      </c>
      <c r="AA117" s="33" t="s">
        <v>517</v>
      </c>
    </row>
    <row r="118" spans="1:27" ht="6.65" customHeight="1" x14ac:dyDescent="0.4">
      <c r="A118" s="52">
        <v>118</v>
      </c>
      <c r="B118" s="47" t="s">
        <v>888</v>
      </c>
      <c r="C118" s="49" t="s">
        <v>94</v>
      </c>
      <c r="D118" s="47" t="s">
        <v>284</v>
      </c>
      <c r="E118" s="47" t="s">
        <v>360</v>
      </c>
      <c r="F118" s="57" t="s">
        <v>362</v>
      </c>
      <c r="G118" s="56" t="s">
        <v>9</v>
      </c>
      <c r="H118" s="56" t="s">
        <v>9</v>
      </c>
      <c r="I118" s="56" t="s">
        <v>9</v>
      </c>
      <c r="J118" s="56" t="s">
        <v>9</v>
      </c>
      <c r="K118" s="56" t="s">
        <v>9</v>
      </c>
      <c r="L118" s="46" t="str">
        <f t="shared" ref="L118:L152" si="44">_xlfn.CONCAT(SUBSTITUTE(C118,"1.",""))</f>
        <v>Fornecedores</v>
      </c>
      <c r="M118" s="46" t="str">
        <f t="shared" ref="M118:M152" si="45">_xlfn.CONCAT(SUBSTITUTE(D118,"."," "))</f>
        <v>Segmentos dos Profissionais</v>
      </c>
      <c r="N118" s="46" t="str">
        <f t="shared" ref="N118:N152" si="46">_xlfn.CONCAT(SUBSTITUTE(E118,"."," "))</f>
        <v>Segmento de Telecom</v>
      </c>
      <c r="O118" s="46" t="str">
        <f t="shared" ref="O118:O152" si="47">_xlfn.CONCAT(SUBSTITUTE(F118,"."," "))</f>
        <v>Tel Empresa Consultora</v>
      </c>
      <c r="P118" s="46" t="s">
        <v>366</v>
      </c>
      <c r="Q118" s="46" t="s">
        <v>679</v>
      </c>
      <c r="R118" s="33" t="s">
        <v>9</v>
      </c>
      <c r="S118" s="33" t="str">
        <f t="shared" ref="S118:S152" si="48">SUBSTITUTE(C118, ".", " ")</f>
        <v>Fornecedores</v>
      </c>
      <c r="T118" s="33" t="str">
        <f t="shared" ref="T118:T152" si="49">SUBSTITUTE(D118, ".", " ")</f>
        <v>Segmentos dos Profissionais</v>
      </c>
      <c r="U118" s="33" t="str">
        <f t="shared" ref="U118:U152" si="50">SUBSTITUTE(E118, ".", " ")</f>
        <v>Segmento de Telecom</v>
      </c>
      <c r="V118" s="33" t="s">
        <v>180</v>
      </c>
      <c r="W118" s="53" t="str">
        <f t="shared" si="28"/>
        <v>Key-FABR-118</v>
      </c>
      <c r="X118" s="33" t="s">
        <v>9</v>
      </c>
      <c r="Y118" s="33" t="s">
        <v>9</v>
      </c>
      <c r="Z118" s="33" t="s">
        <v>382</v>
      </c>
      <c r="AA118" s="33" t="s">
        <v>812</v>
      </c>
    </row>
    <row r="119" spans="1:27" ht="6.65" customHeight="1" x14ac:dyDescent="0.4">
      <c r="A119" s="52">
        <v>119</v>
      </c>
      <c r="B119" s="47" t="s">
        <v>888</v>
      </c>
      <c r="C119" s="49" t="s">
        <v>94</v>
      </c>
      <c r="D119" s="47" t="s">
        <v>284</v>
      </c>
      <c r="E119" s="47" t="s">
        <v>360</v>
      </c>
      <c r="F119" s="57" t="s">
        <v>363</v>
      </c>
      <c r="G119" s="56" t="s">
        <v>9</v>
      </c>
      <c r="H119" s="56" t="s">
        <v>9</v>
      </c>
      <c r="I119" s="56" t="s">
        <v>9</v>
      </c>
      <c r="J119" s="56" t="s">
        <v>9</v>
      </c>
      <c r="K119" s="56" t="s">
        <v>9</v>
      </c>
      <c r="L119" s="46" t="str">
        <f t="shared" si="44"/>
        <v>Fornecedores</v>
      </c>
      <c r="M119" s="46" t="str">
        <f t="shared" si="45"/>
        <v>Segmentos dos Profissionais</v>
      </c>
      <c r="N119" s="46" t="str">
        <f t="shared" si="46"/>
        <v>Segmento de Telecom</v>
      </c>
      <c r="O119" s="46" t="str">
        <f t="shared" si="47"/>
        <v>Tel Fabricante</v>
      </c>
      <c r="P119" s="46" t="s">
        <v>367</v>
      </c>
      <c r="Q119" s="46" t="s">
        <v>680</v>
      </c>
      <c r="R119" s="33" t="s">
        <v>9</v>
      </c>
      <c r="S119" s="33" t="str">
        <f t="shared" si="48"/>
        <v>Fornecedores</v>
      </c>
      <c r="T119" s="33" t="str">
        <f t="shared" si="49"/>
        <v>Segmentos dos Profissionais</v>
      </c>
      <c r="U119" s="33" t="str">
        <f t="shared" si="50"/>
        <v>Segmento de Telecom</v>
      </c>
      <c r="V119" s="33" t="s">
        <v>180</v>
      </c>
      <c r="W119" s="53" t="str">
        <f t="shared" si="28"/>
        <v>Key-FABR-119</v>
      </c>
      <c r="X119" s="33" t="s">
        <v>9</v>
      </c>
      <c r="Y119" s="33" t="s">
        <v>9</v>
      </c>
      <c r="Z119" s="33" t="s">
        <v>373</v>
      </c>
      <c r="AA119" s="33" t="s">
        <v>813</v>
      </c>
    </row>
    <row r="120" spans="1:27" ht="6.65" customHeight="1" x14ac:dyDescent="0.4">
      <c r="A120" s="52">
        <v>120</v>
      </c>
      <c r="B120" s="47" t="s">
        <v>888</v>
      </c>
      <c r="C120" s="49" t="s">
        <v>94</v>
      </c>
      <c r="D120" s="47" t="s">
        <v>284</v>
      </c>
      <c r="E120" s="47" t="s">
        <v>360</v>
      </c>
      <c r="F120" s="57" t="s">
        <v>555</v>
      </c>
      <c r="G120" s="56" t="s">
        <v>9</v>
      </c>
      <c r="H120" s="56" t="s">
        <v>9</v>
      </c>
      <c r="I120" s="56" t="s">
        <v>9</v>
      </c>
      <c r="J120" s="56" t="s">
        <v>9</v>
      </c>
      <c r="K120" s="56" t="s">
        <v>9</v>
      </c>
      <c r="L120" s="46" t="str">
        <f t="shared" si="44"/>
        <v>Fornecedores</v>
      </c>
      <c r="M120" s="46" t="str">
        <f t="shared" si="45"/>
        <v>Segmentos dos Profissionais</v>
      </c>
      <c r="N120" s="46" t="str">
        <f t="shared" si="46"/>
        <v>Segmento de Telecom</v>
      </c>
      <c r="O120" s="46" t="str">
        <f t="shared" si="47"/>
        <v>Tel Fornecedor</v>
      </c>
      <c r="P120" s="46" t="s">
        <v>368</v>
      </c>
      <c r="Q120" s="46" t="s">
        <v>681</v>
      </c>
      <c r="R120" s="33" t="s">
        <v>9</v>
      </c>
      <c r="S120" s="33" t="str">
        <f t="shared" si="48"/>
        <v>Fornecedores</v>
      </c>
      <c r="T120" s="33" t="str">
        <f t="shared" si="49"/>
        <v>Segmentos dos Profissionais</v>
      </c>
      <c r="U120" s="33" t="str">
        <f t="shared" si="50"/>
        <v>Segmento de Telecom</v>
      </c>
      <c r="V120" s="33" t="s">
        <v>180</v>
      </c>
      <c r="W120" s="53" t="str">
        <f t="shared" si="28"/>
        <v>Key-FABR-120</v>
      </c>
      <c r="X120" s="33" t="s">
        <v>9</v>
      </c>
      <c r="Y120" s="33" t="s">
        <v>9</v>
      </c>
      <c r="Z120" s="33" t="s">
        <v>380</v>
      </c>
      <c r="AA120" s="33" t="s">
        <v>814</v>
      </c>
    </row>
    <row r="121" spans="1:27" ht="6.65" customHeight="1" x14ac:dyDescent="0.4">
      <c r="A121" s="52">
        <v>121</v>
      </c>
      <c r="B121" s="47" t="s">
        <v>888</v>
      </c>
      <c r="C121" s="49" t="s">
        <v>94</v>
      </c>
      <c r="D121" s="47" t="s">
        <v>284</v>
      </c>
      <c r="E121" s="47" t="s">
        <v>360</v>
      </c>
      <c r="F121" s="57" t="s">
        <v>364</v>
      </c>
      <c r="G121" s="56" t="s">
        <v>9</v>
      </c>
      <c r="H121" s="56" t="s">
        <v>9</v>
      </c>
      <c r="I121" s="56" t="s">
        <v>9</v>
      </c>
      <c r="J121" s="56" t="s">
        <v>9</v>
      </c>
      <c r="K121" s="56" t="s">
        <v>9</v>
      </c>
      <c r="L121" s="46" t="str">
        <f t="shared" si="44"/>
        <v>Fornecedores</v>
      </c>
      <c r="M121" s="46" t="str">
        <f t="shared" si="45"/>
        <v>Segmentos dos Profissionais</v>
      </c>
      <c r="N121" s="46" t="str">
        <f t="shared" si="46"/>
        <v>Segmento de Telecom</v>
      </c>
      <c r="O121" s="46" t="str">
        <f t="shared" si="47"/>
        <v>Tel Projetista</v>
      </c>
      <c r="P121" s="46" t="s">
        <v>369</v>
      </c>
      <c r="Q121" s="46" t="s">
        <v>682</v>
      </c>
      <c r="R121" s="33" t="s">
        <v>9</v>
      </c>
      <c r="S121" s="33" t="str">
        <f t="shared" si="48"/>
        <v>Fornecedores</v>
      </c>
      <c r="T121" s="33" t="str">
        <f t="shared" si="49"/>
        <v>Segmentos dos Profissionais</v>
      </c>
      <c r="U121" s="33" t="str">
        <f t="shared" si="50"/>
        <v>Segmento de Telecom</v>
      </c>
      <c r="V121" s="33" t="s">
        <v>180</v>
      </c>
      <c r="W121" s="53" t="str">
        <f t="shared" si="28"/>
        <v>Key-FABR-121</v>
      </c>
      <c r="X121" s="33" t="s">
        <v>9</v>
      </c>
      <c r="Y121" s="33" t="s">
        <v>9</v>
      </c>
      <c r="Z121" s="33" t="s">
        <v>384</v>
      </c>
      <c r="AA121" s="33" t="s">
        <v>815</v>
      </c>
    </row>
    <row r="122" spans="1:27" ht="6.65" customHeight="1" x14ac:dyDescent="0.4">
      <c r="A122" s="52">
        <v>122</v>
      </c>
      <c r="B122" s="47" t="s">
        <v>888</v>
      </c>
      <c r="C122" s="49" t="s">
        <v>94</v>
      </c>
      <c r="D122" s="47" t="s">
        <v>284</v>
      </c>
      <c r="E122" s="47" t="s">
        <v>360</v>
      </c>
      <c r="F122" s="57" t="s">
        <v>365</v>
      </c>
      <c r="G122" s="56" t="s">
        <v>9</v>
      </c>
      <c r="H122" s="56" t="s">
        <v>9</v>
      </c>
      <c r="I122" s="56" t="s">
        <v>9</v>
      </c>
      <c r="J122" s="56" t="s">
        <v>9</v>
      </c>
      <c r="K122" s="56" t="s">
        <v>9</v>
      </c>
      <c r="L122" s="46" t="str">
        <f t="shared" si="44"/>
        <v>Fornecedores</v>
      </c>
      <c r="M122" s="46" t="str">
        <f t="shared" si="45"/>
        <v>Segmentos dos Profissionais</v>
      </c>
      <c r="N122" s="46" t="str">
        <f t="shared" si="46"/>
        <v>Segmento de Telecom</v>
      </c>
      <c r="O122" s="46" t="str">
        <f t="shared" si="47"/>
        <v>Tel Serviço</v>
      </c>
      <c r="P122" s="46" t="s">
        <v>370</v>
      </c>
      <c r="Q122" s="46" t="s">
        <v>683</v>
      </c>
      <c r="R122" s="33" t="s">
        <v>9</v>
      </c>
      <c r="S122" s="33" t="str">
        <f t="shared" si="48"/>
        <v>Fornecedores</v>
      </c>
      <c r="T122" s="33" t="str">
        <f t="shared" si="49"/>
        <v>Segmentos dos Profissionais</v>
      </c>
      <c r="U122" s="33" t="str">
        <f t="shared" si="50"/>
        <v>Segmento de Telecom</v>
      </c>
      <c r="V122" s="33" t="s">
        <v>180</v>
      </c>
      <c r="W122" s="53" t="str">
        <f t="shared" si="28"/>
        <v>Key-FABR-122</v>
      </c>
      <c r="X122" s="33" t="s">
        <v>9</v>
      </c>
      <c r="Y122" s="33" t="s">
        <v>9</v>
      </c>
      <c r="Z122" s="33" t="s">
        <v>383</v>
      </c>
      <c r="AA122" s="33" t="s">
        <v>816</v>
      </c>
    </row>
    <row r="123" spans="1:27" ht="6.65" customHeight="1" x14ac:dyDescent="0.4">
      <c r="A123" s="52">
        <v>123</v>
      </c>
      <c r="B123" s="47" t="s">
        <v>888</v>
      </c>
      <c r="C123" s="49" t="s">
        <v>94</v>
      </c>
      <c r="D123" s="47" t="s">
        <v>284</v>
      </c>
      <c r="E123" s="47" t="s">
        <v>360</v>
      </c>
      <c r="F123" s="57" t="s">
        <v>568</v>
      </c>
      <c r="G123" s="56" t="s">
        <v>9</v>
      </c>
      <c r="H123" s="56" t="s">
        <v>9</v>
      </c>
      <c r="I123" s="56" t="s">
        <v>9</v>
      </c>
      <c r="J123" s="56" t="s">
        <v>9</v>
      </c>
      <c r="K123" s="56" t="s">
        <v>9</v>
      </c>
      <c r="L123" s="46" t="str">
        <f t="shared" si="44"/>
        <v>Fornecedores</v>
      </c>
      <c r="M123" s="46" t="str">
        <f t="shared" si="45"/>
        <v>Segmentos dos Profissionais</v>
      </c>
      <c r="N123" s="46" t="str">
        <f t="shared" si="46"/>
        <v>Segmento de Telecom</v>
      </c>
      <c r="O123" s="46" t="str">
        <f t="shared" si="47"/>
        <v>Tel Vendedor</v>
      </c>
      <c r="P123" s="46" t="s">
        <v>452</v>
      </c>
      <c r="Q123" s="46" t="s">
        <v>684</v>
      </c>
      <c r="R123" s="33" t="s">
        <v>9</v>
      </c>
      <c r="S123" s="33" t="str">
        <f t="shared" si="48"/>
        <v>Fornecedores</v>
      </c>
      <c r="T123" s="33" t="str">
        <f t="shared" si="49"/>
        <v>Segmentos dos Profissionais</v>
      </c>
      <c r="U123" s="33" t="str">
        <f t="shared" si="50"/>
        <v>Segmento de Telecom</v>
      </c>
      <c r="V123" s="33" t="s">
        <v>180</v>
      </c>
      <c r="W123" s="53" t="str">
        <f t="shared" si="28"/>
        <v>Key-FABR-123</v>
      </c>
      <c r="X123" s="33" t="s">
        <v>9</v>
      </c>
      <c r="Y123" s="33" t="s">
        <v>9</v>
      </c>
      <c r="Z123" s="33" t="s">
        <v>381</v>
      </c>
      <c r="AA123" s="33" t="s">
        <v>817</v>
      </c>
    </row>
    <row r="124" spans="1:27" ht="6.65" customHeight="1" x14ac:dyDescent="0.4">
      <c r="A124" s="52">
        <v>124</v>
      </c>
      <c r="B124" s="47" t="s">
        <v>888</v>
      </c>
      <c r="C124" s="49" t="s">
        <v>157</v>
      </c>
      <c r="D124" s="47" t="s">
        <v>283</v>
      </c>
      <c r="E124" s="47" t="s">
        <v>282</v>
      </c>
      <c r="F124" s="47" t="s">
        <v>158</v>
      </c>
      <c r="G124" s="56" t="s">
        <v>9</v>
      </c>
      <c r="H124" s="56" t="s">
        <v>9</v>
      </c>
      <c r="I124" s="56" t="s">
        <v>9</v>
      </c>
      <c r="J124" s="56" t="s">
        <v>9</v>
      </c>
      <c r="K124" s="56" t="s">
        <v>9</v>
      </c>
      <c r="L124" s="46" t="str">
        <f t="shared" si="44"/>
        <v>Fornecidos</v>
      </c>
      <c r="M124" s="46" t="str">
        <f t="shared" si="45"/>
        <v>Segmentos dos Produto</v>
      </c>
      <c r="N124" s="46" t="str">
        <f t="shared" si="46"/>
        <v>Segmento do Produto</v>
      </c>
      <c r="O124" s="46" t="str">
        <f t="shared" si="47"/>
        <v>Produto de Geotécnica</v>
      </c>
      <c r="P124" s="46" t="s">
        <v>188</v>
      </c>
      <c r="Q124" s="46" t="s">
        <v>685</v>
      </c>
      <c r="R124" s="33" t="s">
        <v>9</v>
      </c>
      <c r="S124" s="33" t="str">
        <f t="shared" si="48"/>
        <v>Fornecidos</v>
      </c>
      <c r="T124" s="33" t="str">
        <f t="shared" si="49"/>
        <v>Segmentos dos Produto</v>
      </c>
      <c r="U124" s="33" t="str">
        <f t="shared" si="50"/>
        <v>Segmento do Produto</v>
      </c>
      <c r="V124" s="33" t="s">
        <v>180</v>
      </c>
      <c r="W124" s="53" t="str">
        <f t="shared" si="28"/>
        <v>Key-FABR-124</v>
      </c>
      <c r="X124" s="33" t="s">
        <v>9</v>
      </c>
      <c r="Y124" s="33" t="s">
        <v>9</v>
      </c>
      <c r="Z124" s="58" t="s">
        <v>385</v>
      </c>
      <c r="AA124" s="33" t="s">
        <v>818</v>
      </c>
    </row>
    <row r="125" spans="1:27" ht="6.65" customHeight="1" x14ac:dyDescent="0.4">
      <c r="A125" s="52">
        <v>125</v>
      </c>
      <c r="B125" s="47" t="s">
        <v>888</v>
      </c>
      <c r="C125" s="49" t="s">
        <v>157</v>
      </c>
      <c r="D125" s="47" t="s">
        <v>283</v>
      </c>
      <c r="E125" s="47" t="s">
        <v>282</v>
      </c>
      <c r="F125" s="47" t="s">
        <v>130</v>
      </c>
      <c r="G125" s="56" t="s">
        <v>9</v>
      </c>
      <c r="H125" s="56" t="s">
        <v>9</v>
      </c>
      <c r="I125" s="56" t="s">
        <v>9</v>
      </c>
      <c r="J125" s="56" t="s">
        <v>9</v>
      </c>
      <c r="K125" s="56" t="s">
        <v>9</v>
      </c>
      <c r="L125" s="46" t="str">
        <f t="shared" si="44"/>
        <v>Fornecidos</v>
      </c>
      <c r="M125" s="46" t="str">
        <f t="shared" si="45"/>
        <v>Segmentos dos Produto</v>
      </c>
      <c r="N125" s="46" t="str">
        <f t="shared" si="46"/>
        <v>Segmento do Produto</v>
      </c>
      <c r="O125" s="46" t="str">
        <f t="shared" si="47"/>
        <v>Produto de Obra</v>
      </c>
      <c r="P125" s="46" t="s">
        <v>214</v>
      </c>
      <c r="Q125" s="46" t="s">
        <v>686</v>
      </c>
      <c r="R125" s="33" t="s">
        <v>9</v>
      </c>
      <c r="S125" s="33" t="str">
        <f t="shared" si="48"/>
        <v>Fornecidos</v>
      </c>
      <c r="T125" s="33" t="str">
        <f t="shared" si="49"/>
        <v>Segmentos dos Produto</v>
      </c>
      <c r="U125" s="33" t="str">
        <f t="shared" si="50"/>
        <v>Segmento do Produto</v>
      </c>
      <c r="V125" s="33" t="s">
        <v>180</v>
      </c>
      <c r="W125" s="53" t="str">
        <f t="shared" si="28"/>
        <v>Key-FABR-125</v>
      </c>
      <c r="X125" s="33" t="s">
        <v>9</v>
      </c>
      <c r="Y125" s="33" t="s">
        <v>9</v>
      </c>
      <c r="Z125" s="58" t="s">
        <v>386</v>
      </c>
      <c r="AA125" s="33" t="s">
        <v>819</v>
      </c>
    </row>
    <row r="126" spans="1:27" ht="6.65" customHeight="1" x14ac:dyDescent="0.4">
      <c r="A126" s="52">
        <v>126</v>
      </c>
      <c r="B126" s="47" t="s">
        <v>888</v>
      </c>
      <c r="C126" s="49" t="s">
        <v>157</v>
      </c>
      <c r="D126" s="47" t="s">
        <v>283</v>
      </c>
      <c r="E126" s="47" t="s">
        <v>282</v>
      </c>
      <c r="F126" s="47" t="s">
        <v>131</v>
      </c>
      <c r="G126" s="56" t="s">
        <v>9</v>
      </c>
      <c r="H126" s="56" t="s">
        <v>9</v>
      </c>
      <c r="I126" s="56" t="s">
        <v>9</v>
      </c>
      <c r="J126" s="56" t="s">
        <v>9</v>
      </c>
      <c r="K126" s="56" t="s">
        <v>9</v>
      </c>
      <c r="L126" s="46" t="str">
        <f t="shared" si="44"/>
        <v>Fornecidos</v>
      </c>
      <c r="M126" s="46" t="str">
        <f t="shared" si="45"/>
        <v>Segmentos dos Produto</v>
      </c>
      <c r="N126" s="46" t="str">
        <f t="shared" si="46"/>
        <v>Segmento do Produto</v>
      </c>
      <c r="O126" s="46" t="str">
        <f t="shared" si="47"/>
        <v>Produto de Drenagem</v>
      </c>
      <c r="P126" s="46" t="s">
        <v>189</v>
      </c>
      <c r="Q126" s="46" t="s">
        <v>687</v>
      </c>
      <c r="R126" s="33" t="s">
        <v>9</v>
      </c>
      <c r="S126" s="33" t="str">
        <f t="shared" si="48"/>
        <v>Fornecidos</v>
      </c>
      <c r="T126" s="33" t="str">
        <f t="shared" si="49"/>
        <v>Segmentos dos Produto</v>
      </c>
      <c r="U126" s="33" t="str">
        <f t="shared" si="50"/>
        <v>Segmento do Produto</v>
      </c>
      <c r="V126" s="33" t="s">
        <v>180</v>
      </c>
      <c r="W126" s="53" t="str">
        <f t="shared" si="28"/>
        <v>Key-FABR-126</v>
      </c>
      <c r="X126" s="33" t="s">
        <v>9</v>
      </c>
      <c r="Y126" s="33" t="s">
        <v>9</v>
      </c>
      <c r="Z126" s="58" t="s">
        <v>387</v>
      </c>
      <c r="AA126" s="33" t="s">
        <v>820</v>
      </c>
    </row>
    <row r="127" spans="1:27" ht="6.65" customHeight="1" x14ac:dyDescent="0.4">
      <c r="A127" s="52">
        <v>127</v>
      </c>
      <c r="B127" s="47" t="s">
        <v>888</v>
      </c>
      <c r="C127" s="49" t="s">
        <v>157</v>
      </c>
      <c r="D127" s="47" t="s">
        <v>283</v>
      </c>
      <c r="E127" s="47" t="s">
        <v>282</v>
      </c>
      <c r="F127" s="47" t="s">
        <v>132</v>
      </c>
      <c r="G127" s="56" t="s">
        <v>9</v>
      </c>
      <c r="H127" s="56" t="s">
        <v>9</v>
      </c>
      <c r="I127" s="56" t="s">
        <v>9</v>
      </c>
      <c r="J127" s="56" t="s">
        <v>9</v>
      </c>
      <c r="K127" s="56" t="s">
        <v>9</v>
      </c>
      <c r="L127" s="46" t="str">
        <f t="shared" si="44"/>
        <v>Fornecidos</v>
      </c>
      <c r="M127" s="46" t="str">
        <f t="shared" si="45"/>
        <v>Segmentos dos Produto</v>
      </c>
      <c r="N127" s="46" t="str">
        <f t="shared" si="46"/>
        <v>Segmento do Produto</v>
      </c>
      <c r="O127" s="46" t="str">
        <f t="shared" si="47"/>
        <v>Produto de Tráfego</v>
      </c>
      <c r="P127" s="46" t="s">
        <v>213</v>
      </c>
      <c r="Q127" s="46" t="s">
        <v>688</v>
      </c>
      <c r="R127" s="33" t="s">
        <v>9</v>
      </c>
      <c r="S127" s="33" t="str">
        <f t="shared" si="48"/>
        <v>Fornecidos</v>
      </c>
      <c r="T127" s="33" t="str">
        <f t="shared" si="49"/>
        <v>Segmentos dos Produto</v>
      </c>
      <c r="U127" s="33" t="str">
        <f t="shared" si="50"/>
        <v>Segmento do Produto</v>
      </c>
      <c r="V127" s="33" t="s">
        <v>180</v>
      </c>
      <c r="W127" s="53" t="str">
        <f t="shared" si="28"/>
        <v>Key-FABR-127</v>
      </c>
      <c r="X127" s="33" t="s">
        <v>9</v>
      </c>
      <c r="Y127" s="33" t="s">
        <v>9</v>
      </c>
      <c r="Z127" s="58" t="s">
        <v>388</v>
      </c>
      <c r="AA127" s="33" t="s">
        <v>821</v>
      </c>
    </row>
    <row r="128" spans="1:27" ht="6.65" customHeight="1" x14ac:dyDescent="0.4">
      <c r="A128" s="52">
        <v>128</v>
      </c>
      <c r="B128" s="47" t="s">
        <v>888</v>
      </c>
      <c r="C128" s="49" t="s">
        <v>157</v>
      </c>
      <c r="D128" s="47" t="s">
        <v>283</v>
      </c>
      <c r="E128" s="47" t="s">
        <v>282</v>
      </c>
      <c r="F128" s="47" t="s">
        <v>133</v>
      </c>
      <c r="G128" s="56" t="s">
        <v>9</v>
      </c>
      <c r="H128" s="56" t="s">
        <v>9</v>
      </c>
      <c r="I128" s="56" t="s">
        <v>9</v>
      </c>
      <c r="J128" s="56" t="s">
        <v>9</v>
      </c>
      <c r="K128" s="56" t="s">
        <v>9</v>
      </c>
      <c r="L128" s="46" t="str">
        <f t="shared" si="44"/>
        <v>Fornecidos</v>
      </c>
      <c r="M128" s="46" t="str">
        <f t="shared" si="45"/>
        <v>Segmentos dos Produto</v>
      </c>
      <c r="N128" s="46" t="str">
        <f t="shared" si="46"/>
        <v>Segmento do Produto</v>
      </c>
      <c r="O128" s="46" t="str">
        <f t="shared" si="47"/>
        <v>Produto de Fundação</v>
      </c>
      <c r="P128" s="46" t="s">
        <v>187</v>
      </c>
      <c r="Q128" s="46" t="s">
        <v>689</v>
      </c>
      <c r="R128" s="33" t="s">
        <v>9</v>
      </c>
      <c r="S128" s="33" t="str">
        <f t="shared" si="48"/>
        <v>Fornecidos</v>
      </c>
      <c r="T128" s="33" t="str">
        <f t="shared" si="49"/>
        <v>Segmentos dos Produto</v>
      </c>
      <c r="U128" s="33" t="str">
        <f t="shared" si="50"/>
        <v>Segmento do Produto</v>
      </c>
      <c r="V128" s="33" t="s">
        <v>180</v>
      </c>
      <c r="W128" s="53" t="str">
        <f t="shared" si="28"/>
        <v>Key-FABR-128</v>
      </c>
      <c r="X128" s="33" t="s">
        <v>9</v>
      </c>
      <c r="Y128" s="33" t="s">
        <v>9</v>
      </c>
      <c r="Z128" s="58" t="s">
        <v>389</v>
      </c>
      <c r="AA128" s="33" t="s">
        <v>822</v>
      </c>
    </row>
    <row r="129" spans="1:27" ht="6.65" customHeight="1" x14ac:dyDescent="0.4">
      <c r="A129" s="52">
        <v>129</v>
      </c>
      <c r="B129" s="47" t="s">
        <v>888</v>
      </c>
      <c r="C129" s="49" t="s">
        <v>157</v>
      </c>
      <c r="D129" s="47" t="s">
        <v>283</v>
      </c>
      <c r="E129" s="47" t="s">
        <v>282</v>
      </c>
      <c r="F129" s="47" t="s">
        <v>134</v>
      </c>
      <c r="G129" s="56" t="s">
        <v>9</v>
      </c>
      <c r="H129" s="56" t="s">
        <v>9</v>
      </c>
      <c r="I129" s="56" t="s">
        <v>9</v>
      </c>
      <c r="J129" s="56" t="s">
        <v>9</v>
      </c>
      <c r="K129" s="56" t="s">
        <v>9</v>
      </c>
      <c r="L129" s="46" t="str">
        <f t="shared" si="44"/>
        <v>Fornecidos</v>
      </c>
      <c r="M129" s="46" t="str">
        <f t="shared" si="45"/>
        <v>Segmentos dos Produto</v>
      </c>
      <c r="N129" s="46" t="str">
        <f t="shared" si="46"/>
        <v>Segmento do Produto</v>
      </c>
      <c r="O129" s="46" t="str">
        <f t="shared" si="47"/>
        <v>Produto de Estrutura</v>
      </c>
      <c r="P129" s="46" t="s">
        <v>190</v>
      </c>
      <c r="Q129" s="46" t="s">
        <v>690</v>
      </c>
      <c r="R129" s="33" t="s">
        <v>9</v>
      </c>
      <c r="S129" s="33" t="str">
        <f t="shared" si="48"/>
        <v>Fornecidos</v>
      </c>
      <c r="T129" s="33" t="str">
        <f t="shared" si="49"/>
        <v>Segmentos dos Produto</v>
      </c>
      <c r="U129" s="33" t="str">
        <f t="shared" si="50"/>
        <v>Segmento do Produto</v>
      </c>
      <c r="V129" s="33" t="s">
        <v>180</v>
      </c>
      <c r="W129" s="53" t="str">
        <f t="shared" si="28"/>
        <v>Key-FABR-129</v>
      </c>
      <c r="X129" s="33" t="s">
        <v>9</v>
      </c>
      <c r="Y129" s="33" t="s">
        <v>9</v>
      </c>
      <c r="Z129" s="58" t="s">
        <v>390</v>
      </c>
      <c r="AA129" s="33" t="s">
        <v>823</v>
      </c>
    </row>
    <row r="130" spans="1:27" ht="6.65" customHeight="1" x14ac:dyDescent="0.4">
      <c r="A130" s="52">
        <v>130</v>
      </c>
      <c r="B130" s="47" t="s">
        <v>888</v>
      </c>
      <c r="C130" s="49" t="s">
        <v>157</v>
      </c>
      <c r="D130" s="47" t="s">
        <v>283</v>
      </c>
      <c r="E130" s="47" t="s">
        <v>282</v>
      </c>
      <c r="F130" s="47" t="s">
        <v>135</v>
      </c>
      <c r="G130" s="56" t="s">
        <v>9</v>
      </c>
      <c r="H130" s="56" t="s">
        <v>9</v>
      </c>
      <c r="I130" s="56" t="s">
        <v>9</v>
      </c>
      <c r="J130" s="56" t="s">
        <v>9</v>
      </c>
      <c r="K130" s="56" t="s">
        <v>9</v>
      </c>
      <c r="L130" s="46" t="str">
        <f t="shared" si="44"/>
        <v>Fornecidos</v>
      </c>
      <c r="M130" s="46" t="str">
        <f t="shared" si="45"/>
        <v>Segmentos dos Produto</v>
      </c>
      <c r="N130" s="46" t="str">
        <f t="shared" si="46"/>
        <v>Segmento do Produto</v>
      </c>
      <c r="O130" s="46" t="str">
        <f t="shared" si="47"/>
        <v>Produto de Vedação</v>
      </c>
      <c r="P130" s="46" t="s">
        <v>212</v>
      </c>
      <c r="Q130" s="46" t="s">
        <v>691</v>
      </c>
      <c r="R130" s="33" t="s">
        <v>9</v>
      </c>
      <c r="S130" s="33" t="str">
        <f t="shared" si="48"/>
        <v>Fornecidos</v>
      </c>
      <c r="T130" s="33" t="str">
        <f t="shared" si="49"/>
        <v>Segmentos dos Produto</v>
      </c>
      <c r="U130" s="33" t="str">
        <f t="shared" si="50"/>
        <v>Segmento do Produto</v>
      </c>
      <c r="V130" s="33" t="s">
        <v>180</v>
      </c>
      <c r="W130" s="53" t="str">
        <f t="shared" ref="W130:W152" si="51">CONCATENATE("Key-FABR-",A130)</f>
        <v>Key-FABR-130</v>
      </c>
      <c r="X130" s="33" t="s">
        <v>9</v>
      </c>
      <c r="Y130" s="33" t="s">
        <v>9</v>
      </c>
      <c r="Z130" s="58" t="s">
        <v>391</v>
      </c>
      <c r="AA130" s="33" t="s">
        <v>824</v>
      </c>
    </row>
    <row r="131" spans="1:27" ht="6.65" customHeight="1" x14ac:dyDescent="0.4">
      <c r="A131" s="52">
        <v>131</v>
      </c>
      <c r="B131" s="47" t="s">
        <v>888</v>
      </c>
      <c r="C131" s="49" t="s">
        <v>157</v>
      </c>
      <c r="D131" s="47" t="s">
        <v>283</v>
      </c>
      <c r="E131" s="47" t="s">
        <v>282</v>
      </c>
      <c r="F131" s="47" t="s">
        <v>136</v>
      </c>
      <c r="G131" s="56" t="s">
        <v>9</v>
      </c>
      <c r="H131" s="56" t="s">
        <v>9</v>
      </c>
      <c r="I131" s="56" t="s">
        <v>9</v>
      </c>
      <c r="J131" s="56" t="s">
        <v>9</v>
      </c>
      <c r="K131" s="56" t="s">
        <v>9</v>
      </c>
      <c r="L131" s="46" t="str">
        <f t="shared" si="44"/>
        <v>Fornecidos</v>
      </c>
      <c r="M131" s="46" t="str">
        <f t="shared" si="45"/>
        <v>Segmentos dos Produto</v>
      </c>
      <c r="N131" s="46" t="str">
        <f t="shared" si="46"/>
        <v>Segmento do Produto</v>
      </c>
      <c r="O131" s="46" t="str">
        <f t="shared" si="47"/>
        <v>Produto de Acabado</v>
      </c>
      <c r="P131" s="46" t="s">
        <v>191</v>
      </c>
      <c r="Q131" s="46" t="s">
        <v>692</v>
      </c>
      <c r="R131" s="33" t="s">
        <v>9</v>
      </c>
      <c r="S131" s="33" t="str">
        <f t="shared" si="48"/>
        <v>Fornecidos</v>
      </c>
      <c r="T131" s="33" t="str">
        <f t="shared" si="49"/>
        <v>Segmentos dos Produto</v>
      </c>
      <c r="U131" s="33" t="str">
        <f t="shared" si="50"/>
        <v>Segmento do Produto</v>
      </c>
      <c r="V131" s="33" t="s">
        <v>180</v>
      </c>
      <c r="W131" s="53" t="str">
        <f t="shared" si="51"/>
        <v>Key-FABR-131</v>
      </c>
      <c r="X131" s="33" t="s">
        <v>9</v>
      </c>
      <c r="Y131" s="33" t="s">
        <v>9</v>
      </c>
      <c r="Z131" s="58" t="s">
        <v>392</v>
      </c>
      <c r="AA131" s="33" t="s">
        <v>825</v>
      </c>
    </row>
    <row r="132" spans="1:27" ht="6.65" customHeight="1" x14ac:dyDescent="0.4">
      <c r="A132" s="52">
        <v>132</v>
      </c>
      <c r="B132" s="47" t="s">
        <v>888</v>
      </c>
      <c r="C132" s="49" t="s">
        <v>157</v>
      </c>
      <c r="D132" s="47" t="s">
        <v>283</v>
      </c>
      <c r="E132" s="47" t="s">
        <v>282</v>
      </c>
      <c r="F132" s="47" t="s">
        <v>137</v>
      </c>
      <c r="G132" s="56" t="s">
        <v>9</v>
      </c>
      <c r="H132" s="56" t="s">
        <v>9</v>
      </c>
      <c r="I132" s="56" t="s">
        <v>9</v>
      </c>
      <c r="J132" s="56" t="s">
        <v>9</v>
      </c>
      <c r="K132" s="56" t="s">
        <v>9</v>
      </c>
      <c r="L132" s="46" t="str">
        <f t="shared" si="44"/>
        <v>Fornecidos</v>
      </c>
      <c r="M132" s="46" t="str">
        <f t="shared" si="45"/>
        <v>Segmentos dos Produto</v>
      </c>
      <c r="N132" s="46" t="str">
        <f t="shared" si="46"/>
        <v>Segmento do Produto</v>
      </c>
      <c r="O132" s="46" t="str">
        <f t="shared" si="47"/>
        <v>Produto de Abertura</v>
      </c>
      <c r="P132" s="46" t="s">
        <v>211</v>
      </c>
      <c r="Q132" s="46" t="s">
        <v>693</v>
      </c>
      <c r="R132" s="33" t="s">
        <v>9</v>
      </c>
      <c r="S132" s="33" t="str">
        <f t="shared" si="48"/>
        <v>Fornecidos</v>
      </c>
      <c r="T132" s="33" t="str">
        <f t="shared" si="49"/>
        <v>Segmentos dos Produto</v>
      </c>
      <c r="U132" s="33" t="str">
        <f t="shared" si="50"/>
        <v>Segmento do Produto</v>
      </c>
      <c r="V132" s="33" t="s">
        <v>180</v>
      </c>
      <c r="W132" s="53" t="str">
        <f t="shared" si="51"/>
        <v>Key-FABR-132</v>
      </c>
      <c r="X132" s="33" t="s">
        <v>9</v>
      </c>
      <c r="Y132" s="33" t="s">
        <v>9</v>
      </c>
      <c r="Z132" s="58" t="s">
        <v>393</v>
      </c>
      <c r="AA132" s="33" t="s">
        <v>826</v>
      </c>
    </row>
    <row r="133" spans="1:27" ht="6.65" customHeight="1" x14ac:dyDescent="0.4">
      <c r="A133" s="52">
        <v>133</v>
      </c>
      <c r="B133" s="47" t="s">
        <v>888</v>
      </c>
      <c r="C133" s="49" t="s">
        <v>157</v>
      </c>
      <c r="D133" s="47" t="s">
        <v>283</v>
      </c>
      <c r="E133" s="47" t="s">
        <v>282</v>
      </c>
      <c r="F133" s="47" t="s">
        <v>138</v>
      </c>
      <c r="G133" s="56" t="s">
        <v>9</v>
      </c>
      <c r="H133" s="56" t="s">
        <v>9</v>
      </c>
      <c r="I133" s="56" t="s">
        <v>9</v>
      </c>
      <c r="J133" s="56" t="s">
        <v>9</v>
      </c>
      <c r="K133" s="56" t="s">
        <v>9</v>
      </c>
      <c r="L133" s="46" t="str">
        <f t="shared" si="44"/>
        <v>Fornecidos</v>
      </c>
      <c r="M133" s="46" t="str">
        <f t="shared" si="45"/>
        <v>Segmentos dos Produto</v>
      </c>
      <c r="N133" s="46" t="str">
        <f t="shared" si="46"/>
        <v>Segmento do Produto</v>
      </c>
      <c r="O133" s="46" t="str">
        <f t="shared" si="47"/>
        <v>Produto de Acústica</v>
      </c>
      <c r="P133" s="46" t="s">
        <v>192</v>
      </c>
      <c r="Q133" s="46" t="s">
        <v>694</v>
      </c>
      <c r="R133" s="33" t="s">
        <v>9</v>
      </c>
      <c r="S133" s="33" t="str">
        <f t="shared" si="48"/>
        <v>Fornecidos</v>
      </c>
      <c r="T133" s="33" t="str">
        <f t="shared" si="49"/>
        <v>Segmentos dos Produto</v>
      </c>
      <c r="U133" s="33" t="str">
        <f t="shared" si="50"/>
        <v>Segmento do Produto</v>
      </c>
      <c r="V133" s="33" t="s">
        <v>180</v>
      </c>
      <c r="W133" s="53" t="str">
        <f t="shared" si="51"/>
        <v>Key-FABR-133</v>
      </c>
      <c r="X133" s="33" t="s">
        <v>9</v>
      </c>
      <c r="Y133" s="33" t="s">
        <v>9</v>
      </c>
      <c r="Z133" s="58" t="s">
        <v>394</v>
      </c>
      <c r="AA133" s="33" t="s">
        <v>827</v>
      </c>
    </row>
    <row r="134" spans="1:27" ht="6.65" customHeight="1" x14ac:dyDescent="0.4">
      <c r="A134" s="52">
        <v>134</v>
      </c>
      <c r="B134" s="47" t="s">
        <v>888</v>
      </c>
      <c r="C134" s="49" t="s">
        <v>157</v>
      </c>
      <c r="D134" s="47" t="s">
        <v>283</v>
      </c>
      <c r="E134" s="47" t="s">
        <v>282</v>
      </c>
      <c r="F134" s="47" t="s">
        <v>139</v>
      </c>
      <c r="G134" s="56" t="s">
        <v>9</v>
      </c>
      <c r="H134" s="56" t="s">
        <v>9</v>
      </c>
      <c r="I134" s="56" t="s">
        <v>9</v>
      </c>
      <c r="J134" s="56" t="s">
        <v>9</v>
      </c>
      <c r="K134" s="56" t="s">
        <v>9</v>
      </c>
      <c r="L134" s="46" t="str">
        <f t="shared" si="44"/>
        <v>Fornecidos</v>
      </c>
      <c r="M134" s="46" t="str">
        <f t="shared" si="45"/>
        <v>Segmentos dos Produto</v>
      </c>
      <c r="N134" s="46" t="str">
        <f t="shared" si="46"/>
        <v>Segmento do Produto</v>
      </c>
      <c r="O134" s="46" t="str">
        <f t="shared" si="47"/>
        <v>Produto de Elétrica</v>
      </c>
      <c r="P134" s="46" t="s">
        <v>193</v>
      </c>
      <c r="Q134" s="46" t="s">
        <v>695</v>
      </c>
      <c r="R134" s="33" t="s">
        <v>9</v>
      </c>
      <c r="S134" s="33" t="str">
        <f t="shared" si="48"/>
        <v>Fornecidos</v>
      </c>
      <c r="T134" s="33" t="str">
        <f t="shared" si="49"/>
        <v>Segmentos dos Produto</v>
      </c>
      <c r="U134" s="33" t="str">
        <f t="shared" si="50"/>
        <v>Segmento do Produto</v>
      </c>
      <c r="V134" s="33" t="s">
        <v>180</v>
      </c>
      <c r="W134" s="53" t="str">
        <f t="shared" si="51"/>
        <v>Key-FABR-134</v>
      </c>
      <c r="X134" s="33" t="s">
        <v>9</v>
      </c>
      <c r="Y134" s="33" t="s">
        <v>9</v>
      </c>
      <c r="Z134" s="58" t="s">
        <v>395</v>
      </c>
      <c r="AA134" s="33" t="s">
        <v>828</v>
      </c>
    </row>
    <row r="135" spans="1:27" ht="6.65" customHeight="1" x14ac:dyDescent="0.4">
      <c r="A135" s="52">
        <v>135</v>
      </c>
      <c r="B135" s="47" t="s">
        <v>888</v>
      </c>
      <c r="C135" s="49" t="s">
        <v>157</v>
      </c>
      <c r="D135" s="47" t="s">
        <v>283</v>
      </c>
      <c r="E135" s="47" t="s">
        <v>282</v>
      </c>
      <c r="F135" s="47" t="s">
        <v>140</v>
      </c>
      <c r="G135" s="56" t="s">
        <v>9</v>
      </c>
      <c r="H135" s="56" t="s">
        <v>9</v>
      </c>
      <c r="I135" s="56" t="s">
        <v>9</v>
      </c>
      <c r="J135" s="56" t="s">
        <v>9</v>
      </c>
      <c r="K135" s="56" t="s">
        <v>9</v>
      </c>
      <c r="L135" s="46" t="str">
        <f t="shared" si="44"/>
        <v>Fornecidos</v>
      </c>
      <c r="M135" s="46" t="str">
        <f t="shared" si="45"/>
        <v>Segmentos dos Produto</v>
      </c>
      <c r="N135" s="46" t="str">
        <f t="shared" si="46"/>
        <v>Segmento do Produto</v>
      </c>
      <c r="O135" s="46" t="str">
        <f t="shared" si="47"/>
        <v>Produto de Iluminação</v>
      </c>
      <c r="P135" s="46" t="s">
        <v>179</v>
      </c>
      <c r="Q135" s="46" t="s">
        <v>696</v>
      </c>
      <c r="R135" s="33" t="s">
        <v>9</v>
      </c>
      <c r="S135" s="33" t="str">
        <f t="shared" si="48"/>
        <v>Fornecidos</v>
      </c>
      <c r="T135" s="33" t="str">
        <f t="shared" si="49"/>
        <v>Segmentos dos Produto</v>
      </c>
      <c r="U135" s="33" t="str">
        <f t="shared" si="50"/>
        <v>Segmento do Produto</v>
      </c>
      <c r="V135" s="33" t="s">
        <v>180</v>
      </c>
      <c r="W135" s="53" t="str">
        <f t="shared" si="51"/>
        <v>Key-FABR-135</v>
      </c>
      <c r="X135" s="33" t="s">
        <v>9</v>
      </c>
      <c r="Y135" s="33" t="s">
        <v>9</v>
      </c>
      <c r="Z135" s="58" t="s">
        <v>396</v>
      </c>
      <c r="AA135" s="33" t="s">
        <v>829</v>
      </c>
    </row>
    <row r="136" spans="1:27" ht="6.65" customHeight="1" x14ac:dyDescent="0.4">
      <c r="A136" s="52">
        <v>136</v>
      </c>
      <c r="B136" s="47" t="s">
        <v>888</v>
      </c>
      <c r="C136" s="49" t="s">
        <v>157</v>
      </c>
      <c r="D136" s="47" t="s">
        <v>283</v>
      </c>
      <c r="E136" s="47" t="s">
        <v>282</v>
      </c>
      <c r="F136" s="47" t="s">
        <v>141</v>
      </c>
      <c r="G136" s="56" t="s">
        <v>9</v>
      </c>
      <c r="H136" s="56" t="s">
        <v>9</v>
      </c>
      <c r="I136" s="56" t="s">
        <v>9</v>
      </c>
      <c r="J136" s="56" t="s">
        <v>9</v>
      </c>
      <c r="K136" s="56" t="s">
        <v>9</v>
      </c>
      <c r="L136" s="46" t="str">
        <f t="shared" si="44"/>
        <v>Fornecidos</v>
      </c>
      <c r="M136" s="46" t="str">
        <f t="shared" si="45"/>
        <v>Segmentos dos Produto</v>
      </c>
      <c r="N136" s="46" t="str">
        <f t="shared" si="46"/>
        <v>Segmento do Produto</v>
      </c>
      <c r="O136" s="46" t="str">
        <f t="shared" si="47"/>
        <v>Produto de Exaustão Ventilação</v>
      </c>
      <c r="P136" s="46" t="s">
        <v>194</v>
      </c>
      <c r="Q136" s="46" t="s">
        <v>697</v>
      </c>
      <c r="R136" s="33" t="s">
        <v>9</v>
      </c>
      <c r="S136" s="33" t="str">
        <f t="shared" si="48"/>
        <v>Fornecidos</v>
      </c>
      <c r="T136" s="33" t="str">
        <f t="shared" si="49"/>
        <v>Segmentos dos Produto</v>
      </c>
      <c r="U136" s="33" t="str">
        <f t="shared" si="50"/>
        <v>Segmento do Produto</v>
      </c>
      <c r="V136" s="33" t="s">
        <v>180</v>
      </c>
      <c r="W136" s="53" t="str">
        <f t="shared" si="51"/>
        <v>Key-FABR-136</v>
      </c>
      <c r="X136" s="33" t="s">
        <v>9</v>
      </c>
      <c r="Y136" s="33" t="s">
        <v>9</v>
      </c>
      <c r="Z136" s="58" t="s">
        <v>397</v>
      </c>
      <c r="AA136" s="33" t="s">
        <v>830</v>
      </c>
    </row>
    <row r="137" spans="1:27" ht="6.65" customHeight="1" x14ac:dyDescent="0.4">
      <c r="A137" s="52">
        <v>137</v>
      </c>
      <c r="B137" s="47" t="s">
        <v>888</v>
      </c>
      <c r="C137" s="49" t="s">
        <v>157</v>
      </c>
      <c r="D137" s="47" t="s">
        <v>283</v>
      </c>
      <c r="E137" s="47" t="s">
        <v>282</v>
      </c>
      <c r="F137" s="47" t="s">
        <v>142</v>
      </c>
      <c r="G137" s="56" t="s">
        <v>9</v>
      </c>
      <c r="H137" s="56" t="s">
        <v>9</v>
      </c>
      <c r="I137" s="56" t="s">
        <v>9</v>
      </c>
      <c r="J137" s="56" t="s">
        <v>9</v>
      </c>
      <c r="K137" s="56" t="s">
        <v>9</v>
      </c>
      <c r="L137" s="46" t="str">
        <f t="shared" si="44"/>
        <v>Fornecidos</v>
      </c>
      <c r="M137" s="46" t="str">
        <f t="shared" si="45"/>
        <v>Segmentos dos Produto</v>
      </c>
      <c r="N137" s="46" t="str">
        <f t="shared" si="46"/>
        <v>Segmento do Produto</v>
      </c>
      <c r="O137" s="46" t="str">
        <f t="shared" si="47"/>
        <v>Produto de Telecom Urbana</v>
      </c>
      <c r="P137" s="46" t="s">
        <v>199</v>
      </c>
      <c r="Q137" s="46" t="s">
        <v>698</v>
      </c>
      <c r="R137" s="33" t="s">
        <v>9</v>
      </c>
      <c r="S137" s="33" t="str">
        <f t="shared" si="48"/>
        <v>Fornecidos</v>
      </c>
      <c r="T137" s="33" t="str">
        <f t="shared" si="49"/>
        <v>Segmentos dos Produto</v>
      </c>
      <c r="U137" s="33" t="str">
        <f t="shared" si="50"/>
        <v>Segmento do Produto</v>
      </c>
      <c r="V137" s="33" t="s">
        <v>180</v>
      </c>
      <c r="W137" s="53" t="str">
        <f t="shared" si="51"/>
        <v>Key-FABR-137</v>
      </c>
      <c r="X137" s="33" t="s">
        <v>9</v>
      </c>
      <c r="Y137" s="33" t="s">
        <v>9</v>
      </c>
      <c r="Z137" s="58" t="s">
        <v>398</v>
      </c>
      <c r="AA137" s="33" t="s">
        <v>831</v>
      </c>
    </row>
    <row r="138" spans="1:27" ht="6.65" customHeight="1" x14ac:dyDescent="0.4">
      <c r="A138" s="52">
        <v>138</v>
      </c>
      <c r="B138" s="47" t="s">
        <v>888</v>
      </c>
      <c r="C138" s="49" t="s">
        <v>157</v>
      </c>
      <c r="D138" s="47" t="s">
        <v>283</v>
      </c>
      <c r="E138" s="47" t="s">
        <v>282</v>
      </c>
      <c r="F138" s="47" t="s">
        <v>143</v>
      </c>
      <c r="G138" s="56" t="s">
        <v>9</v>
      </c>
      <c r="H138" s="56" t="s">
        <v>9</v>
      </c>
      <c r="I138" s="56" t="s">
        <v>9</v>
      </c>
      <c r="J138" s="56" t="s">
        <v>9</v>
      </c>
      <c r="K138" s="56" t="s">
        <v>9</v>
      </c>
      <c r="L138" s="46" t="str">
        <f t="shared" si="44"/>
        <v>Fornecidos</v>
      </c>
      <c r="M138" s="46" t="str">
        <f t="shared" si="45"/>
        <v>Segmentos dos Produto</v>
      </c>
      <c r="N138" s="46" t="str">
        <f t="shared" si="46"/>
        <v>Segmento do Produto</v>
      </c>
      <c r="O138" s="46" t="str">
        <f t="shared" si="47"/>
        <v>Produto de Telecom Predial</v>
      </c>
      <c r="P138" s="46" t="s">
        <v>200</v>
      </c>
      <c r="Q138" s="46" t="s">
        <v>699</v>
      </c>
      <c r="R138" s="33" t="s">
        <v>9</v>
      </c>
      <c r="S138" s="33" t="str">
        <f t="shared" si="48"/>
        <v>Fornecidos</v>
      </c>
      <c r="T138" s="33" t="str">
        <f t="shared" si="49"/>
        <v>Segmentos dos Produto</v>
      </c>
      <c r="U138" s="33" t="str">
        <f t="shared" si="50"/>
        <v>Segmento do Produto</v>
      </c>
      <c r="V138" s="33" t="s">
        <v>180</v>
      </c>
      <c r="W138" s="53" t="str">
        <f t="shared" si="51"/>
        <v>Key-FABR-138</v>
      </c>
      <c r="X138" s="33" t="s">
        <v>9</v>
      </c>
      <c r="Y138" s="33" t="s">
        <v>9</v>
      </c>
      <c r="Z138" s="58" t="s">
        <v>399</v>
      </c>
      <c r="AA138" s="33" t="s">
        <v>832</v>
      </c>
    </row>
    <row r="139" spans="1:27" ht="6.65" customHeight="1" x14ac:dyDescent="0.4">
      <c r="A139" s="52">
        <v>139</v>
      </c>
      <c r="B139" s="47" t="s">
        <v>888</v>
      </c>
      <c r="C139" s="49" t="s">
        <v>157</v>
      </c>
      <c r="D139" s="47" t="s">
        <v>283</v>
      </c>
      <c r="E139" s="47" t="s">
        <v>282</v>
      </c>
      <c r="F139" s="47" t="s">
        <v>144</v>
      </c>
      <c r="G139" s="56" t="s">
        <v>9</v>
      </c>
      <c r="H139" s="56" t="s">
        <v>9</v>
      </c>
      <c r="I139" s="56" t="s">
        <v>9</v>
      </c>
      <c r="J139" s="56" t="s">
        <v>9</v>
      </c>
      <c r="K139" s="56" t="s">
        <v>9</v>
      </c>
      <c r="L139" s="46" t="str">
        <f t="shared" si="44"/>
        <v>Fornecidos</v>
      </c>
      <c r="M139" s="46" t="str">
        <f t="shared" si="45"/>
        <v>Segmentos dos Produto</v>
      </c>
      <c r="N139" s="46" t="str">
        <f t="shared" si="46"/>
        <v>Segmento do Produto</v>
      </c>
      <c r="O139" s="46" t="str">
        <f t="shared" si="47"/>
        <v>Produto de Hidráulica Urbana</v>
      </c>
      <c r="P139" s="46" t="s">
        <v>198</v>
      </c>
      <c r="Q139" s="46" t="s">
        <v>700</v>
      </c>
      <c r="R139" s="33" t="s">
        <v>9</v>
      </c>
      <c r="S139" s="33" t="str">
        <f t="shared" si="48"/>
        <v>Fornecidos</v>
      </c>
      <c r="T139" s="33" t="str">
        <f t="shared" si="49"/>
        <v>Segmentos dos Produto</v>
      </c>
      <c r="U139" s="33" t="str">
        <f t="shared" si="50"/>
        <v>Segmento do Produto</v>
      </c>
      <c r="V139" s="33" t="s">
        <v>180</v>
      </c>
      <c r="W139" s="53" t="str">
        <f t="shared" si="51"/>
        <v>Key-FABR-139</v>
      </c>
      <c r="X139" s="33" t="s">
        <v>9</v>
      </c>
      <c r="Y139" s="33" t="s">
        <v>9</v>
      </c>
      <c r="Z139" s="58" t="s">
        <v>400</v>
      </c>
      <c r="AA139" s="33" t="s">
        <v>833</v>
      </c>
    </row>
    <row r="140" spans="1:27" ht="6.65" customHeight="1" x14ac:dyDescent="0.4">
      <c r="A140" s="52">
        <v>140</v>
      </c>
      <c r="B140" s="47" t="s">
        <v>888</v>
      </c>
      <c r="C140" s="49" t="s">
        <v>157</v>
      </c>
      <c r="D140" s="47" t="s">
        <v>283</v>
      </c>
      <c r="E140" s="47" t="s">
        <v>282</v>
      </c>
      <c r="F140" s="47" t="s">
        <v>145</v>
      </c>
      <c r="G140" s="56" t="s">
        <v>9</v>
      </c>
      <c r="H140" s="56" t="s">
        <v>9</v>
      </c>
      <c r="I140" s="56" t="s">
        <v>9</v>
      </c>
      <c r="J140" s="56" t="s">
        <v>9</v>
      </c>
      <c r="K140" s="56" t="s">
        <v>9</v>
      </c>
      <c r="L140" s="46" t="str">
        <f t="shared" si="44"/>
        <v>Fornecidos</v>
      </c>
      <c r="M140" s="46" t="str">
        <f t="shared" si="45"/>
        <v>Segmentos dos Produto</v>
      </c>
      <c r="N140" s="46" t="str">
        <f t="shared" si="46"/>
        <v>Segmento do Produto</v>
      </c>
      <c r="O140" s="46" t="str">
        <f t="shared" si="47"/>
        <v>Produto de Hidráulica Predial</v>
      </c>
      <c r="P140" s="46" t="s">
        <v>197</v>
      </c>
      <c r="Q140" s="46" t="s">
        <v>701</v>
      </c>
      <c r="R140" s="33" t="s">
        <v>9</v>
      </c>
      <c r="S140" s="33" t="str">
        <f t="shared" si="48"/>
        <v>Fornecidos</v>
      </c>
      <c r="T140" s="33" t="str">
        <f t="shared" si="49"/>
        <v>Segmentos dos Produto</v>
      </c>
      <c r="U140" s="33" t="str">
        <f t="shared" si="50"/>
        <v>Segmento do Produto</v>
      </c>
      <c r="V140" s="33" t="s">
        <v>180</v>
      </c>
      <c r="W140" s="53" t="str">
        <f t="shared" si="51"/>
        <v>Key-FABR-140</v>
      </c>
      <c r="X140" s="33" t="s">
        <v>9</v>
      </c>
      <c r="Y140" s="33" t="s">
        <v>9</v>
      </c>
      <c r="Z140" s="58" t="s">
        <v>401</v>
      </c>
      <c r="AA140" s="33" t="s">
        <v>834</v>
      </c>
    </row>
    <row r="141" spans="1:27" ht="6.65" customHeight="1" x14ac:dyDescent="0.4">
      <c r="A141" s="52">
        <v>141</v>
      </c>
      <c r="B141" s="47" t="s">
        <v>888</v>
      </c>
      <c r="C141" s="49" t="s">
        <v>157</v>
      </c>
      <c r="D141" s="47" t="s">
        <v>283</v>
      </c>
      <c r="E141" s="47" t="s">
        <v>282</v>
      </c>
      <c r="F141" s="47" t="s">
        <v>146</v>
      </c>
      <c r="G141" s="56" t="s">
        <v>9</v>
      </c>
      <c r="H141" s="56" t="s">
        <v>9</v>
      </c>
      <c r="I141" s="56" t="s">
        <v>9</v>
      </c>
      <c r="J141" s="56" t="s">
        <v>9</v>
      </c>
      <c r="K141" s="56" t="s">
        <v>9</v>
      </c>
      <c r="L141" s="46" t="str">
        <f t="shared" si="44"/>
        <v>Fornecidos</v>
      </c>
      <c r="M141" s="46" t="str">
        <f t="shared" si="45"/>
        <v>Segmentos dos Produto</v>
      </c>
      <c r="N141" s="46" t="str">
        <f t="shared" si="46"/>
        <v>Segmento do Produto</v>
      </c>
      <c r="O141" s="46" t="str">
        <f t="shared" si="47"/>
        <v>Produto de Pluvial</v>
      </c>
      <c r="P141" s="46" t="s">
        <v>201</v>
      </c>
      <c r="Q141" s="46" t="s">
        <v>702</v>
      </c>
      <c r="R141" s="33" t="s">
        <v>9</v>
      </c>
      <c r="S141" s="33" t="str">
        <f t="shared" si="48"/>
        <v>Fornecidos</v>
      </c>
      <c r="T141" s="33" t="str">
        <f t="shared" si="49"/>
        <v>Segmentos dos Produto</v>
      </c>
      <c r="U141" s="33" t="str">
        <f t="shared" si="50"/>
        <v>Segmento do Produto</v>
      </c>
      <c r="V141" s="33" t="s">
        <v>180</v>
      </c>
      <c r="W141" s="53" t="str">
        <f t="shared" si="51"/>
        <v>Key-FABR-141</v>
      </c>
      <c r="X141" s="33" t="s">
        <v>9</v>
      </c>
      <c r="Y141" s="33" t="s">
        <v>9</v>
      </c>
      <c r="Z141" s="58" t="s">
        <v>402</v>
      </c>
      <c r="AA141" s="33" t="s">
        <v>835</v>
      </c>
    </row>
    <row r="142" spans="1:27" ht="6.65" customHeight="1" x14ac:dyDescent="0.4">
      <c r="A142" s="52">
        <v>142</v>
      </c>
      <c r="B142" s="47" t="s">
        <v>888</v>
      </c>
      <c r="C142" s="49" t="s">
        <v>157</v>
      </c>
      <c r="D142" s="47" t="s">
        <v>283</v>
      </c>
      <c r="E142" s="47" t="s">
        <v>282</v>
      </c>
      <c r="F142" s="47" t="s">
        <v>147</v>
      </c>
      <c r="G142" s="56" t="s">
        <v>9</v>
      </c>
      <c r="H142" s="56" t="s">
        <v>9</v>
      </c>
      <c r="I142" s="56" t="s">
        <v>9</v>
      </c>
      <c r="J142" s="56" t="s">
        <v>9</v>
      </c>
      <c r="K142" s="56" t="s">
        <v>9</v>
      </c>
      <c r="L142" s="46" t="str">
        <f t="shared" si="44"/>
        <v>Fornecidos</v>
      </c>
      <c r="M142" s="46" t="str">
        <f t="shared" si="45"/>
        <v>Segmentos dos Produto</v>
      </c>
      <c r="N142" s="46" t="str">
        <f t="shared" si="46"/>
        <v>Segmento do Produto</v>
      </c>
      <c r="O142" s="46" t="str">
        <f t="shared" si="47"/>
        <v>Produto de Esgoto Predial</v>
      </c>
      <c r="P142" s="46" t="s">
        <v>195</v>
      </c>
      <c r="Q142" s="46" t="s">
        <v>703</v>
      </c>
      <c r="R142" s="33" t="s">
        <v>9</v>
      </c>
      <c r="S142" s="33" t="str">
        <f t="shared" si="48"/>
        <v>Fornecidos</v>
      </c>
      <c r="T142" s="33" t="str">
        <f t="shared" si="49"/>
        <v>Segmentos dos Produto</v>
      </c>
      <c r="U142" s="33" t="str">
        <f t="shared" si="50"/>
        <v>Segmento do Produto</v>
      </c>
      <c r="V142" s="33" t="s">
        <v>180</v>
      </c>
      <c r="W142" s="53" t="str">
        <f t="shared" si="51"/>
        <v>Key-FABR-142</v>
      </c>
      <c r="X142" s="33" t="s">
        <v>9</v>
      </c>
      <c r="Y142" s="33" t="s">
        <v>9</v>
      </c>
      <c r="Z142" s="58" t="s">
        <v>403</v>
      </c>
      <c r="AA142" s="33" t="s">
        <v>836</v>
      </c>
    </row>
    <row r="143" spans="1:27" ht="6.65" customHeight="1" x14ac:dyDescent="0.4">
      <c r="A143" s="52">
        <v>143</v>
      </c>
      <c r="B143" s="47" t="s">
        <v>888</v>
      </c>
      <c r="C143" s="49" t="s">
        <v>157</v>
      </c>
      <c r="D143" s="47" t="s">
        <v>283</v>
      </c>
      <c r="E143" s="47" t="s">
        <v>282</v>
      </c>
      <c r="F143" s="47" t="s">
        <v>148</v>
      </c>
      <c r="G143" s="56" t="s">
        <v>9</v>
      </c>
      <c r="H143" s="56" t="s">
        <v>9</v>
      </c>
      <c r="I143" s="56" t="s">
        <v>9</v>
      </c>
      <c r="J143" s="56" t="s">
        <v>9</v>
      </c>
      <c r="K143" s="56" t="s">
        <v>9</v>
      </c>
      <c r="L143" s="46" t="str">
        <f t="shared" si="44"/>
        <v>Fornecidos</v>
      </c>
      <c r="M143" s="46" t="str">
        <f t="shared" si="45"/>
        <v>Segmentos dos Produto</v>
      </c>
      <c r="N143" s="46" t="str">
        <f t="shared" si="46"/>
        <v>Segmento do Produto</v>
      </c>
      <c r="O143" s="46" t="str">
        <f t="shared" si="47"/>
        <v>Produto de Esgoto Urbano</v>
      </c>
      <c r="P143" s="46" t="s">
        <v>196</v>
      </c>
      <c r="Q143" s="46" t="s">
        <v>704</v>
      </c>
      <c r="R143" s="33" t="s">
        <v>9</v>
      </c>
      <c r="S143" s="33" t="str">
        <f t="shared" si="48"/>
        <v>Fornecidos</v>
      </c>
      <c r="T143" s="33" t="str">
        <f t="shared" si="49"/>
        <v>Segmentos dos Produto</v>
      </c>
      <c r="U143" s="33" t="str">
        <f t="shared" si="50"/>
        <v>Segmento do Produto</v>
      </c>
      <c r="V143" s="33" t="s">
        <v>180</v>
      </c>
      <c r="W143" s="53" t="str">
        <f t="shared" si="51"/>
        <v>Key-FABR-143</v>
      </c>
      <c r="X143" s="33" t="s">
        <v>9</v>
      </c>
      <c r="Y143" s="33" t="s">
        <v>9</v>
      </c>
      <c r="Z143" s="58" t="s">
        <v>404</v>
      </c>
      <c r="AA143" s="33" t="s">
        <v>837</v>
      </c>
    </row>
    <row r="144" spans="1:27" ht="6.65" customHeight="1" x14ac:dyDescent="0.4">
      <c r="A144" s="52">
        <v>144</v>
      </c>
      <c r="B144" s="47" t="s">
        <v>888</v>
      </c>
      <c r="C144" s="49" t="s">
        <v>157</v>
      </c>
      <c r="D144" s="47" t="s">
        <v>283</v>
      </c>
      <c r="E144" s="47" t="s">
        <v>282</v>
      </c>
      <c r="F144" s="47" t="s">
        <v>149</v>
      </c>
      <c r="G144" s="56" t="s">
        <v>9</v>
      </c>
      <c r="H144" s="56" t="s">
        <v>9</v>
      </c>
      <c r="I144" s="56" t="s">
        <v>9</v>
      </c>
      <c r="J144" s="56" t="s">
        <v>9</v>
      </c>
      <c r="K144" s="56" t="s">
        <v>9</v>
      </c>
      <c r="L144" s="46" t="str">
        <f t="shared" si="44"/>
        <v>Fornecidos</v>
      </c>
      <c r="M144" s="46" t="str">
        <f t="shared" si="45"/>
        <v>Segmentos dos Produto</v>
      </c>
      <c r="N144" s="46" t="str">
        <f t="shared" si="46"/>
        <v>Segmento do Produto</v>
      </c>
      <c r="O144" s="46" t="str">
        <f t="shared" si="47"/>
        <v>Produto de Resíduo</v>
      </c>
      <c r="P144" s="46" t="s">
        <v>202</v>
      </c>
      <c r="Q144" s="46" t="s">
        <v>705</v>
      </c>
      <c r="R144" s="33" t="s">
        <v>9</v>
      </c>
      <c r="S144" s="33" t="str">
        <f t="shared" si="48"/>
        <v>Fornecidos</v>
      </c>
      <c r="T144" s="33" t="str">
        <f t="shared" si="49"/>
        <v>Segmentos dos Produto</v>
      </c>
      <c r="U144" s="33" t="str">
        <f t="shared" si="50"/>
        <v>Segmento do Produto</v>
      </c>
      <c r="V144" s="33" t="s">
        <v>180</v>
      </c>
      <c r="W144" s="53" t="str">
        <f t="shared" si="51"/>
        <v>Key-FABR-144</v>
      </c>
      <c r="X144" s="33" t="s">
        <v>9</v>
      </c>
      <c r="Y144" s="33" t="s">
        <v>9</v>
      </c>
      <c r="Z144" s="58" t="s">
        <v>405</v>
      </c>
      <c r="AA144" s="33" t="s">
        <v>838</v>
      </c>
    </row>
    <row r="145" spans="1:27" ht="6.65" customHeight="1" x14ac:dyDescent="0.4">
      <c r="A145" s="52">
        <v>145</v>
      </c>
      <c r="B145" s="47" t="s">
        <v>888</v>
      </c>
      <c r="C145" s="49" t="s">
        <v>157</v>
      </c>
      <c r="D145" s="47" t="s">
        <v>283</v>
      </c>
      <c r="E145" s="47" t="s">
        <v>282</v>
      </c>
      <c r="F145" s="47" t="s">
        <v>150</v>
      </c>
      <c r="G145" s="56" t="s">
        <v>9</v>
      </c>
      <c r="H145" s="56" t="s">
        <v>9</v>
      </c>
      <c r="I145" s="56" t="s">
        <v>9</v>
      </c>
      <c r="J145" s="56" t="s">
        <v>9</v>
      </c>
      <c r="K145" s="56" t="s">
        <v>9</v>
      </c>
      <c r="L145" s="46" t="str">
        <f t="shared" si="44"/>
        <v>Fornecidos</v>
      </c>
      <c r="M145" s="46" t="str">
        <f t="shared" si="45"/>
        <v>Segmentos dos Produto</v>
      </c>
      <c r="N145" s="46" t="str">
        <f t="shared" si="46"/>
        <v>Segmento do Produto</v>
      </c>
      <c r="O145" s="46" t="str">
        <f t="shared" si="47"/>
        <v>Produto de Refrigeração</v>
      </c>
      <c r="P145" s="46" t="s">
        <v>203</v>
      </c>
      <c r="Q145" s="46" t="s">
        <v>706</v>
      </c>
      <c r="R145" s="33" t="s">
        <v>9</v>
      </c>
      <c r="S145" s="33" t="str">
        <f t="shared" si="48"/>
        <v>Fornecidos</v>
      </c>
      <c r="T145" s="33" t="str">
        <f t="shared" si="49"/>
        <v>Segmentos dos Produto</v>
      </c>
      <c r="U145" s="33" t="str">
        <f t="shared" si="50"/>
        <v>Segmento do Produto</v>
      </c>
      <c r="V145" s="33" t="s">
        <v>180</v>
      </c>
      <c r="W145" s="53" t="str">
        <f t="shared" si="51"/>
        <v>Key-FABR-145</v>
      </c>
      <c r="X145" s="33" t="s">
        <v>9</v>
      </c>
      <c r="Y145" s="33" t="s">
        <v>9</v>
      </c>
      <c r="Z145" s="58" t="s">
        <v>406</v>
      </c>
      <c r="AA145" s="33" t="s">
        <v>839</v>
      </c>
    </row>
    <row r="146" spans="1:27" ht="6.65" customHeight="1" x14ac:dyDescent="0.4">
      <c r="A146" s="52">
        <v>146</v>
      </c>
      <c r="B146" s="47" t="s">
        <v>888</v>
      </c>
      <c r="C146" s="49" t="s">
        <v>157</v>
      </c>
      <c r="D146" s="47" t="s">
        <v>283</v>
      </c>
      <c r="E146" s="47" t="s">
        <v>282</v>
      </c>
      <c r="F146" s="47" t="s">
        <v>151</v>
      </c>
      <c r="G146" s="56" t="s">
        <v>9</v>
      </c>
      <c r="H146" s="56" t="s">
        <v>9</v>
      </c>
      <c r="I146" s="56" t="s">
        <v>9</v>
      </c>
      <c r="J146" s="56" t="s">
        <v>9</v>
      </c>
      <c r="K146" s="56" t="s">
        <v>9</v>
      </c>
      <c r="L146" s="46" t="str">
        <f t="shared" si="44"/>
        <v>Fornecidos</v>
      </c>
      <c r="M146" s="46" t="str">
        <f t="shared" si="45"/>
        <v>Segmentos dos Produto</v>
      </c>
      <c r="N146" s="46" t="str">
        <f t="shared" si="46"/>
        <v>Segmento do Produto</v>
      </c>
      <c r="O146" s="46" t="str">
        <f t="shared" si="47"/>
        <v>Produto de Aquecimento</v>
      </c>
      <c r="P146" s="46" t="s">
        <v>204</v>
      </c>
      <c r="Q146" s="46" t="s">
        <v>707</v>
      </c>
      <c r="R146" s="33" t="s">
        <v>9</v>
      </c>
      <c r="S146" s="33" t="str">
        <f t="shared" si="48"/>
        <v>Fornecidos</v>
      </c>
      <c r="T146" s="33" t="str">
        <f t="shared" si="49"/>
        <v>Segmentos dos Produto</v>
      </c>
      <c r="U146" s="33" t="str">
        <f t="shared" si="50"/>
        <v>Segmento do Produto</v>
      </c>
      <c r="V146" s="33" t="s">
        <v>180</v>
      </c>
      <c r="W146" s="53" t="str">
        <f t="shared" si="51"/>
        <v>Key-FABR-146</v>
      </c>
      <c r="X146" s="33" t="s">
        <v>9</v>
      </c>
      <c r="Y146" s="33" t="s">
        <v>9</v>
      </c>
      <c r="Z146" s="58" t="s">
        <v>407</v>
      </c>
      <c r="AA146" s="33" t="s">
        <v>840</v>
      </c>
    </row>
    <row r="147" spans="1:27" ht="6.65" customHeight="1" x14ac:dyDescent="0.4">
      <c r="A147" s="52">
        <v>147</v>
      </c>
      <c r="B147" s="47" t="s">
        <v>888</v>
      </c>
      <c r="C147" s="49" t="s">
        <v>157</v>
      </c>
      <c r="D147" s="47" t="s">
        <v>283</v>
      </c>
      <c r="E147" s="47" t="s">
        <v>282</v>
      </c>
      <c r="F147" s="47" t="s">
        <v>152</v>
      </c>
      <c r="G147" s="56" t="s">
        <v>9</v>
      </c>
      <c r="H147" s="56" t="s">
        <v>9</v>
      </c>
      <c r="I147" s="56" t="s">
        <v>9</v>
      </c>
      <c r="J147" s="56" t="s">
        <v>9</v>
      </c>
      <c r="K147" s="56" t="s">
        <v>9</v>
      </c>
      <c r="L147" s="46" t="str">
        <f t="shared" si="44"/>
        <v>Fornecidos</v>
      </c>
      <c r="M147" s="46" t="str">
        <f t="shared" si="45"/>
        <v>Segmentos dos Produto</v>
      </c>
      <c r="N147" s="46" t="str">
        <f t="shared" si="46"/>
        <v>Segmento do Produto</v>
      </c>
      <c r="O147" s="46" t="str">
        <f t="shared" si="47"/>
        <v>Produto de Gases</v>
      </c>
      <c r="P147" s="46" t="s">
        <v>205</v>
      </c>
      <c r="Q147" s="46" t="s">
        <v>708</v>
      </c>
      <c r="R147" s="33" t="s">
        <v>9</v>
      </c>
      <c r="S147" s="33" t="str">
        <f t="shared" si="48"/>
        <v>Fornecidos</v>
      </c>
      <c r="T147" s="33" t="str">
        <f t="shared" si="49"/>
        <v>Segmentos dos Produto</v>
      </c>
      <c r="U147" s="33" t="str">
        <f t="shared" si="50"/>
        <v>Segmento do Produto</v>
      </c>
      <c r="V147" s="33" t="s">
        <v>180</v>
      </c>
      <c r="W147" s="53" t="str">
        <f t="shared" si="51"/>
        <v>Key-FABR-147</v>
      </c>
      <c r="X147" s="33" t="s">
        <v>9</v>
      </c>
      <c r="Y147" s="33" t="s">
        <v>9</v>
      </c>
      <c r="Z147" s="58" t="s">
        <v>408</v>
      </c>
      <c r="AA147" s="33" t="s">
        <v>841</v>
      </c>
    </row>
    <row r="148" spans="1:27" ht="6.65" customHeight="1" x14ac:dyDescent="0.4">
      <c r="A148" s="52">
        <v>148</v>
      </c>
      <c r="B148" s="47" t="s">
        <v>888</v>
      </c>
      <c r="C148" s="49" t="s">
        <v>157</v>
      </c>
      <c r="D148" s="47" t="s">
        <v>283</v>
      </c>
      <c r="E148" s="47" t="s">
        <v>282</v>
      </c>
      <c r="F148" s="47" t="s">
        <v>153</v>
      </c>
      <c r="G148" s="56" t="s">
        <v>9</v>
      </c>
      <c r="H148" s="56" t="s">
        <v>9</v>
      </c>
      <c r="I148" s="56" t="s">
        <v>9</v>
      </c>
      <c r="J148" s="56" t="s">
        <v>9</v>
      </c>
      <c r="K148" s="56" t="s">
        <v>9</v>
      </c>
      <c r="L148" s="46" t="str">
        <f t="shared" si="44"/>
        <v>Fornecidos</v>
      </c>
      <c r="M148" s="46" t="str">
        <f t="shared" si="45"/>
        <v>Segmentos dos Produto</v>
      </c>
      <c r="N148" s="46" t="str">
        <f t="shared" si="46"/>
        <v>Segmento do Produto</v>
      </c>
      <c r="O148" s="46" t="str">
        <f t="shared" si="47"/>
        <v>Produto de Mobiliário</v>
      </c>
      <c r="P148" s="46" t="s">
        <v>206</v>
      </c>
      <c r="Q148" s="46" t="s">
        <v>709</v>
      </c>
      <c r="R148" s="33" t="s">
        <v>9</v>
      </c>
      <c r="S148" s="33" t="str">
        <f t="shared" si="48"/>
        <v>Fornecidos</v>
      </c>
      <c r="T148" s="33" t="str">
        <f t="shared" si="49"/>
        <v>Segmentos dos Produto</v>
      </c>
      <c r="U148" s="33" t="str">
        <f t="shared" si="50"/>
        <v>Segmento do Produto</v>
      </c>
      <c r="V148" s="33" t="s">
        <v>180</v>
      </c>
      <c r="W148" s="53" t="str">
        <f t="shared" si="51"/>
        <v>Key-FABR-148</v>
      </c>
      <c r="X148" s="33" t="s">
        <v>9</v>
      </c>
      <c r="Y148" s="33" t="s">
        <v>9</v>
      </c>
      <c r="Z148" s="58" t="s">
        <v>409</v>
      </c>
      <c r="AA148" s="33" t="s">
        <v>842</v>
      </c>
    </row>
    <row r="149" spans="1:27" ht="6.65" customHeight="1" x14ac:dyDescent="0.4">
      <c r="A149" s="52">
        <v>149</v>
      </c>
      <c r="B149" s="47" t="s">
        <v>888</v>
      </c>
      <c r="C149" s="49" t="s">
        <v>157</v>
      </c>
      <c r="D149" s="47" t="s">
        <v>283</v>
      </c>
      <c r="E149" s="47" t="s">
        <v>282</v>
      </c>
      <c r="F149" s="47" t="s">
        <v>154</v>
      </c>
      <c r="G149" s="56" t="s">
        <v>9</v>
      </c>
      <c r="H149" s="56" t="s">
        <v>9</v>
      </c>
      <c r="I149" s="56" t="s">
        <v>9</v>
      </c>
      <c r="J149" s="56" t="s">
        <v>9</v>
      </c>
      <c r="K149" s="56" t="s">
        <v>9</v>
      </c>
      <c r="L149" s="46" t="str">
        <f t="shared" si="44"/>
        <v>Fornecidos</v>
      </c>
      <c r="M149" s="46" t="str">
        <f t="shared" si="45"/>
        <v>Segmentos dos Produto</v>
      </c>
      <c r="N149" s="46" t="str">
        <f t="shared" si="46"/>
        <v>Segmento do Produto</v>
      </c>
      <c r="O149" s="46" t="str">
        <f t="shared" si="47"/>
        <v>Produto de Automação</v>
      </c>
      <c r="P149" s="46" t="s">
        <v>207</v>
      </c>
      <c r="Q149" s="46" t="s">
        <v>710</v>
      </c>
      <c r="R149" s="33" t="s">
        <v>9</v>
      </c>
      <c r="S149" s="33" t="str">
        <f t="shared" si="48"/>
        <v>Fornecidos</v>
      </c>
      <c r="T149" s="33" t="str">
        <f t="shared" si="49"/>
        <v>Segmentos dos Produto</v>
      </c>
      <c r="U149" s="33" t="str">
        <f t="shared" si="50"/>
        <v>Segmento do Produto</v>
      </c>
      <c r="V149" s="33" t="s">
        <v>180</v>
      </c>
      <c r="W149" s="53" t="str">
        <f t="shared" si="51"/>
        <v>Key-FABR-149</v>
      </c>
      <c r="X149" s="33" t="s">
        <v>9</v>
      </c>
      <c r="Y149" s="33" t="s">
        <v>9</v>
      </c>
      <c r="Z149" s="58" t="s">
        <v>410</v>
      </c>
      <c r="AA149" s="33" t="s">
        <v>843</v>
      </c>
    </row>
    <row r="150" spans="1:27" ht="6.65" customHeight="1" x14ac:dyDescent="0.4">
      <c r="A150" s="52">
        <v>150</v>
      </c>
      <c r="B150" s="47" t="s">
        <v>888</v>
      </c>
      <c r="C150" s="49" t="s">
        <v>157</v>
      </c>
      <c r="D150" s="47" t="s">
        <v>283</v>
      </c>
      <c r="E150" s="47" t="s">
        <v>282</v>
      </c>
      <c r="F150" s="47" t="s">
        <v>160</v>
      </c>
      <c r="G150" s="56" t="s">
        <v>9</v>
      </c>
      <c r="H150" s="56" t="s">
        <v>9</v>
      </c>
      <c r="I150" s="56" t="s">
        <v>9</v>
      </c>
      <c r="J150" s="56" t="s">
        <v>9</v>
      </c>
      <c r="K150" s="56" t="s">
        <v>9</v>
      </c>
      <c r="L150" s="46" t="str">
        <f t="shared" si="44"/>
        <v>Fornecidos</v>
      </c>
      <c r="M150" s="46" t="str">
        <f t="shared" si="45"/>
        <v>Segmentos dos Produto</v>
      </c>
      <c r="N150" s="46" t="str">
        <f t="shared" si="46"/>
        <v>Segmento do Produto</v>
      </c>
      <c r="O150" s="46" t="str">
        <f t="shared" si="47"/>
        <v>Produto de Proteção de Descargas</v>
      </c>
      <c r="P150" s="46" t="s">
        <v>208</v>
      </c>
      <c r="Q150" s="46" t="s">
        <v>711</v>
      </c>
      <c r="R150" s="33" t="s">
        <v>9</v>
      </c>
      <c r="S150" s="33" t="str">
        <f t="shared" si="48"/>
        <v>Fornecidos</v>
      </c>
      <c r="T150" s="33" t="str">
        <f t="shared" si="49"/>
        <v>Segmentos dos Produto</v>
      </c>
      <c r="U150" s="33" t="str">
        <f t="shared" si="50"/>
        <v>Segmento do Produto</v>
      </c>
      <c r="V150" s="33" t="s">
        <v>180</v>
      </c>
      <c r="W150" s="53" t="str">
        <f t="shared" si="51"/>
        <v>Key-FABR-150</v>
      </c>
      <c r="X150" s="33" t="s">
        <v>9</v>
      </c>
      <c r="Y150" s="33" t="s">
        <v>9</v>
      </c>
      <c r="Z150" s="58" t="s">
        <v>411</v>
      </c>
      <c r="AA150" s="33" t="s">
        <v>844</v>
      </c>
    </row>
    <row r="151" spans="1:27" ht="6.65" customHeight="1" x14ac:dyDescent="0.4">
      <c r="A151" s="52">
        <v>151</v>
      </c>
      <c r="B151" s="47" t="s">
        <v>888</v>
      </c>
      <c r="C151" s="49" t="s">
        <v>157</v>
      </c>
      <c r="D151" s="47" t="s">
        <v>283</v>
      </c>
      <c r="E151" s="47" t="s">
        <v>282</v>
      </c>
      <c r="F151" s="47" t="s">
        <v>155</v>
      </c>
      <c r="G151" s="56" t="s">
        <v>9</v>
      </c>
      <c r="H151" s="56" t="s">
        <v>9</v>
      </c>
      <c r="I151" s="56" t="s">
        <v>9</v>
      </c>
      <c r="J151" s="56" t="s">
        <v>9</v>
      </c>
      <c r="K151" s="56" t="s">
        <v>9</v>
      </c>
      <c r="L151" s="46" t="str">
        <f t="shared" si="44"/>
        <v>Fornecidos</v>
      </c>
      <c r="M151" s="46" t="str">
        <f t="shared" si="45"/>
        <v>Segmentos dos Produto</v>
      </c>
      <c r="N151" s="46" t="str">
        <f t="shared" si="46"/>
        <v>Segmento do Produto</v>
      </c>
      <c r="O151" s="46" t="str">
        <f t="shared" si="47"/>
        <v>Produto de Proteção de Incêndio</v>
      </c>
      <c r="P151" s="46" t="s">
        <v>209</v>
      </c>
      <c r="Q151" s="46" t="s">
        <v>712</v>
      </c>
      <c r="R151" s="33" t="s">
        <v>9</v>
      </c>
      <c r="S151" s="33" t="str">
        <f t="shared" si="48"/>
        <v>Fornecidos</v>
      </c>
      <c r="T151" s="33" t="str">
        <f t="shared" si="49"/>
        <v>Segmentos dos Produto</v>
      </c>
      <c r="U151" s="33" t="str">
        <f t="shared" si="50"/>
        <v>Segmento do Produto</v>
      </c>
      <c r="V151" s="33" t="s">
        <v>180</v>
      </c>
      <c r="W151" s="53" t="str">
        <f t="shared" si="51"/>
        <v>Key-FABR-151</v>
      </c>
      <c r="X151" s="33" t="s">
        <v>9</v>
      </c>
      <c r="Y151" s="33" t="s">
        <v>9</v>
      </c>
      <c r="Z151" s="58" t="s">
        <v>412</v>
      </c>
      <c r="AA151" s="33" t="s">
        <v>845</v>
      </c>
    </row>
    <row r="152" spans="1:27" ht="6.65" customHeight="1" x14ac:dyDescent="0.4">
      <c r="A152" s="52">
        <v>152</v>
      </c>
      <c r="B152" s="47" t="s">
        <v>888</v>
      </c>
      <c r="C152" s="49" t="s">
        <v>157</v>
      </c>
      <c r="D152" s="47" t="s">
        <v>283</v>
      </c>
      <c r="E152" s="47" t="s">
        <v>282</v>
      </c>
      <c r="F152" s="47" t="s">
        <v>156</v>
      </c>
      <c r="G152" s="56" t="s">
        <v>9</v>
      </c>
      <c r="H152" s="56" t="s">
        <v>9</v>
      </c>
      <c r="I152" s="56" t="s">
        <v>9</v>
      </c>
      <c r="J152" s="56" t="s">
        <v>9</v>
      </c>
      <c r="K152" s="56" t="s">
        <v>9</v>
      </c>
      <c r="L152" s="46" t="str">
        <f t="shared" si="44"/>
        <v>Fornecidos</v>
      </c>
      <c r="M152" s="46" t="str">
        <f t="shared" si="45"/>
        <v>Segmentos dos Produto</v>
      </c>
      <c r="N152" s="46" t="str">
        <f t="shared" si="46"/>
        <v>Segmento do Produto</v>
      </c>
      <c r="O152" s="46" t="str">
        <f t="shared" si="47"/>
        <v>Produto de Segurança Patrimonial</v>
      </c>
      <c r="P152" s="46" t="s">
        <v>210</v>
      </c>
      <c r="Q152" s="46" t="s">
        <v>713</v>
      </c>
      <c r="R152" s="33" t="s">
        <v>9</v>
      </c>
      <c r="S152" s="33" t="str">
        <f t="shared" si="48"/>
        <v>Fornecidos</v>
      </c>
      <c r="T152" s="33" t="str">
        <f t="shared" si="49"/>
        <v>Segmentos dos Produto</v>
      </c>
      <c r="U152" s="33" t="str">
        <f t="shared" si="50"/>
        <v>Segmento do Produto</v>
      </c>
      <c r="V152" s="33" t="s">
        <v>180</v>
      </c>
      <c r="W152" s="53" t="str">
        <f t="shared" si="51"/>
        <v>Key-FABR-152</v>
      </c>
      <c r="X152" s="33" t="s">
        <v>9</v>
      </c>
      <c r="Y152" s="33" t="s">
        <v>9</v>
      </c>
      <c r="Z152" s="58" t="s">
        <v>413</v>
      </c>
      <c r="AA152" s="33" t="s">
        <v>846</v>
      </c>
    </row>
  </sheetData>
  <sortState xmlns:xlrd2="http://schemas.microsoft.com/office/spreadsheetml/2017/richdata2" ref="A7:AA123">
    <sortCondition ref="F1:F123"/>
  </sortState>
  <phoneticPr fontId="9" type="noConversion"/>
  <conditionalFormatting sqref="A2:B152">
    <cfRule type="cellIs" dxfId="10" priority="6" operator="equal">
      <formula>"null"</formula>
    </cfRule>
  </conditionalFormatting>
  <conditionalFormatting sqref="F1 F164:F1048576 F7:F153">
    <cfRule type="duplicateValues" dxfId="9" priority="8"/>
    <cfRule type="duplicateValues" dxfId="8" priority="10"/>
  </conditionalFormatting>
  <conditionalFormatting sqref="F3:F6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AA2:AA6">
    <cfRule type="cellIs" dxfId="3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dimension ref="A1:U2"/>
  <sheetViews>
    <sheetView zoomScale="340" zoomScaleNormal="34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5.69140625" defaultRowHeight="7.95" customHeight="1" x14ac:dyDescent="0.2"/>
  <cols>
    <col min="1" max="1" width="1.3046875" style="11" bestFit="1" customWidth="1"/>
    <col min="2" max="2" width="5.53515625" style="12" bestFit="1" customWidth="1"/>
    <col min="3" max="10" width="5.15234375" style="12" bestFit="1" customWidth="1"/>
    <col min="11" max="21" width="5.53515625" style="21" bestFit="1" customWidth="1"/>
    <col min="22" max="16384" width="5.69140625" style="21"/>
  </cols>
  <sheetData>
    <row r="1" spans="1:21" ht="15.45" x14ac:dyDescent="0.2">
      <c r="A1" s="19">
        <v>1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41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46</v>
      </c>
      <c r="L1" s="20" t="s">
        <v>47</v>
      </c>
      <c r="M1" s="20" t="s">
        <v>48</v>
      </c>
      <c r="N1" s="20" t="s">
        <v>49</v>
      </c>
      <c r="O1" s="20" t="s">
        <v>50</v>
      </c>
      <c r="P1" s="20" t="s">
        <v>51</v>
      </c>
      <c r="Q1" s="20" t="s">
        <v>52</v>
      </c>
      <c r="R1" s="20" t="s">
        <v>53</v>
      </c>
      <c r="S1" s="20" t="s">
        <v>54</v>
      </c>
      <c r="T1" s="20" t="s">
        <v>55</v>
      </c>
      <c r="U1" s="20" t="s">
        <v>56</v>
      </c>
    </row>
    <row r="2" spans="1:21" ht="7.75" x14ac:dyDescent="0.2">
      <c r="A2" s="19">
        <v>2</v>
      </c>
      <c r="B2" s="22" t="s">
        <v>9</v>
      </c>
      <c r="C2" s="22" t="s">
        <v>9</v>
      </c>
      <c r="D2" s="22" t="s">
        <v>9</v>
      </c>
      <c r="E2" s="22" t="s">
        <v>9</v>
      </c>
      <c r="F2" s="22" t="s">
        <v>9</v>
      </c>
      <c r="G2" s="22" t="s">
        <v>9</v>
      </c>
      <c r="H2" s="22" t="s">
        <v>9</v>
      </c>
      <c r="I2" s="22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dimension ref="A1:D3"/>
  <sheetViews>
    <sheetView zoomScale="370" zoomScaleNormal="370" workbookViewId="0">
      <pane ySplit="1" topLeftCell="A2" activePane="bottomLeft" state="frozen"/>
      <selection activeCell="B2" sqref="B2"/>
      <selection pane="bottomLeft" activeCell="C6" sqref="C6"/>
    </sheetView>
  </sheetViews>
  <sheetFormatPr defaultColWidth="9.15234375" defaultRowHeight="6.75" customHeight="1" x14ac:dyDescent="0.2"/>
  <cols>
    <col min="1" max="1" width="1.3828125" style="13" bestFit="1" customWidth="1"/>
    <col min="2" max="2" width="4.15234375" style="13" customWidth="1"/>
    <col min="3" max="3" width="7.3828125" style="13" customWidth="1"/>
    <col min="4" max="4" width="7.69140625" style="13" customWidth="1"/>
    <col min="5" max="16384" width="9.15234375" style="13"/>
  </cols>
  <sheetData>
    <row r="1" spans="1:4" ht="6.75" customHeight="1" x14ac:dyDescent="0.2">
      <c r="A1" s="8">
        <v>1</v>
      </c>
      <c r="B1" s="9" t="s">
        <v>14</v>
      </c>
      <c r="C1" s="9" t="s">
        <v>75</v>
      </c>
      <c r="D1" s="9" t="s">
        <v>75</v>
      </c>
    </row>
    <row r="2" spans="1:4" ht="6.75" customHeight="1" x14ac:dyDescent="0.2">
      <c r="A2" s="7">
        <v>2</v>
      </c>
      <c r="B2" s="25" t="s">
        <v>9</v>
      </c>
      <c r="C2" s="26" t="s">
        <v>9</v>
      </c>
      <c r="D2" s="26" t="s">
        <v>9</v>
      </c>
    </row>
    <row r="3" spans="1:4" ht="6.75" customHeight="1" x14ac:dyDescent="0.2">
      <c r="A3" s="7">
        <v>3</v>
      </c>
      <c r="B3" s="25" t="s">
        <v>9</v>
      </c>
      <c r="C3" s="26" t="s">
        <v>9</v>
      </c>
      <c r="D3" s="26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0BAA-DAEA-47D5-8FAA-A68A87918655}">
  <dimension ref="A1:M32"/>
  <sheetViews>
    <sheetView zoomScale="220" zoomScaleNormal="220" workbookViewId="0">
      <pane ySplit="1" topLeftCell="A2" activePane="bottomLeft" state="frozen"/>
      <selection pane="bottomLeft" activeCell="H9" sqref="H9:H32"/>
    </sheetView>
  </sheetViews>
  <sheetFormatPr defaultColWidth="9.15234375" defaultRowHeight="6" customHeight="1" x14ac:dyDescent="0.4"/>
  <cols>
    <col min="1" max="1" width="2.53515625" style="38" customWidth="1"/>
    <col min="2" max="2" width="11.69140625" style="38" bestFit="1" customWidth="1"/>
    <col min="3" max="3" width="9.3046875" style="38" bestFit="1" customWidth="1"/>
    <col min="4" max="4" width="8.69140625" style="38" bestFit="1" customWidth="1"/>
    <col min="5" max="5" width="8" style="38" bestFit="1" customWidth="1"/>
    <col min="6" max="6" width="6" style="42" bestFit="1" customWidth="1"/>
    <col min="7" max="7" width="40.3046875" style="42" bestFit="1" customWidth="1"/>
    <col min="8" max="8" width="8.07421875" style="42" customWidth="1"/>
    <col min="9" max="9" width="20.53515625" style="43" bestFit="1" customWidth="1"/>
    <col min="10" max="10" width="7.69140625" style="42" bestFit="1" customWidth="1"/>
    <col min="11" max="11" width="64.3046875" style="42" customWidth="1"/>
    <col min="12" max="12" width="8.3046875" style="38" bestFit="1" customWidth="1"/>
    <col min="13" max="13" width="62.53515625" style="38" customWidth="1"/>
    <col min="14" max="16384" width="9.15234375" style="38"/>
  </cols>
  <sheetData>
    <row r="1" spans="1:13" ht="14.25" customHeight="1" x14ac:dyDescent="0.4">
      <c r="A1" s="14" t="s">
        <v>30</v>
      </c>
      <c r="B1" s="15" t="s">
        <v>13</v>
      </c>
      <c r="C1" s="15" t="s">
        <v>14</v>
      </c>
      <c r="D1" s="27" t="s">
        <v>15</v>
      </c>
      <c r="E1" s="15" t="s">
        <v>2</v>
      </c>
      <c r="F1" s="15" t="s">
        <v>15</v>
      </c>
      <c r="G1" s="15" t="s">
        <v>2</v>
      </c>
      <c r="H1" s="15" t="s">
        <v>15</v>
      </c>
      <c r="I1" s="15" t="s">
        <v>2</v>
      </c>
      <c r="J1" s="15" t="s">
        <v>15</v>
      </c>
      <c r="K1" s="15" t="s">
        <v>2</v>
      </c>
      <c r="L1" s="27" t="s">
        <v>15</v>
      </c>
      <c r="M1" s="27" t="s">
        <v>2</v>
      </c>
    </row>
    <row r="2" spans="1:13" ht="6" customHeight="1" x14ac:dyDescent="0.4">
      <c r="A2" s="16">
        <v>2</v>
      </c>
      <c r="B2" s="17" t="s">
        <v>872</v>
      </c>
      <c r="C2" s="39" t="s">
        <v>93</v>
      </c>
      <c r="D2" s="29" t="s">
        <v>9</v>
      </c>
      <c r="E2" s="30" t="s">
        <v>9</v>
      </c>
      <c r="F2" s="28" t="s">
        <v>16</v>
      </c>
      <c r="G2" s="18" t="s">
        <v>538</v>
      </c>
      <c r="H2" s="28" t="s">
        <v>9</v>
      </c>
      <c r="I2" s="18" t="s">
        <v>9</v>
      </c>
      <c r="J2" s="28" t="s">
        <v>9</v>
      </c>
      <c r="K2" s="18" t="s">
        <v>9</v>
      </c>
      <c r="L2" s="50" t="s">
        <v>9</v>
      </c>
      <c r="M2" s="51" t="s">
        <v>9</v>
      </c>
    </row>
    <row r="3" spans="1:13" ht="6" customHeight="1" x14ac:dyDescent="0.4">
      <c r="A3" s="16">
        <v>3</v>
      </c>
      <c r="B3" s="17" t="s">
        <v>871</v>
      </c>
      <c r="C3" s="39" t="s">
        <v>93</v>
      </c>
      <c r="D3" s="29" t="s">
        <v>78</v>
      </c>
      <c r="E3" s="30" t="s">
        <v>872</v>
      </c>
      <c r="F3" s="28" t="s">
        <v>16</v>
      </c>
      <c r="G3" s="18" t="s">
        <v>539</v>
      </c>
      <c r="H3" s="28" t="s">
        <v>9</v>
      </c>
      <c r="I3" s="18" t="s">
        <v>9</v>
      </c>
      <c r="J3" s="28" t="s">
        <v>9</v>
      </c>
      <c r="K3" s="18" t="s">
        <v>9</v>
      </c>
      <c r="L3" s="50" t="s">
        <v>9</v>
      </c>
      <c r="M3" s="51" t="s">
        <v>9</v>
      </c>
    </row>
    <row r="4" spans="1:13" ht="6" customHeight="1" x14ac:dyDescent="0.4">
      <c r="A4" s="16">
        <v>4</v>
      </c>
      <c r="B4" s="17" t="s">
        <v>232</v>
      </c>
      <c r="C4" s="39" t="s">
        <v>93</v>
      </c>
      <c r="D4" s="29" t="s">
        <v>78</v>
      </c>
      <c r="E4" s="30" t="s">
        <v>871</v>
      </c>
      <c r="F4" s="28" t="s">
        <v>16</v>
      </c>
      <c r="G4" s="18" t="s">
        <v>277</v>
      </c>
      <c r="H4" s="28" t="s">
        <v>9</v>
      </c>
      <c r="I4" s="18" t="s">
        <v>9</v>
      </c>
      <c r="J4" s="28" t="s">
        <v>9</v>
      </c>
      <c r="K4" s="18" t="s">
        <v>9</v>
      </c>
      <c r="L4" s="50" t="s">
        <v>9</v>
      </c>
      <c r="M4" s="51" t="s">
        <v>9</v>
      </c>
    </row>
    <row r="5" spans="1:13" ht="6" customHeight="1" x14ac:dyDescent="0.4">
      <c r="A5" s="16">
        <v>5</v>
      </c>
      <c r="B5" s="17" t="s">
        <v>233</v>
      </c>
      <c r="C5" s="39" t="s">
        <v>93</v>
      </c>
      <c r="D5" s="29" t="s">
        <v>78</v>
      </c>
      <c r="E5" s="30" t="s">
        <v>871</v>
      </c>
      <c r="F5" s="28" t="s">
        <v>16</v>
      </c>
      <c r="G5" s="18" t="s">
        <v>278</v>
      </c>
      <c r="H5" s="28" t="s">
        <v>9</v>
      </c>
      <c r="I5" s="18" t="s">
        <v>9</v>
      </c>
      <c r="J5" s="28" t="s">
        <v>9</v>
      </c>
      <c r="K5" s="18" t="s">
        <v>9</v>
      </c>
      <c r="L5" s="50" t="s">
        <v>9</v>
      </c>
      <c r="M5" s="51" t="s">
        <v>9</v>
      </c>
    </row>
    <row r="6" spans="1:13" ht="6" customHeight="1" x14ac:dyDescent="0.4">
      <c r="A6" s="16">
        <v>6</v>
      </c>
      <c r="B6" s="17" t="s">
        <v>234</v>
      </c>
      <c r="C6" s="39" t="s">
        <v>93</v>
      </c>
      <c r="D6" s="29" t="s">
        <v>78</v>
      </c>
      <c r="E6" s="30" t="s">
        <v>871</v>
      </c>
      <c r="F6" s="28" t="s">
        <v>16</v>
      </c>
      <c r="G6" s="18" t="s">
        <v>279</v>
      </c>
      <c r="H6" s="28" t="s">
        <v>9</v>
      </c>
      <c r="I6" s="18" t="s">
        <v>9</v>
      </c>
      <c r="J6" s="28" t="s">
        <v>9</v>
      </c>
      <c r="K6" s="18" t="s">
        <v>9</v>
      </c>
      <c r="L6" s="50" t="s">
        <v>9</v>
      </c>
      <c r="M6" s="51" t="s">
        <v>9</v>
      </c>
    </row>
    <row r="7" spans="1:13" ht="6" customHeight="1" x14ac:dyDescent="0.4">
      <c r="A7" s="16">
        <v>7</v>
      </c>
      <c r="B7" s="17" t="s">
        <v>235</v>
      </c>
      <c r="C7" s="39" t="s">
        <v>93</v>
      </c>
      <c r="D7" s="29" t="s">
        <v>78</v>
      </c>
      <c r="E7" s="30" t="s">
        <v>871</v>
      </c>
      <c r="F7" s="28" t="s">
        <v>16</v>
      </c>
      <c r="G7" s="18" t="s">
        <v>280</v>
      </c>
      <c r="H7" s="28" t="s">
        <v>9</v>
      </c>
      <c r="I7" s="18" t="s">
        <v>9</v>
      </c>
      <c r="J7" s="28" t="s">
        <v>9</v>
      </c>
      <c r="K7" s="18" t="s">
        <v>9</v>
      </c>
      <c r="L7" s="50" t="s">
        <v>9</v>
      </c>
      <c r="M7" s="51" t="s">
        <v>9</v>
      </c>
    </row>
    <row r="8" spans="1:13" ht="6" customHeight="1" x14ac:dyDescent="0.4">
      <c r="A8" s="16">
        <v>8</v>
      </c>
      <c r="B8" s="17" t="s">
        <v>254</v>
      </c>
      <c r="C8" s="39" t="s">
        <v>93</v>
      </c>
      <c r="D8" s="29" t="s">
        <v>78</v>
      </c>
      <c r="E8" s="30" t="s">
        <v>871</v>
      </c>
      <c r="F8" s="28" t="s">
        <v>16</v>
      </c>
      <c r="G8" s="18" t="s">
        <v>281</v>
      </c>
      <c r="H8" s="28" t="s">
        <v>9</v>
      </c>
      <c r="I8" s="18" t="s">
        <v>9</v>
      </c>
      <c r="J8" s="28" t="s">
        <v>9</v>
      </c>
      <c r="K8" s="18" t="s">
        <v>9</v>
      </c>
      <c r="L8" s="50" t="s">
        <v>9</v>
      </c>
      <c r="M8" s="51" t="s">
        <v>9</v>
      </c>
    </row>
    <row r="9" spans="1:13" ht="6" customHeight="1" x14ac:dyDescent="0.4">
      <c r="A9" s="16">
        <v>9</v>
      </c>
      <c r="B9" s="17" t="s">
        <v>250</v>
      </c>
      <c r="C9" s="39" t="s">
        <v>342</v>
      </c>
      <c r="D9" s="29" t="s">
        <v>78</v>
      </c>
      <c r="E9" s="30" t="s">
        <v>871</v>
      </c>
      <c r="F9" s="28" t="s">
        <v>16</v>
      </c>
      <c r="G9" s="18" t="s">
        <v>269</v>
      </c>
      <c r="H9" s="28" t="s">
        <v>887</v>
      </c>
      <c r="I9" s="40" t="s">
        <v>856</v>
      </c>
      <c r="J9" s="28" t="s">
        <v>229</v>
      </c>
      <c r="K9" s="18" t="s">
        <v>251</v>
      </c>
      <c r="L9" s="50" t="s">
        <v>9</v>
      </c>
      <c r="M9" s="51" t="s">
        <v>9</v>
      </c>
    </row>
    <row r="10" spans="1:13" ht="6" customHeight="1" x14ac:dyDescent="0.4">
      <c r="A10" s="16">
        <v>10</v>
      </c>
      <c r="B10" s="17" t="s">
        <v>241</v>
      </c>
      <c r="C10" s="39" t="s">
        <v>318</v>
      </c>
      <c r="D10" s="29" t="s">
        <v>78</v>
      </c>
      <c r="E10" s="30" t="s">
        <v>871</v>
      </c>
      <c r="F10" s="28" t="s">
        <v>16</v>
      </c>
      <c r="G10" s="18" t="s">
        <v>262</v>
      </c>
      <c r="H10" s="28" t="s">
        <v>887</v>
      </c>
      <c r="I10" s="41" t="s">
        <v>847</v>
      </c>
      <c r="J10" s="28" t="s">
        <v>229</v>
      </c>
      <c r="K10" s="18" t="s">
        <v>541</v>
      </c>
      <c r="L10" s="50" t="s">
        <v>9</v>
      </c>
      <c r="M10" s="51" t="s">
        <v>9</v>
      </c>
    </row>
    <row r="11" spans="1:13" ht="6" customHeight="1" x14ac:dyDescent="0.4">
      <c r="A11" s="16">
        <v>11</v>
      </c>
      <c r="B11" s="17" t="s">
        <v>242</v>
      </c>
      <c r="C11" s="39" t="s">
        <v>318</v>
      </c>
      <c r="D11" s="29" t="s">
        <v>78</v>
      </c>
      <c r="E11" s="30" t="s">
        <v>871</v>
      </c>
      <c r="F11" s="28" t="s">
        <v>16</v>
      </c>
      <c r="G11" s="18" t="s">
        <v>263</v>
      </c>
      <c r="H11" s="28" t="s">
        <v>887</v>
      </c>
      <c r="I11" s="41" t="s">
        <v>848</v>
      </c>
      <c r="J11" s="28" t="s">
        <v>229</v>
      </c>
      <c r="K11" s="18" t="s">
        <v>243</v>
      </c>
      <c r="L11" s="50" t="s">
        <v>9</v>
      </c>
      <c r="M11" s="51" t="s">
        <v>9</v>
      </c>
    </row>
    <row r="12" spans="1:13" ht="6" customHeight="1" x14ac:dyDescent="0.4">
      <c r="A12" s="16">
        <v>12</v>
      </c>
      <c r="B12" s="17" t="s">
        <v>230</v>
      </c>
      <c r="C12" s="39" t="s">
        <v>323</v>
      </c>
      <c r="D12" s="29" t="s">
        <v>78</v>
      </c>
      <c r="E12" s="30" t="s">
        <v>871</v>
      </c>
      <c r="F12" s="28" t="s">
        <v>16</v>
      </c>
      <c r="G12" s="18" t="s">
        <v>272</v>
      </c>
      <c r="H12" s="28" t="s">
        <v>887</v>
      </c>
      <c r="I12" s="40" t="s">
        <v>868</v>
      </c>
      <c r="J12" s="28" t="s">
        <v>229</v>
      </c>
      <c r="K12" s="18" t="s">
        <v>248</v>
      </c>
      <c r="L12" s="50" t="s">
        <v>9</v>
      </c>
      <c r="M12" s="51" t="s">
        <v>9</v>
      </c>
    </row>
    <row r="13" spans="1:13" ht="6" customHeight="1" x14ac:dyDescent="0.4">
      <c r="A13" s="16">
        <v>13</v>
      </c>
      <c r="B13" s="17" t="s">
        <v>231</v>
      </c>
      <c r="C13" s="39" t="s">
        <v>323</v>
      </c>
      <c r="D13" s="29" t="s">
        <v>78</v>
      </c>
      <c r="E13" s="30" t="s">
        <v>871</v>
      </c>
      <c r="F13" s="28" t="s">
        <v>16</v>
      </c>
      <c r="G13" s="18" t="s">
        <v>273</v>
      </c>
      <c r="H13" s="28" t="s">
        <v>887</v>
      </c>
      <c r="I13" s="40" t="s">
        <v>869</v>
      </c>
      <c r="J13" s="28" t="s">
        <v>229</v>
      </c>
      <c r="K13" s="18" t="s">
        <v>249</v>
      </c>
      <c r="L13" s="50" t="s">
        <v>9</v>
      </c>
      <c r="M13" s="51" t="s">
        <v>9</v>
      </c>
    </row>
    <row r="14" spans="1:13" ht="6" customHeight="1" x14ac:dyDescent="0.4">
      <c r="A14" s="16">
        <v>14</v>
      </c>
      <c r="B14" s="17" t="s">
        <v>216</v>
      </c>
      <c r="C14" s="39" t="s">
        <v>347</v>
      </c>
      <c r="D14" s="29" t="s">
        <v>78</v>
      </c>
      <c r="E14" s="30" t="s">
        <v>871</v>
      </c>
      <c r="F14" s="28" t="s">
        <v>16</v>
      </c>
      <c r="G14" s="18" t="s">
        <v>271</v>
      </c>
      <c r="H14" s="28" t="s">
        <v>887</v>
      </c>
      <c r="I14" s="41" t="s">
        <v>867</v>
      </c>
      <c r="J14" s="28" t="s">
        <v>229</v>
      </c>
      <c r="K14" s="18" t="s">
        <v>247</v>
      </c>
      <c r="L14" s="50" t="s">
        <v>9</v>
      </c>
      <c r="M14" s="51" t="s">
        <v>9</v>
      </c>
    </row>
    <row r="15" spans="1:13" ht="6" customHeight="1" x14ac:dyDescent="0.4">
      <c r="A15" s="16">
        <v>15</v>
      </c>
      <c r="B15" s="17" t="s">
        <v>252</v>
      </c>
      <c r="C15" s="39" t="s">
        <v>333</v>
      </c>
      <c r="D15" s="29" t="s">
        <v>78</v>
      </c>
      <c r="E15" s="30" t="s">
        <v>871</v>
      </c>
      <c r="F15" s="28" t="s">
        <v>16</v>
      </c>
      <c r="G15" s="18" t="s">
        <v>268</v>
      </c>
      <c r="H15" s="28" t="s">
        <v>887</v>
      </c>
      <c r="I15" s="40" t="s">
        <v>855</v>
      </c>
      <c r="J15" s="28" t="s">
        <v>229</v>
      </c>
      <c r="K15" s="18" t="s">
        <v>253</v>
      </c>
      <c r="L15" s="50" t="s">
        <v>9</v>
      </c>
      <c r="M15" s="51" t="s">
        <v>9</v>
      </c>
    </row>
    <row r="16" spans="1:13" ht="6" customHeight="1" x14ac:dyDescent="0.4">
      <c r="A16" s="16">
        <v>16</v>
      </c>
      <c r="B16" s="17" t="s">
        <v>218</v>
      </c>
      <c r="C16" s="39" t="s">
        <v>314</v>
      </c>
      <c r="D16" s="29" t="s">
        <v>78</v>
      </c>
      <c r="E16" s="30" t="s">
        <v>871</v>
      </c>
      <c r="F16" s="28" t="s">
        <v>16</v>
      </c>
      <c r="G16" s="18" t="s">
        <v>264</v>
      </c>
      <c r="H16" s="28" t="s">
        <v>887</v>
      </c>
      <c r="I16" s="41" t="s">
        <v>860</v>
      </c>
      <c r="J16" s="28" t="s">
        <v>229</v>
      </c>
      <c r="K16" s="18" t="s">
        <v>540</v>
      </c>
      <c r="L16" s="50" t="s">
        <v>9</v>
      </c>
      <c r="M16" s="51" t="s">
        <v>9</v>
      </c>
    </row>
    <row r="17" spans="1:13" ht="6" customHeight="1" x14ac:dyDescent="0.4">
      <c r="A17" s="16">
        <v>17</v>
      </c>
      <c r="B17" s="17" t="s">
        <v>259</v>
      </c>
      <c r="C17" s="39" t="s">
        <v>314</v>
      </c>
      <c r="D17" s="29" t="s">
        <v>78</v>
      </c>
      <c r="E17" s="30" t="s">
        <v>871</v>
      </c>
      <c r="F17" s="28" t="s">
        <v>16</v>
      </c>
      <c r="G17" s="18" t="s">
        <v>265</v>
      </c>
      <c r="H17" s="28" t="s">
        <v>887</v>
      </c>
      <c r="I17" s="41" t="s">
        <v>861</v>
      </c>
      <c r="J17" s="28" t="s">
        <v>229</v>
      </c>
      <c r="K17" s="18" t="s">
        <v>260</v>
      </c>
      <c r="L17" s="50" t="s">
        <v>9</v>
      </c>
      <c r="M17" s="51" t="s">
        <v>9</v>
      </c>
    </row>
    <row r="18" spans="1:13" ht="6" customHeight="1" x14ac:dyDescent="0.4">
      <c r="A18" s="16">
        <v>18</v>
      </c>
      <c r="B18" s="17" t="s">
        <v>255</v>
      </c>
      <c r="C18" s="39" t="s">
        <v>314</v>
      </c>
      <c r="D18" s="29" t="s">
        <v>78</v>
      </c>
      <c r="E18" s="30" t="s">
        <v>871</v>
      </c>
      <c r="F18" s="28" t="s">
        <v>16</v>
      </c>
      <c r="G18" s="18" t="s">
        <v>266</v>
      </c>
      <c r="H18" s="28" t="s">
        <v>887</v>
      </c>
      <c r="I18" s="41" t="s">
        <v>862</v>
      </c>
      <c r="J18" s="28" t="s">
        <v>229</v>
      </c>
      <c r="K18" s="18" t="s">
        <v>256</v>
      </c>
      <c r="L18" s="50" t="s">
        <v>9</v>
      </c>
      <c r="M18" s="51" t="s">
        <v>9</v>
      </c>
    </row>
    <row r="19" spans="1:13" ht="6" customHeight="1" x14ac:dyDescent="0.4">
      <c r="A19" s="16">
        <v>19</v>
      </c>
      <c r="B19" s="17" t="s">
        <v>257</v>
      </c>
      <c r="C19" s="39" t="s">
        <v>314</v>
      </c>
      <c r="D19" s="29" t="s">
        <v>78</v>
      </c>
      <c r="E19" s="30" t="s">
        <v>871</v>
      </c>
      <c r="F19" s="28" t="s">
        <v>16</v>
      </c>
      <c r="G19" s="18" t="s">
        <v>267</v>
      </c>
      <c r="H19" s="28" t="s">
        <v>887</v>
      </c>
      <c r="I19" s="41" t="s">
        <v>863</v>
      </c>
      <c r="J19" s="28" t="s">
        <v>229</v>
      </c>
      <c r="K19" s="18" t="s">
        <v>258</v>
      </c>
      <c r="L19" s="50" t="s">
        <v>9</v>
      </c>
      <c r="M19" s="51" t="s">
        <v>9</v>
      </c>
    </row>
    <row r="20" spans="1:13" ht="6" customHeight="1" x14ac:dyDescent="0.4">
      <c r="A20" s="16">
        <v>20</v>
      </c>
      <c r="B20" s="17" t="s">
        <v>236</v>
      </c>
      <c r="C20" s="39" t="s">
        <v>314</v>
      </c>
      <c r="D20" s="29" t="s">
        <v>78</v>
      </c>
      <c r="E20" s="30" t="s">
        <v>871</v>
      </c>
      <c r="F20" s="28" t="s">
        <v>16</v>
      </c>
      <c r="G20" s="18" t="s">
        <v>274</v>
      </c>
      <c r="H20" s="28" t="s">
        <v>887</v>
      </c>
      <c r="I20" s="40" t="s">
        <v>864</v>
      </c>
      <c r="J20" s="28" t="s">
        <v>229</v>
      </c>
      <c r="K20" s="18" t="s">
        <v>261</v>
      </c>
      <c r="L20" s="50" t="s">
        <v>9</v>
      </c>
      <c r="M20" s="51" t="s">
        <v>9</v>
      </c>
    </row>
    <row r="21" spans="1:13" ht="6" customHeight="1" x14ac:dyDescent="0.4">
      <c r="A21" s="16">
        <v>21</v>
      </c>
      <c r="B21" s="17" t="s">
        <v>240</v>
      </c>
      <c r="C21" s="39" t="s">
        <v>314</v>
      </c>
      <c r="D21" s="29" t="s">
        <v>78</v>
      </c>
      <c r="E21" s="30" t="s">
        <v>871</v>
      </c>
      <c r="F21" s="28" t="s">
        <v>16</v>
      </c>
      <c r="G21" s="18" t="s">
        <v>274</v>
      </c>
      <c r="H21" s="28" t="s">
        <v>887</v>
      </c>
      <c r="I21" s="40" t="s">
        <v>865</v>
      </c>
      <c r="J21" s="28" t="s">
        <v>229</v>
      </c>
      <c r="K21" s="18" t="s">
        <v>261</v>
      </c>
      <c r="L21" s="50" t="s">
        <v>9</v>
      </c>
      <c r="M21" s="51" t="s">
        <v>9</v>
      </c>
    </row>
    <row r="22" spans="1:13" ht="6" customHeight="1" x14ac:dyDescent="0.4">
      <c r="A22" s="16">
        <v>22</v>
      </c>
      <c r="B22" s="17" t="s">
        <v>215</v>
      </c>
      <c r="C22" s="39" t="s">
        <v>314</v>
      </c>
      <c r="D22" s="29" t="s">
        <v>78</v>
      </c>
      <c r="E22" s="30" t="s">
        <v>871</v>
      </c>
      <c r="F22" s="28" t="s">
        <v>16</v>
      </c>
      <c r="G22" s="18" t="s">
        <v>270</v>
      </c>
      <c r="H22" s="28" t="s">
        <v>887</v>
      </c>
      <c r="I22" s="41" t="s">
        <v>866</v>
      </c>
      <c r="J22" s="28" t="s">
        <v>229</v>
      </c>
      <c r="K22" s="18" t="s">
        <v>246</v>
      </c>
      <c r="L22" s="28" t="s">
        <v>239</v>
      </c>
      <c r="M22" s="18" t="s">
        <v>883</v>
      </c>
    </row>
    <row r="23" spans="1:13" ht="6" customHeight="1" x14ac:dyDescent="0.4">
      <c r="A23" s="16">
        <v>23</v>
      </c>
      <c r="B23" s="44" t="s">
        <v>533</v>
      </c>
      <c r="C23" s="39" t="s">
        <v>352</v>
      </c>
      <c r="D23" s="29" t="s">
        <v>78</v>
      </c>
      <c r="E23" s="30" t="s">
        <v>871</v>
      </c>
      <c r="F23" s="28" t="s">
        <v>16</v>
      </c>
      <c r="G23" s="18" t="s">
        <v>536</v>
      </c>
      <c r="H23" s="28" t="s">
        <v>887</v>
      </c>
      <c r="I23" s="41" t="s">
        <v>857</v>
      </c>
      <c r="J23" s="28" t="s">
        <v>229</v>
      </c>
      <c r="K23" s="18" t="s">
        <v>879</v>
      </c>
      <c r="L23" s="28" t="s">
        <v>239</v>
      </c>
      <c r="M23" s="18" t="s">
        <v>873</v>
      </c>
    </row>
    <row r="24" spans="1:13" ht="6" customHeight="1" x14ac:dyDescent="0.4">
      <c r="A24" s="16">
        <v>24</v>
      </c>
      <c r="B24" s="44" t="s">
        <v>534</v>
      </c>
      <c r="C24" s="39" t="s">
        <v>352</v>
      </c>
      <c r="D24" s="29" t="s">
        <v>78</v>
      </c>
      <c r="E24" s="30" t="s">
        <v>871</v>
      </c>
      <c r="F24" s="28" t="s">
        <v>16</v>
      </c>
      <c r="G24" s="18" t="s">
        <v>542</v>
      </c>
      <c r="H24" s="28" t="s">
        <v>887</v>
      </c>
      <c r="I24" s="41" t="s">
        <v>858</v>
      </c>
      <c r="J24" s="28" t="s">
        <v>229</v>
      </c>
      <c r="K24" s="18" t="s">
        <v>879</v>
      </c>
      <c r="L24" s="28" t="s">
        <v>239</v>
      </c>
      <c r="M24" s="18" t="s">
        <v>874</v>
      </c>
    </row>
    <row r="25" spans="1:13" ht="6" customHeight="1" x14ac:dyDescent="0.4">
      <c r="A25" s="16">
        <v>25</v>
      </c>
      <c r="B25" s="44" t="s">
        <v>537</v>
      </c>
      <c r="C25" s="39" t="s">
        <v>352</v>
      </c>
      <c r="D25" s="29" t="s">
        <v>78</v>
      </c>
      <c r="E25" s="30" t="s">
        <v>871</v>
      </c>
      <c r="F25" s="28" t="s">
        <v>16</v>
      </c>
      <c r="G25" s="18" t="s">
        <v>535</v>
      </c>
      <c r="H25" s="28" t="s">
        <v>887</v>
      </c>
      <c r="I25" s="41" t="s">
        <v>859</v>
      </c>
      <c r="J25" s="28" t="s">
        <v>229</v>
      </c>
      <c r="K25" s="18" t="s">
        <v>879</v>
      </c>
      <c r="L25" s="28" t="s">
        <v>239</v>
      </c>
      <c r="M25" s="18" t="s">
        <v>873</v>
      </c>
    </row>
    <row r="26" spans="1:13" ht="6" customHeight="1" x14ac:dyDescent="0.4">
      <c r="A26" s="16">
        <v>26</v>
      </c>
      <c r="B26" s="44" t="s">
        <v>355</v>
      </c>
      <c r="C26" s="39" t="s">
        <v>294</v>
      </c>
      <c r="D26" s="29" t="s">
        <v>78</v>
      </c>
      <c r="E26" s="30" t="s">
        <v>871</v>
      </c>
      <c r="F26" s="28" t="s">
        <v>16</v>
      </c>
      <c r="G26" s="18" t="s">
        <v>357</v>
      </c>
      <c r="H26" s="28" t="s">
        <v>887</v>
      </c>
      <c r="I26" s="41" t="s">
        <v>852</v>
      </c>
      <c r="J26" s="28" t="s">
        <v>229</v>
      </c>
      <c r="K26" s="18" t="s">
        <v>880</v>
      </c>
      <c r="L26" s="28" t="s">
        <v>239</v>
      </c>
      <c r="M26" s="18" t="s">
        <v>875</v>
      </c>
    </row>
    <row r="27" spans="1:13" ht="6" customHeight="1" x14ac:dyDescent="0.4">
      <c r="A27" s="16">
        <v>27</v>
      </c>
      <c r="B27" s="44" t="s">
        <v>358</v>
      </c>
      <c r="C27" s="39" t="s">
        <v>294</v>
      </c>
      <c r="D27" s="29" t="s">
        <v>78</v>
      </c>
      <c r="E27" s="30" t="s">
        <v>871</v>
      </c>
      <c r="F27" s="28" t="s">
        <v>16</v>
      </c>
      <c r="G27" s="18" t="s">
        <v>357</v>
      </c>
      <c r="H27" s="28" t="s">
        <v>887</v>
      </c>
      <c r="I27" s="41" t="s">
        <v>853</v>
      </c>
      <c r="J27" s="28" t="s">
        <v>229</v>
      </c>
      <c r="K27" s="18" t="s">
        <v>880</v>
      </c>
      <c r="L27" s="28" t="s">
        <v>239</v>
      </c>
      <c r="M27" s="18" t="s">
        <v>875</v>
      </c>
    </row>
    <row r="28" spans="1:13" ht="6" customHeight="1" x14ac:dyDescent="0.4">
      <c r="A28" s="16">
        <v>28</v>
      </c>
      <c r="B28" s="44" t="s">
        <v>356</v>
      </c>
      <c r="C28" s="39" t="s">
        <v>294</v>
      </c>
      <c r="D28" s="29" t="s">
        <v>78</v>
      </c>
      <c r="E28" s="30" t="s">
        <v>871</v>
      </c>
      <c r="F28" s="28" t="s">
        <v>16</v>
      </c>
      <c r="G28" s="18" t="s">
        <v>357</v>
      </c>
      <c r="H28" s="28" t="s">
        <v>887</v>
      </c>
      <c r="I28" s="41" t="s">
        <v>854</v>
      </c>
      <c r="J28" s="28" t="s">
        <v>229</v>
      </c>
      <c r="K28" s="18" t="s">
        <v>880</v>
      </c>
      <c r="L28" s="28" t="s">
        <v>239</v>
      </c>
      <c r="M28" s="18" t="s">
        <v>875</v>
      </c>
    </row>
    <row r="29" spans="1:13" ht="6" customHeight="1" x14ac:dyDescent="0.4">
      <c r="A29" s="16">
        <v>29</v>
      </c>
      <c r="B29" s="44" t="s">
        <v>244</v>
      </c>
      <c r="C29" s="39" t="s">
        <v>299</v>
      </c>
      <c r="D29" s="29" t="s">
        <v>78</v>
      </c>
      <c r="E29" s="30" t="s">
        <v>871</v>
      </c>
      <c r="F29" s="28" t="s">
        <v>16</v>
      </c>
      <c r="G29" s="18" t="s">
        <v>276</v>
      </c>
      <c r="H29" s="28" t="s">
        <v>887</v>
      </c>
      <c r="I29" s="41" t="s">
        <v>849</v>
      </c>
      <c r="J29" s="28" t="s">
        <v>229</v>
      </c>
      <c r="K29" s="18" t="s">
        <v>881</v>
      </c>
      <c r="L29" s="28" t="s">
        <v>239</v>
      </c>
      <c r="M29" s="18" t="s">
        <v>876</v>
      </c>
    </row>
    <row r="30" spans="1:13" ht="6" customHeight="1" x14ac:dyDescent="0.4">
      <c r="A30" s="16">
        <v>30</v>
      </c>
      <c r="B30" s="44" t="s">
        <v>275</v>
      </c>
      <c r="C30" s="39" t="s">
        <v>299</v>
      </c>
      <c r="D30" s="29" t="s">
        <v>78</v>
      </c>
      <c r="E30" s="30" t="s">
        <v>871</v>
      </c>
      <c r="F30" s="28" t="s">
        <v>16</v>
      </c>
      <c r="G30" s="18" t="s">
        <v>276</v>
      </c>
      <c r="H30" s="28" t="s">
        <v>887</v>
      </c>
      <c r="I30" s="41" t="s">
        <v>850</v>
      </c>
      <c r="J30" s="28" t="s">
        <v>229</v>
      </c>
      <c r="K30" s="18" t="s">
        <v>882</v>
      </c>
      <c r="L30" s="28" t="s">
        <v>239</v>
      </c>
      <c r="M30" s="18" t="s">
        <v>877</v>
      </c>
    </row>
    <row r="31" spans="1:13" ht="6" customHeight="1" x14ac:dyDescent="0.4">
      <c r="A31" s="16">
        <v>31</v>
      </c>
      <c r="B31" s="44" t="s">
        <v>245</v>
      </c>
      <c r="C31" s="39" t="s">
        <v>299</v>
      </c>
      <c r="D31" s="29" t="s">
        <v>78</v>
      </c>
      <c r="E31" s="30" t="s">
        <v>871</v>
      </c>
      <c r="F31" s="28" t="s">
        <v>16</v>
      </c>
      <c r="G31" s="18" t="s">
        <v>276</v>
      </c>
      <c r="H31" s="28" t="s">
        <v>887</v>
      </c>
      <c r="I31" s="41" t="s">
        <v>851</v>
      </c>
      <c r="J31" s="28" t="s">
        <v>229</v>
      </c>
      <c r="K31" s="18" t="s">
        <v>881</v>
      </c>
      <c r="L31" s="28" t="s">
        <v>239</v>
      </c>
      <c r="M31" s="18" t="s">
        <v>878</v>
      </c>
    </row>
    <row r="32" spans="1:13" ht="6" customHeight="1" x14ac:dyDescent="0.4">
      <c r="A32" s="16">
        <v>32</v>
      </c>
      <c r="B32" s="17" t="s">
        <v>237</v>
      </c>
      <c r="C32" s="39" t="s">
        <v>560</v>
      </c>
      <c r="D32" s="29" t="s">
        <v>78</v>
      </c>
      <c r="E32" s="30" t="s">
        <v>871</v>
      </c>
      <c r="F32" s="28" t="s">
        <v>16</v>
      </c>
      <c r="G32" s="18" t="s">
        <v>238</v>
      </c>
      <c r="H32" s="28" t="s">
        <v>887</v>
      </c>
      <c r="I32" s="40" t="s">
        <v>870</v>
      </c>
      <c r="J32" s="28" t="s">
        <v>9</v>
      </c>
      <c r="K32" s="18" t="s">
        <v>9</v>
      </c>
      <c r="L32" s="50" t="s">
        <v>9</v>
      </c>
      <c r="M32" s="51" t="s">
        <v>9</v>
      </c>
    </row>
  </sheetData>
  <sortState xmlns:xlrd2="http://schemas.microsoft.com/office/spreadsheetml/2017/richdata2" ref="A9:M31">
    <sortCondition ref="J1:J31"/>
  </sortState>
  <phoneticPr fontId="9" type="noConversion"/>
  <conditionalFormatting sqref="B1:B1048576">
    <cfRule type="duplicateValues" dxfId="2" priority="165"/>
  </conditionalFormatting>
  <conditionalFormatting sqref="B30:B32 B1 B5:B23">
    <cfRule type="duplicateValues" dxfId="1" priority="554"/>
    <cfRule type="duplicateValues" dxfId="0" priority="555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2026-08-09T15:29:59Z</dcterms:modified>
</cp:coreProperties>
</file>