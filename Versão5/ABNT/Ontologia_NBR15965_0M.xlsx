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8573852-8097-45FA-ABA5-0C1451F0ECD1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4" i="1" l="1"/>
  <c r="P303" i="1"/>
  <c r="P302" i="1"/>
  <c r="P301" i="1"/>
  <c r="P300" i="1"/>
  <c r="J15" i="4" l="1"/>
  <c r="X38" i="4" l="1"/>
  <c r="V38" i="4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<sst xmlns="http://schemas.openxmlformats.org/spreadsheetml/2006/main" count="10649" uniqueCount="982">
  <si>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</si>
  <si>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</si>
  <si>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</si>
  <si>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</si>
  <si>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</si>
  <si>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</si>
  <si>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</si>
  <si>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</si>
  <si>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</si>
  <si>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</si>
  <si>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</si>
  <si>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</si>
  <si>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</si>
  <si>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</si>
  <si>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</si>
  <si>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</si>
  <si>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</si>
  <si>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</si>
  <si>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</si>
  <si>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</si>
  <si>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</si>
  <si>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</si>
  <si>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</si>
  <si>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</si>
  <si>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</si>
  <si>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</si>
  <si>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</si>
  <si>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</si>
  <si>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</si>
  <si>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</si>
  <si>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</si>
  <si>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</si>
  <si>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</si>
  <si>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</si>
  <si>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</si>
  <si>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</si>
  <si>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</si>
  <si>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</si>
  <si>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</si>
  <si>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</si>
  <si>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</si>
  <si>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</si>
  <si>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</si>
  <si>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</si>
  <si>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</si>
  <si>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</si>
  <si>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</si>
  <si>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</si>
  <si>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</si>
  <si>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</si>
  <si>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</si>
  <si>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</si>
  <si>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</si>
  <si>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</si>
  <si>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</si>
  <si>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</si>
  <si>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</si>
  <si>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</si>
  <si>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</si>
  <si>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</si>
  <si>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</si>
  <si>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</si>
  <si>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</si>
  <si>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</si>
  <si>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</si>
  <si>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</si>
  <si>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</si>
  <si>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</si>
  <si>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</si>
  <si>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</si>
  <si>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</si>
  <si>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</si>
  <si>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</si>
  <si>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</si>
  <si>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</si>
  <si>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</si>
  <si>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</si>
  <si>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</si>
  <si>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</si>
  <si>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</si>
  <si>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</si>
  <si>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</si>
  <si>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</si>
  <si>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</si>
  <si>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</si>
  <si>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</si>
  <si>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</si>
  <si>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</si>
  <si>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</si>
  <si>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</si>
  <si>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</si>
  <si>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</si>
  <si>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</si>
  <si>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</si>
  <si>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</si>
  <si>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</si>
  <si>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</si>
  <si>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</si>
  <si>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</si>
  <si>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</si>
  <si>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</si>
  <si>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</si>
  <si>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</si>
  <si>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</si>
  <si>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</si>
  <si>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</si>
  <si>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</si>
  <si>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</si>
  <si>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</si>
  <si>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</si>
  <si>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</si>
  <si>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</si>
  <si>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</si>
  <si>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</si>
  <si>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</si>
  <si>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</si>
  <si>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</si>
  <si>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</si>
  <si>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</si>
  <si>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</si>
  <si>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</si>
  <si>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</si>
  <si>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</si>
  <si>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</si>
  <si>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</si>
  <si>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</si>
  <si>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</si>
  <si>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</si>
  <si>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</si>
  <si>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</si>
  <si>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</si>
  <si>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</si>
  <si>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</si>
  <si>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</si>
  <si>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</si>
  <si>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</si>
  <si>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</si>
  <si>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</si>
  <si>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</si>
  <si>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</si>
  <si>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</si>
  <si>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</si>
  <si>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</si>
  <si>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</si>
  <si>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</si>
  <si>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</si>
  <si>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</si>
  <si>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</si>
  <si>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</si>
  <si>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</si>
  <si>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</si>
  <si>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</si>
  <si>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</si>
  <si>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</si>
  <si>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</si>
  <si>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</si>
  <si>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</si>
  <si>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</si>
  <si>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</si>
  <si>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</si>
  <si>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</si>
  <si>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</si>
  <si>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</si>
  <si>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</si>
  <si>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</si>
  <si>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</si>
  <si>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</si>
  <si>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</si>
  <si>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</si>
  <si>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</si>
  <si>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</si>
  <si>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</si>
  <si>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</si>
  <si>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</si>
  <si>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</si>
  <si>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</si>
  <si>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</si>
  <si>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</si>
  <si>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</si>
  <si>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</si>
  <si>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</si>
  <si>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</si>
  <si>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</si>
  <si>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</si>
  <si>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</si>
  <si>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</si>
  <si>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</si>
  <si>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</si>
  <si>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</si>
  <si>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</si>
  <si>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</si>
  <si>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</si>
  <si>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</si>
  <si>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</si>
  <si>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</si>
  <si>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</si>
  <si>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</si>
  <si>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</si>
  <si>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</si>
  <si>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</si>
  <si>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</si>
  <si>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</si>
  <si>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</si>
  <si>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</si>
  <si>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</si>
  <si>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</si>
  <si>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</si>
  <si>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</si>
  <si>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</si>
  <si>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</si>
  <si>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</si>
  <si>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</si>
  <si>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</si>
  <si>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</si>
  <si>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</si>
  <si>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</si>
  <si>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</si>
  <si>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</si>
  <si>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</si>
  <si>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</si>
  <si>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</si>
  <si>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</si>
  <si>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</si>
  <si>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</si>
  <si>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</si>
  <si>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</si>
  <si>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</si>
  <si>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</si>
  <si>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</si>
  <si>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</si>
  <si>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</si>
  <si>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</si>
  <si>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</si>
  <si>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</si>
  <si>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</si>
  <si>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</si>
  <si>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</si>
  <si>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</si>
  <si>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</si>
  <si>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</si>
  <si>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</si>
  <si>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</si>
  <si>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</si>
  <si>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</si>
  <si>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</si>
  <si>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</si>
  <si>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</si>
  <si>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</si>
  <si>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</si>
  <si>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</si>
  <si>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</si>
  <si>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</si>
  <si>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</si>
  <si>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</si>
  <si>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</si>
  <si>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</si>
  <si>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</si>
  <si>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</si>
  <si>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</si>
  <si>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</si>
  <si>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</si>
  <si>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</si>
  <si>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</si>
  <si>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</si>
  <si>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</si>
  <si>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</si>
  <si>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</si>
  <si>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</si>
  <si>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</si>
  <si>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</si>
  <si>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</si>
  <si>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</si>
  <si>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</si>
  <si>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</si>
  <si>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</si>
  <si>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</si>
  <si>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</si>
  <si>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</si>
  <si>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</si>
  <si>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</si>
  <si>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</si>
  <si>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</si>
  <si>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</si>
  <si>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</si>
  <si>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</si>
  <si>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</si>
  <si>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</si>
  <si>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</si>
  <si>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</si>
  <si>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</si>
  <si>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</si>
  <si>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</si>
  <si>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</si>
  <si>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</si>
  <si>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</si>
  <si>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</si>
  <si>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</si>
  <si>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</si>
  <si>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</si>
  <si>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</si>
  <si>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</si>
  <si>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</si>
  <si>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</si>
  <si>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</si>
  <si>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</si>
  <si>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</si>
  <si>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</si>
  <si>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</si>
  <si>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</si>
  <si>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</si>
  <si>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</si>
  <si>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</si>
  <si>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</si>
  <si>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</si>
  <si>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</si>
  <si>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</si>
  <si>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</si>
  <si>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</si>
  <si>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</si>
  <si>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</si>
  <si>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</si>
  <si>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</si>
  <si>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</si>
  <si>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</si>
  <si>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</si>
  <si>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</si>
  <si>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</si>
  <si>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</si>
  <si>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</si>
  <si>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</si>
  <si>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</si>
  <si>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</si>
  <si>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</si>
  <si>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</si>
  <si>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</si>
  <si>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</si>
  <si>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</si>
  <si>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</si>
  <si>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</si>
  <si>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</si>
  <si>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</si>
  <si>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</si>
  <si>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</si>
  <si>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</si>
  <si>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</si>
  <si>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</si>
  <si>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</si>
  <si>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</si>
  <si>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</si>
  <si>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</si>
  <si>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</si>
  <si>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</si>
  <si>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</si>
  <si>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</si>
  <si>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</si>
  <si>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</si>
  <si>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</si>
  <si>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</si>
  <si>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</si>
  <si>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</si>
  <si>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</si>
  <si>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</si>
  <si>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</si>
  <si>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</si>
  <si>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</si>
  <si>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</si>
  <si>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</si>
  <si>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</si>
  <si>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</si>
  <si>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</si>
  <si>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</si>
  <si>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</si>
  <si>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</si>
  <si>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</si>
  <si>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</si>
  <si>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</si>
  <si>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</si>
  <si>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</si>
  <si>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</si>
  <si>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</si>
  <si>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</si>
  <si>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</si>
  <si>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</si>
  <si>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</si>
  <si>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</si>
  <si>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</si>
  <si>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</si>
  <si>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</si>
  <si>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</si>
  <si>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</si>
  <si>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</si>
  <si>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</si>
  <si>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</si>
  <si>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</si>
  <si>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</si>
  <si>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</si>
  <si>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</si>
  <si>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</si>
  <si>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</si>
  <si>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</si>
  <si>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</si>
  <si>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</si>
  <si>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</si>
  <si>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</si>
  <si>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</si>
  <si>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</si>
  <si>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</si>
  <si>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</si>
  <si>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</si>
  <si>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</si>
  <si>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</si>
  <si>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</si>
  <si>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</si>
  <si>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</si>
  <si>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</si>
  <si>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</si>
  <si>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</si>
  <si>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</si>
  <si>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</si>
  <si>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</si>
  <si>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</si>
  <si>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</si>
  <si>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</si>
  <si>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</si>
  <si>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</si>
  <si>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</si>
  <si>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</si>
  <si>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</si>
  <si>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</si>
  <si>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</si>
  <si>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</si>
  <si>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</si>
  <si>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</si>
  <si>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</si>
  <si>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</si>
  <si>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</si>
  <si>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</si>
  <si>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</si>
  <si>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</si>
  <si>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</si>
  <si>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</si>
  <si>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</si>
  <si>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</si>
  <si>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</si>
  <si>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</si>
  <si>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</si>
  <si>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</si>
  <si>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</si>
  <si>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</si>
  <si>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</si>
  <si>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</si>
  <si>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</si>
  <si>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</si>
  <si>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</si>
  <si>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</si>
  <si>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</si>
  <si>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</si>
  <si>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</si>
  <si>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</si>
  <si>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</si>
  <si>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</si>
  <si>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</si>
  <si>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</si>
  <si>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</si>
  <si>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</si>
  <si>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</si>
  <si>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</si>
  <si>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</si>
  <si>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</si>
  <si>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</si>
  <si>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</si>
  <si>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</si>
  <si>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</si>
  <si>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</si>
  <si>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</si>
  <si>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</si>
  <si>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</si>
  <si>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</si>
  <si>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</si>
  <si>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</si>
  <si>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</si>
  <si>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</si>
  <si>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</si>
  <si>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</si>
  <si>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</si>
  <si>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</si>
  <si>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</si>
  <si>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</si>
  <si>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</si>
  <si>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</si>
  <si>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</si>
  <si>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</si>
  <si>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</si>
  <si>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</si>
  <si>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</si>
  <si>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</si>
  <si>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</si>
  <si>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</si>
  <si>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</si>
  <si>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</si>
  <si>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</si>
  <si>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</si>
  <si>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</si>
  <si>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</si>
  <si>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</si>
  <si>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</si>
  <si>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</si>
  <si>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</si>
  <si>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</si>
  <si>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</si>
  <si>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</si>
  <si>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</si>
  <si>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</si>
  <si>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</si>
  <si>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</si>
  <si>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</si>
  <si>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</si>
  <si>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</si>
  <si>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</si>
  <si>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</si>
  <si>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</si>
  <si>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</si>
  <si>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</si>
  <si>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</si>
  <si>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</si>
  <si>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</si>
  <si>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</si>
  <si>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</si>
  <si>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</si>
  <si>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</si>
  <si>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</si>
  <si>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</si>
  <si>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</si>
  <si>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</si>
  <si>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</si>
  <si>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</si>
  <si>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</si>
  <si>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</si>
  <si>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</si>
  <si>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</si>
  <si>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</si>
  <si>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</si>
  <si>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</si>
  <si>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</si>
  <si>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</si>
  <si>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</si>
  <si>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</si>
  <si>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</si>
  <si>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</si>
  <si>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</si>
  <si>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</si>
  <si>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</si>
  <si>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</si>
  <si>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</si>
  <si>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</si>
  <si>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</si>
  <si>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</si>
  <si>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</si>
  <si>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</si>
  <si>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</si>
  <si>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</si>
  <si>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</si>
  <si>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</si>
  <si>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</si>
  <si>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</si>
  <si>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</si>
  <si>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</si>
  <si>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</si>
  <si>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</si>
  <si>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</si>
  <si>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</si>
  <si>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</si>
  <si>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</si>
  <si>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</si>
  <si>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</si>
  <si>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</si>
  <si>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</si>
  <si>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</si>
  <si>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</si>
  <si>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</si>
  <si>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</si>
  <si>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</si>
  <si>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</si>
  <si>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</si>
  <si>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</si>
  <si>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</si>
  <si>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</si>
  <si>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</si>
  <si>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</si>
  <si>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</si>
  <si>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</si>
  <si>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</si>
  <si>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</si>
  <si>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</si>
  <si>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</si>
  <si>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</si>
  <si>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</si>
  <si>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</si>
  <si>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</si>
  <si>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</si>
  <si>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</si>
  <si>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</si>
  <si>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</si>
  <si>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</si>
  <si>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</si>
  <si>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</si>
  <si>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</si>
  <si>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</si>
  <si>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</si>
  <si>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</si>
  <si>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</si>
  <si>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</si>
  <si>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</si>
  <si>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</si>
  <si>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</si>
  <si>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</si>
  <si>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</si>
  <si>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</si>
  <si>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</si>
  <si>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</si>
  <si>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</si>
  <si>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</si>
  <si>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</si>
  <si>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</si>
  <si>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</si>
  <si>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</si>
  <si>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</si>
  <si>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</si>
  <si>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</si>
  <si>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</si>
  <si>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</si>
  <si>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</si>
  <si>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</si>
  <si>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</si>
  <si>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</si>
  <si>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</si>
  <si>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</si>
  <si>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</si>
  <si>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</si>
  <si>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</si>
  <si>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</si>
  <si>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</si>
  <si>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</si>
  <si>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</si>
  <si>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</si>
  <si>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</si>
  <si>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</si>
  <si>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</si>
  <si>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</si>
  <si>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</si>
  <si>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</si>
  <si>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</si>
  <si>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</si>
  <si>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</si>
  <si>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</si>
  <si>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</si>
  <si>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</si>
  <si>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</si>
  <si>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</si>
  <si>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</si>
  <si>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</si>
  <si>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</si>
  <si>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</si>
  <si>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</si>
  <si>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</si>
  <si>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</si>
  <si>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</si>
  <si>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</si>
  <si>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</si>
  <si>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</si>
  <si>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</si>
  <si>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</si>
  <si>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</si>
  <si>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</si>
  <si>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</si>
  <si>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</si>
  <si>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</si>
  <si>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</si>
  <si>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</si>
  <si>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</si>
  <si>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</si>
  <si>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</si>
  <si>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</si>
  <si>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</si>
  <si>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</si>
  <si>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</si>
  <si>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</si>
  <si>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</si>
  <si>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</si>
  <si>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</si>
  <si>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</si>
  <si>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</si>
  <si>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</si>
  <si>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</si>
  <si>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</si>
  <si>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</si>
  <si>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</si>
  <si>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</si>
  <si>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</si>
  <si>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</si>
  <si>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</si>
  <si>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</si>
  <si>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</si>
  <si>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</si>
  <si>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</si>
  <si>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</si>
  <si>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</si>
  <si>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</si>
  <si>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</si>
  <si>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</si>
  <si>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</si>
  <si>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</si>
  <si>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</si>
  <si>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</si>
  <si>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</si>
  <si>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</si>
  <si>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</si>
  <si>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</si>
  <si>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</si>
  <si>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</si>
  <si>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</si>
  <si>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</si>
  <si>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</si>
  <si>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</si>
  <si>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</si>
  <si>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</si>
  <si>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</si>
  <si>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</si>
  <si>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</si>
  <si>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</si>
  <si>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</si>
  <si>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</si>
  <si>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</si>
  <si>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</si>
  <si>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</si>
  <si>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</si>
  <si>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</si>
  <si>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</si>
  <si>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</si>
  <si>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</si>
  <si>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</si>
  <si>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</si>
  <si>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</si>
  <si>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</si>
  <si>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</si>
  <si>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</si>
  <si>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</si>
  <si>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</si>
  <si>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</si>
  <si>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</si>
  <si>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</si>
  <si>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</si>
  <si>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</si>
  <si>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</si>
  <si>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</si>
  <si>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</si>
  <si>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</si>
  <si>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</si>
  <si>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</si>
  <si>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</si>
  <si>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</si>
  <si>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</si>
  <si>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</si>
  <si>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</si>
  <si>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</si>
  <si>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</si>
  <si>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</si>
  <si>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</si>
  <si>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</si>
  <si>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</si>
  <si>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</si>
  <si>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</si>
  <si>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</si>
  <si>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</si>
  <si>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</si>
  <si>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</si>
  <si>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</si>
  <si>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</si>
  <si>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</si>
  <si>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</si>
  <si>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</si>
  <si>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</si>
  <si>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</si>
  <si>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</si>
  <si>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</si>
  <si>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</si>
  <si>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</si>
  <si>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</si>
  <si>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</si>
  <si>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</si>
  <si>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</si>
  <si>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</si>
  <si>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</si>
  <si>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</si>
  <si>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</si>
  <si>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</si>
  <si>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</si>
  <si>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</si>
  <si>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</si>
  <si>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</si>
  <si>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</si>
  <si>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</si>
  <si>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</si>
  <si>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</si>
  <si>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</si>
  <si>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</si>
  <si>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</si>
  <si>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</si>
  <si>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</si>
  <si>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</si>
  <si>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</si>
  <si>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</si>
  <si>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</si>
  <si>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</si>
  <si>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</si>
  <si>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</si>
  <si>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</si>
  <si>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</si>
  <si>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</si>
  <si>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</si>
  <si>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</si>
  <si>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</si>
  <si>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</si>
  <si>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</si>
  <si>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</si>
  <si>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</si>
  <si>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</si>
  <si>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</si>
  <si>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</si>
  <si>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</si>
  <si>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</si>
  <si>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</si>
  <si>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</si>
  <si>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</si>
  <si>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</si>
  <si>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</si>
  <si>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</si>
  <si>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</si>
  <si>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</si>
  <si>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</si>
  <si>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</si>
  <si>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</si>
  <si>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</si>
  <si>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</si>
  <si>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</si>
  <si>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</si>
  <si>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</si>
  <si>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</si>
  <si>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</si>
  <si>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</si>
  <si>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</si>
  <si>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</si>
  <si>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</si>
  <si>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</si>
  <si>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</si>
  <si>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</si>
  <si>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</si>
  <si>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</si>
  <si>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</si>
  <si>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</si>
  <si>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</si>
  <si>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</si>
  <si>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</si>
  <si>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</si>
  <si>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</si>
  <si>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</si>
  <si>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</si>
  <si>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</si>
  <si>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</si>
  <si>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</si>
  <si>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</si>
  <si>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</si>
  <si>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</si>
  <si>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</si>
  <si>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</si>
  <si>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</si>
  <si>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</si>
  <si>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</si>
  <si>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</si>
  <si>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</si>
  <si>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</si>
  <si>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</si>
  <si>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</si>
  <si>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</si>
  <si>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</si>
  <si>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</si>
  <si>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</si>
  <si>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</si>
  <si>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</si>
  <si>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</si>
  <si>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</si>
  <si>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</si>
  <si>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</si>
  <si>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</si>
  <si>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</si>
  <si>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</si>
  <si>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</si>
  <si>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</si>
  <si>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</si>
  <si>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</si>
  <si>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</si>
  <si>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</si>
  <si>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</si>
  <si>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</si>
  <si>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</si>
  <si>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</si>
  <si>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</si>
  <si>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</si>
  <si>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</si>
  <si>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</si>
  <si>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</si>
  <si>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</si>
  <si>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</si>
  <si>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</si>
  <si>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</si>
  <si>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</si>
  <si>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</si>
  <si>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</si>
  <si>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</si>
  <si>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</si>
  <si>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</si>
  <si>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</si>
  <si>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</si>
  <si>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</si>
  <si>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</si>
  <si>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</si>
  <si>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</si>
  <si>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</si>
  <si>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</si>
  <si>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</si>
  <si>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</si>
  <si>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</si>
  <si>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</si>
  <si>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</si>
  <si>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</si>
  <si>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</si>
  <si>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</si>
  <si>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</si>
  <si>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</si>
  <si>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</si>
  <si>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</si>
  <si>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</si>
  <si>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</si>
  <si>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</si>
  <si>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</si>
  <si>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</si>
  <si>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</si>
  <si>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</si>
  <si>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</si>
  <si>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</si>
  <si>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</si>
  <si>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</si>
  <si>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</si>
  <si>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Projeto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</si>
  <si>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</si>
  <si>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</si>
  <si>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</si>
  <si>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</si>
  <si>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</si>
  <si>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</si>
  <si>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</si>
  <si>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</si>
  <si>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</si>
  <si>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</si>
  <si>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</si>
  <si>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</si>
  <si>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</si>
  <si>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</si>
  <si>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API.Revit</t>
  </si>
  <si>
    <t>"API"</t>
  </si>
  <si>
    <t>De.API</t>
  </si>
  <si>
    <t>Métodos</t>
  </si>
  <si>
    <t>Macros</t>
  </si>
  <si>
    <t>Aplicação Revit</t>
  </si>
  <si>
    <t>Aplicativo Revit</t>
  </si>
  <si>
    <t>Revit Aplication</t>
  </si>
  <si>
    <t>é.selecionado.por</t>
  </si>
  <si>
    <t>"[ Elementos ]"</t>
  </si>
  <si>
    <t>"[ Tipos ]"</t>
  </si>
  <si>
    <t>"[ Materiais ]"</t>
  </si>
  <si>
    <t>"[ Ambientes ]"</t>
  </si>
  <si>
    <t>"[ Pavimentos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</si>
</sst>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660</v>
      </c>
    </row>
    <row r="2" spans="1:3" ht="7.4" customHeight="1" x14ac:dyDescent="0.3">
      <c r="A2" s="12" t="s">
        <v>270</v>
      </c>
      <c r="B2" s="12" t="s">
        <v>645</v>
      </c>
      <c r="C2" s="44" t="s">
        <v>661</v>
      </c>
    </row>
    <row r="3" spans="1:3" ht="7.4" customHeight="1" x14ac:dyDescent="0.3">
      <c r="A3" s="12" t="s">
        <v>271</v>
      </c>
      <c r="B3" s="12" t="s">
        <v>268</v>
      </c>
      <c r="C3" s="44" t="s">
        <v>661</v>
      </c>
    </row>
    <row r="4" spans="1:3" ht="7.4" customHeight="1" x14ac:dyDescent="0.3">
      <c r="A4" s="13" t="s">
        <v>254</v>
      </c>
      <c r="B4" s="13" t="s">
        <v>597</v>
      </c>
      <c r="C4" s="44" t="s">
        <v>661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661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661</v>
      </c>
    </row>
    <row r="7" spans="1:3" ht="7.4" customHeight="1" x14ac:dyDescent="0.3">
      <c r="A7" s="13" t="s">
        <v>257</v>
      </c>
      <c r="B7" s="13" t="s">
        <v>291</v>
      </c>
      <c r="C7" s="44" t="s">
        <v>661</v>
      </c>
    </row>
    <row r="8" spans="1:3" ht="7.4" customHeight="1" x14ac:dyDescent="0.3">
      <c r="A8" s="41" t="s">
        <v>258</v>
      </c>
      <c r="B8" s="41" t="s">
        <v>659</v>
      </c>
      <c r="C8" s="44" t="s">
        <v>661</v>
      </c>
    </row>
    <row r="9" spans="1:3" ht="7.4" customHeight="1" x14ac:dyDescent="0.3">
      <c r="A9" s="13" t="s">
        <v>272</v>
      </c>
      <c r="B9" s="13" t="s">
        <v>273</v>
      </c>
      <c r="C9" s="44" t="s">
        <v>661</v>
      </c>
    </row>
    <row r="10" spans="1:3" ht="7.4" customHeight="1" x14ac:dyDescent="0.3">
      <c r="A10" s="13" t="s">
        <v>274</v>
      </c>
      <c r="B10" s="13" t="s">
        <v>275</v>
      </c>
      <c r="C10" s="44" t="s">
        <v>661</v>
      </c>
    </row>
    <row r="11" spans="1:3" ht="7.4" customHeight="1" x14ac:dyDescent="0.3">
      <c r="A11" s="13" t="s">
        <v>276</v>
      </c>
      <c r="B11" s="13" t="s">
        <v>286</v>
      </c>
      <c r="C11" s="44" t="s">
        <v>661</v>
      </c>
    </row>
    <row r="12" spans="1:3" ht="7.4" customHeight="1" x14ac:dyDescent="0.3">
      <c r="A12" s="13" t="s">
        <v>259</v>
      </c>
      <c r="B12" s="13" t="s">
        <v>260</v>
      </c>
      <c r="C12" s="44" t="s">
        <v>661</v>
      </c>
    </row>
    <row r="13" spans="1:3" ht="7.4" customHeight="1" x14ac:dyDescent="0.3">
      <c r="A13" s="13" t="s">
        <v>277</v>
      </c>
      <c r="B13" s="13" t="s">
        <v>261</v>
      </c>
      <c r="C13" s="44" t="s">
        <v>661</v>
      </c>
    </row>
    <row r="14" spans="1:3" ht="7.4" customHeight="1" x14ac:dyDescent="0.3">
      <c r="A14" s="13" t="s">
        <v>278</v>
      </c>
      <c r="B14" s="13" t="s">
        <v>262</v>
      </c>
      <c r="C14" s="44" t="s">
        <v>661</v>
      </c>
    </row>
    <row r="15" spans="1:3" ht="7.4" customHeight="1" x14ac:dyDescent="0.3">
      <c r="A15" s="13" t="s">
        <v>279</v>
      </c>
      <c r="B15" s="13" t="s">
        <v>262</v>
      </c>
      <c r="C15" s="44" t="s">
        <v>661</v>
      </c>
    </row>
    <row r="16" spans="1:3" ht="7.4" customHeight="1" x14ac:dyDescent="0.3">
      <c r="A16" s="13" t="s">
        <v>280</v>
      </c>
      <c r="B16" s="13" t="s">
        <v>262</v>
      </c>
      <c r="C16" s="44" t="s">
        <v>661</v>
      </c>
    </row>
    <row r="17" spans="1:3" ht="7.4" customHeight="1" x14ac:dyDescent="0.3">
      <c r="A17" s="13" t="s">
        <v>263</v>
      </c>
      <c r="B17" s="13" t="s">
        <v>264</v>
      </c>
      <c r="C17" s="44" t="s">
        <v>661</v>
      </c>
    </row>
    <row r="18" spans="1:3" ht="7.4" customHeight="1" x14ac:dyDescent="0.3">
      <c r="A18" s="13" t="s">
        <v>281</v>
      </c>
      <c r="B18" s="14">
        <f ca="1">NOW()</f>
        <v>46264.561160300924</v>
      </c>
      <c r="C18" s="44" t="s">
        <v>661</v>
      </c>
    </row>
    <row r="19" spans="1:3" ht="7.4" customHeight="1" x14ac:dyDescent="0.3">
      <c r="A19" s="13" t="s">
        <v>671</v>
      </c>
      <c r="B19" s="14" t="s">
        <v>664</v>
      </c>
      <c r="C19" s="44" t="s">
        <v>661</v>
      </c>
    </row>
    <row r="20" spans="1:3" ht="7.4" customHeight="1" x14ac:dyDescent="0.3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4" customHeight="1" x14ac:dyDescent="0.3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4" customHeight="1" x14ac:dyDescent="0.3">
      <c r="A22" s="13" t="s">
        <v>269</v>
      </c>
      <c r="B22" s="13" t="s">
        <v>262</v>
      </c>
      <c r="C22" s="44" t="s">
        <v>661</v>
      </c>
    </row>
    <row r="23" spans="1:3" ht="7.4" customHeight="1" x14ac:dyDescent="0.3">
      <c r="A23" s="13" t="s">
        <v>282</v>
      </c>
      <c r="B23" s="14" t="s">
        <v>262</v>
      </c>
      <c r="C23" s="44" t="s">
        <v>661</v>
      </c>
    </row>
    <row r="24" spans="1:3" ht="7.4" customHeight="1" x14ac:dyDescent="0.3">
      <c r="A24" s="13" t="s">
        <v>287</v>
      </c>
      <c r="B24" s="15" t="s">
        <v>289</v>
      </c>
      <c r="C24" s="44" t="s">
        <v>661</v>
      </c>
    </row>
    <row r="25" spans="1:3" ht="7.4" customHeight="1" x14ac:dyDescent="0.3">
      <c r="A25" s="13" t="s">
        <v>288</v>
      </c>
      <c r="B25" s="15" t="s">
        <v>290</v>
      </c>
      <c r="C25" s="44" t="s">
        <v>662</v>
      </c>
    </row>
    <row r="26" spans="1:3" ht="7.4" customHeight="1" x14ac:dyDescent="0.3">
      <c r="A26" s="41" t="s">
        <v>657</v>
      </c>
      <c r="B26" s="42" t="s">
        <v>658</v>
      </c>
      <c r="C26" s="44" t="s">
        <v>663</v>
      </c>
    </row>
    <row r="27" spans="1:3" ht="8.25" customHeight="1" x14ac:dyDescent="0.3">
      <c r="A27" s="41" t="s">
        <v>890</v>
      </c>
      <c r="B27" s="58" t="s">
        <v>891</v>
      </c>
      <c r="C27" s="44" t="s">
        <v>661</v>
      </c>
    </row>
    <row r="28" spans="1:3" ht="8.25" customHeight="1" x14ac:dyDescent="0.3">
      <c r="A28" s="41" t="s">
        <v>892</v>
      </c>
      <c r="B28" s="59" t="s">
        <v>893</v>
      </c>
      <c r="C28" s="44" t="s">
        <v>661</v>
      </c>
    </row>
    <row r="29" spans="1:3" ht="8.25" customHeight="1" x14ac:dyDescent="0.3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2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2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2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2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2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2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2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2">
      <c r="A37" s="41" t="s">
        <v>910</v>
      </c>
      <c r="B37" s="60" t="s">
        <v>911</v>
      </c>
      <c r="C37" s="44" t="s">
        <v>661</v>
      </c>
    </row>
    <row r="38" spans="1:3" ht="10" customHeight="1" x14ac:dyDescent="0.3">
      <c r="A38" s="13" t="s">
        <v>912</v>
      </c>
      <c r="B38" s="63" t="s">
        <v>913</v>
      </c>
      <c r="C38" s="44" t="s">
        <v>661</v>
      </c>
    </row>
    <row r="39" spans="1:3" s="65" customFormat="1" ht="9.65" customHeight="1" x14ac:dyDescent="0.2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38"/>
  <sheetViews>
    <sheetView tabSelected="1" zoomScale="310" zoomScaleNormal="310" workbookViewId="0">
      <pane ySplit="1" topLeftCell="A35" activePane="bottomLeft" state="frozen"/>
      <selection pane="bottomLeft" activeCell="D38" sqref="D38"/>
    </sheetView>
  </sheetViews>
  <sheetFormatPr defaultRowHeight="7.5" customHeight="1" x14ac:dyDescent="0.3"/>
  <cols>
    <col min="1" max="1" width="1.796875" bestFit="1" customWidth="1"/>
    <col min="2" max="2" width="5.5" style="29" bestFit="1" customWidth="1"/>
    <col min="3" max="3" width="8.796875" style="29" bestFit="1" customWidth="1"/>
    <col min="4" max="4" width="11.69921875" style="29" bestFit="1" customWidth="1"/>
    <col min="5" max="5" width="11.296875" style="29" bestFit="1" customWidth="1"/>
    <col min="6" max="6" width="14.69921875" style="29" bestFit="1" customWidth="1"/>
    <col min="7" max="9" width="8.296875" style="29" bestFit="1" customWidth="1"/>
    <col min="10" max="10" width="17" style="29" customWidth="1"/>
    <col min="11" max="11" width="26.796875" style="29" customWidth="1"/>
    <col min="12" max="12" width="9" bestFit="1" customWidth="1"/>
    <col min="13" max="13" width="11.796875" bestFit="1" customWidth="1"/>
    <col min="14" max="14" width="11.296875" bestFit="1" customWidth="1"/>
    <col min="15" max="15" width="15" bestFit="1" customWidth="1"/>
    <col min="16" max="16" width="61.796875" bestFit="1" customWidth="1"/>
    <col min="17" max="17" width="64.69921875" bestFit="1" customWidth="1"/>
    <col min="18" max="18" width="56.796875" style="40" bestFit="1" customWidth="1"/>
    <col min="19" max="19" width="4.796875" style="29" bestFit="1" customWidth="1"/>
    <col min="20" max="20" width="9" bestFit="1" customWidth="1"/>
    <col min="21" max="21" width="11.796875" bestFit="1" customWidth="1"/>
    <col min="22" max="22" width="11.296875" bestFit="1" customWidth="1"/>
    <col min="23" max="23" width="7.796875" bestFit="1" customWidth="1"/>
    <col min="24" max="24" width="7.5" style="29" bestFit="1" customWidth="1"/>
    <col min="25" max="25" width="44.19921875" bestFit="1" customWidth="1"/>
    <col min="26" max="26" width="8.796875" bestFit="1" customWidth="1"/>
    <col min="27" max="27" width="35.69921875" bestFit="1" customWidth="1"/>
    <col min="28" max="28" width="7.19921875" bestFit="1" customWidth="1"/>
    <col min="29" max="29" width="9.796875" bestFit="1" customWidth="1"/>
  </cols>
  <sheetData>
    <row r="1" spans="1:29" ht="39.75" customHeight="1" x14ac:dyDescent="0.3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8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934</v>
      </c>
      <c r="AA1" s="18" t="s">
        <v>655</v>
      </c>
      <c r="AB1" s="36" t="s">
        <v>935</v>
      </c>
      <c r="AC1" s="18" t="s">
        <v>621</v>
      </c>
    </row>
    <row r="2" spans="1:29" ht="7.5" customHeight="1" x14ac:dyDescent="0.3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929</v>
      </c>
      <c r="Z2" s="39" t="s">
        <v>925</v>
      </c>
      <c r="AA2" s="39" t="s">
        <v>930</v>
      </c>
      <c r="AB2" s="39" t="s">
        <v>925</v>
      </c>
      <c r="AC2" s="39" t="s">
        <v>587</v>
      </c>
    </row>
    <row r="3" spans="1:29" ht="7.5" customHeight="1" x14ac:dyDescent="0.3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933</v>
      </c>
      <c r="Z3" s="39" t="s">
        <v>925</v>
      </c>
      <c r="AA3" s="39" t="s">
        <v>932</v>
      </c>
      <c r="AB3" s="39" t="s">
        <v>925</v>
      </c>
      <c r="AC3" s="39" t="s">
        <v>689</v>
      </c>
    </row>
    <row r="4" spans="1:29" ht="7.5" customHeight="1" x14ac:dyDescent="0.3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39" t="s">
        <v>925</v>
      </c>
      <c r="Z4" s="39" t="s">
        <v>925</v>
      </c>
      <c r="AA4" s="39" t="s">
        <v>924</v>
      </c>
      <c r="AB4" s="39" t="s">
        <v>925</v>
      </c>
      <c r="AC4" s="39" t="s">
        <v>688</v>
      </c>
    </row>
    <row r="5" spans="1:29" ht="7.5" customHeight="1" x14ac:dyDescent="0.3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39" t="s">
        <v>925</v>
      </c>
      <c r="AA5" s="39" t="s">
        <v>923</v>
      </c>
      <c r="AB5" s="39" t="s">
        <v>925</v>
      </c>
      <c r="AC5" s="39" t="s">
        <v>690</v>
      </c>
    </row>
    <row r="6" spans="1:29" ht="7.5" customHeight="1" x14ac:dyDescent="0.3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39" t="s">
        <v>925</v>
      </c>
      <c r="Z6" s="39" t="s">
        <v>925</v>
      </c>
      <c r="AA6" s="39" t="s">
        <v>924</v>
      </c>
      <c r="AB6" s="39" t="s">
        <v>925</v>
      </c>
      <c r="AC6" s="39" t="s">
        <v>691</v>
      </c>
    </row>
    <row r="7" spans="1:29" ht="7.5" customHeight="1" x14ac:dyDescent="0.3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39" t="s">
        <v>925</v>
      </c>
      <c r="Z7" s="39" t="s">
        <v>925</v>
      </c>
      <c r="AA7" s="39" t="s">
        <v>925</v>
      </c>
      <c r="AB7" s="39" t="s">
        <v>925</v>
      </c>
      <c r="AC7" s="39" t="s">
        <v>692</v>
      </c>
    </row>
    <row r="8" spans="1:29" ht="7.5" customHeight="1" x14ac:dyDescent="0.3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39" t="s">
        <v>925</v>
      </c>
      <c r="Z8" s="39" t="s">
        <v>925</v>
      </c>
      <c r="AA8" s="39" t="s">
        <v>925</v>
      </c>
      <c r="AB8" s="39" t="s">
        <v>925</v>
      </c>
      <c r="AC8" s="39" t="s">
        <v>693</v>
      </c>
    </row>
    <row r="9" spans="1:29" ht="7.5" customHeight="1" x14ac:dyDescent="0.3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39" t="s">
        <v>925</v>
      </c>
      <c r="Z9" s="39" t="s">
        <v>925</v>
      </c>
      <c r="AA9" s="39" t="s">
        <v>925</v>
      </c>
      <c r="AB9" s="39" t="s">
        <v>925</v>
      </c>
      <c r="AC9" s="39" t="s">
        <v>694</v>
      </c>
    </row>
    <row r="10" spans="1:29" ht="7.5" customHeight="1" x14ac:dyDescent="0.3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39" t="s">
        <v>925</v>
      </c>
      <c r="Z10" s="39" t="s">
        <v>925</v>
      </c>
      <c r="AA10" s="39" t="s">
        <v>925</v>
      </c>
      <c r="AB10" s="39" t="s">
        <v>925</v>
      </c>
      <c r="AC10" s="39" t="s">
        <v>695</v>
      </c>
    </row>
    <row r="11" spans="1:29" ht="7.5" customHeight="1" x14ac:dyDescent="0.3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39" t="s">
        <v>925</v>
      </c>
      <c r="Z11" s="39" t="s">
        <v>925</v>
      </c>
      <c r="AA11" s="39" t="s">
        <v>925</v>
      </c>
      <c r="AB11" s="39" t="s">
        <v>925</v>
      </c>
      <c r="AC11" s="39" t="s">
        <v>696</v>
      </c>
    </row>
    <row r="12" spans="1:29" ht="7.5" customHeight="1" x14ac:dyDescent="0.3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926</v>
      </c>
      <c r="Z12" s="39" t="s">
        <v>925</v>
      </c>
      <c r="AA12" s="39" t="s">
        <v>931</v>
      </c>
      <c r="AB12" s="39" t="s">
        <v>925</v>
      </c>
      <c r="AC12" s="39" t="s">
        <v>697</v>
      </c>
    </row>
    <row r="13" spans="1:29" ht="7.5" customHeight="1" x14ac:dyDescent="0.3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926</v>
      </c>
      <c r="Z13" s="39" t="s">
        <v>925</v>
      </c>
      <c r="AA13" s="39" t="s">
        <v>931</v>
      </c>
      <c r="AB13" s="39" t="s">
        <v>925</v>
      </c>
      <c r="AC13" s="39" t="s">
        <v>698</v>
      </c>
    </row>
    <row r="14" spans="1:29" ht="7.5" customHeight="1" x14ac:dyDescent="0.3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927</v>
      </c>
      <c r="Z14" s="39" t="s">
        <v>925</v>
      </c>
      <c r="AA14" s="67" t="s">
        <v>928</v>
      </c>
      <c r="AB14" s="39" t="s">
        <v>925</v>
      </c>
      <c r="AC14" s="39" t="s">
        <v>699</v>
      </c>
    </row>
    <row r="15" spans="1:29" ht="7.5" customHeight="1" x14ac:dyDescent="0.3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tr">
        <f t="shared" ref="J15" si="4">_xlfn.CONCAT("é.material some ", E15)</f>
        <v>é.material some NBR.Materiais</v>
      </c>
      <c r="K15" s="31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39" t="s">
        <v>285</v>
      </c>
      <c r="T15" s="37" t="str">
        <f t="shared" ref="T15" si="9">SUBSTITUTE(C15, ".", " ")</f>
        <v>Normativos</v>
      </c>
      <c r="U15" s="37" t="str">
        <f t="shared" ref="U15" si="10">SUBSTITUTE(D15, ".", " ")</f>
        <v>NBR Temáticas</v>
      </c>
      <c r="V15" s="37" t="str">
        <f t="shared" ref="V15" si="11">SUBSTITUTE(E15, ".", " ")</f>
        <v>NBR Materiais</v>
      </c>
      <c r="W15" s="39" t="s">
        <v>643</v>
      </c>
      <c r="X15" s="56" t="str">
        <f t="shared" ref="X15:X38" si="12">CONCATENATE("Key-ABNT-",A15)</f>
        <v>Key-ABNT-15</v>
      </c>
      <c r="Y15" s="39" t="s">
        <v>929</v>
      </c>
      <c r="Z15" s="39" t="s">
        <v>925</v>
      </c>
      <c r="AA15" s="39" t="s">
        <v>930</v>
      </c>
      <c r="AB15" s="39" t="s">
        <v>925</v>
      </c>
      <c r="AC15" s="37" t="s">
        <v>769</v>
      </c>
    </row>
    <row r="16" spans="1:29" ht="7.5" customHeight="1" x14ac:dyDescent="0.3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31" t="s">
        <v>285</v>
      </c>
      <c r="L16" s="48" t="str">
        <f t="shared" ref="L16:M29" si="13">CONCATENATE("", C16)</f>
        <v>Normativos</v>
      </c>
      <c r="M16" s="48" t="str">
        <f t="shared" si="13"/>
        <v>NBR.Temáticas</v>
      </c>
      <c r="N16" s="48" t="str">
        <f t="shared" ref="N16:O31" si="14">(SUBSTITUTE(SUBSTITUTE(CONCATENATE("",E16),"."," ")," De "," de "))</f>
        <v>NBR Materiais</v>
      </c>
      <c r="O16" s="48" t="str">
        <f t="shared" si="14"/>
        <v>NBR M Químico Sólido</v>
      </c>
      <c r="P16" s="39" t="s">
        <v>836</v>
      </c>
      <c r="Q16" s="39" t="s">
        <v>841</v>
      </c>
      <c r="R16" s="39" t="s">
        <v>846</v>
      </c>
      <c r="S16" s="39" t="s">
        <v>285</v>
      </c>
      <c r="T16" s="37" t="str">
        <f t="shared" ref="T16:V31" si="15">SUBSTITUTE(C16, ".", " ")</f>
        <v>Normativos</v>
      </c>
      <c r="U16" s="37" t="str">
        <f t="shared" si="15"/>
        <v>NBR Temáticas</v>
      </c>
      <c r="V16" s="37" t="str">
        <f t="shared" si="15"/>
        <v>NBR Materiais</v>
      </c>
      <c r="W16" s="39" t="s">
        <v>643</v>
      </c>
      <c r="X16" s="56" t="str">
        <f t="shared" si="12"/>
        <v>Key-ABNT-16</v>
      </c>
      <c r="Y16" s="39" t="s">
        <v>929</v>
      </c>
      <c r="Z16" s="39" t="s">
        <v>925</v>
      </c>
      <c r="AA16" s="39" t="s">
        <v>930</v>
      </c>
      <c r="AB16" s="39" t="s">
        <v>925</v>
      </c>
      <c r="AC16" s="37" t="s">
        <v>769</v>
      </c>
    </row>
    <row r="17" spans="1:29" ht="7.5" customHeight="1" x14ac:dyDescent="0.3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47" t="s">
        <v>285</v>
      </c>
      <c r="K17" s="31" t="s">
        <v>285</v>
      </c>
      <c r="L17" s="48" t="str">
        <f t="shared" si="13"/>
        <v>Normativos</v>
      </c>
      <c r="M17" s="48" t="str">
        <f t="shared" si="13"/>
        <v>NBR.Temáticas</v>
      </c>
      <c r="N17" s="48" t="str">
        <f t="shared" si="14"/>
        <v>NBR Materiais</v>
      </c>
      <c r="O17" s="48" t="str">
        <f t="shared" si="14"/>
        <v>NBR M Químico Líquido</v>
      </c>
      <c r="P17" s="39" t="s">
        <v>837</v>
      </c>
      <c r="Q17" s="39" t="s">
        <v>842</v>
      </c>
      <c r="R17" s="39" t="s">
        <v>847</v>
      </c>
      <c r="S17" s="39" t="s">
        <v>285</v>
      </c>
      <c r="T17" s="37" t="str">
        <f t="shared" si="15"/>
        <v>Normativos</v>
      </c>
      <c r="U17" s="37" t="str">
        <f t="shared" si="15"/>
        <v>NBR Temáticas</v>
      </c>
      <c r="V17" s="37" t="str">
        <f t="shared" si="15"/>
        <v>NBR Materiais</v>
      </c>
      <c r="W17" s="39" t="s">
        <v>643</v>
      </c>
      <c r="X17" s="56" t="str">
        <f t="shared" si="12"/>
        <v>Key-ABNT-17</v>
      </c>
      <c r="Y17" s="39" t="s">
        <v>929</v>
      </c>
      <c r="Z17" s="39" t="s">
        <v>925</v>
      </c>
      <c r="AA17" s="39" t="s">
        <v>930</v>
      </c>
      <c r="AB17" s="39" t="s">
        <v>925</v>
      </c>
      <c r="AC17" s="37" t="s">
        <v>770</v>
      </c>
    </row>
    <row r="18" spans="1:29" ht="7.5" customHeight="1" x14ac:dyDescent="0.3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47" t="s">
        <v>285</v>
      </c>
      <c r="K18" s="31" t="s">
        <v>285</v>
      </c>
      <c r="L18" s="48" t="str">
        <f t="shared" si="13"/>
        <v>Normativos</v>
      </c>
      <c r="M18" s="48" t="str">
        <f t="shared" si="13"/>
        <v>NBR.Temáticas</v>
      </c>
      <c r="N18" s="48" t="str">
        <f t="shared" si="14"/>
        <v>NBR Materiais</v>
      </c>
      <c r="O18" s="48" t="str">
        <f t="shared" si="14"/>
        <v>NBR M Químico Gasoso</v>
      </c>
      <c r="P18" s="39" t="s">
        <v>838</v>
      </c>
      <c r="Q18" s="39" t="s">
        <v>843</v>
      </c>
      <c r="R18" s="39" t="s">
        <v>848</v>
      </c>
      <c r="S18" s="39" t="s">
        <v>285</v>
      </c>
      <c r="T18" s="37" t="str">
        <f t="shared" si="15"/>
        <v>Normativos</v>
      </c>
      <c r="U18" s="37" t="str">
        <f t="shared" si="15"/>
        <v>NBR Temáticas</v>
      </c>
      <c r="V18" s="37" t="str">
        <f t="shared" si="15"/>
        <v>NBR Materiais</v>
      </c>
      <c r="W18" s="39" t="s">
        <v>643</v>
      </c>
      <c r="X18" s="56" t="str">
        <f t="shared" si="12"/>
        <v>Key-ABNT-18</v>
      </c>
      <c r="Y18" s="39" t="s">
        <v>929</v>
      </c>
      <c r="Z18" s="39" t="s">
        <v>925</v>
      </c>
      <c r="AA18" s="39" t="s">
        <v>930</v>
      </c>
      <c r="AB18" s="39" t="s">
        <v>925</v>
      </c>
      <c r="AC18" s="37" t="s">
        <v>771</v>
      </c>
    </row>
    <row r="19" spans="1:29" ht="7.5" customHeight="1" x14ac:dyDescent="0.3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47" t="s">
        <v>285</v>
      </c>
      <c r="K19" s="31" t="s">
        <v>285</v>
      </c>
      <c r="L19" s="48" t="str">
        <f t="shared" si="13"/>
        <v>Normativos</v>
      </c>
      <c r="M19" s="48" t="str">
        <f t="shared" si="13"/>
        <v>NBR.Temáticas</v>
      </c>
      <c r="N19" s="48" t="str">
        <f t="shared" si="14"/>
        <v>NBR Materiais</v>
      </c>
      <c r="O19" s="48" t="str">
        <f t="shared" si="14"/>
        <v>NBR M Composto Sólido</v>
      </c>
      <c r="P19" s="39" t="s">
        <v>731</v>
      </c>
      <c r="Q19" s="39" t="s">
        <v>750</v>
      </c>
      <c r="R19" s="39" t="s">
        <v>849</v>
      </c>
      <c r="S19" s="39" t="s">
        <v>285</v>
      </c>
      <c r="T19" s="37" t="str">
        <f t="shared" si="15"/>
        <v>Normativos</v>
      </c>
      <c r="U19" s="37" t="str">
        <f t="shared" si="15"/>
        <v>NBR Temáticas</v>
      </c>
      <c r="V19" s="37" t="str">
        <f t="shared" si="15"/>
        <v>NBR Materiais</v>
      </c>
      <c r="W19" s="39" t="s">
        <v>643</v>
      </c>
      <c r="X19" s="56" t="str">
        <f t="shared" si="12"/>
        <v>Key-ABNT-19</v>
      </c>
      <c r="Y19" s="39" t="s">
        <v>929</v>
      </c>
      <c r="Z19" s="39" t="s">
        <v>925</v>
      </c>
      <c r="AA19" s="39" t="s">
        <v>930</v>
      </c>
      <c r="AB19" s="39" t="s">
        <v>925</v>
      </c>
      <c r="AC19" s="37" t="s">
        <v>772</v>
      </c>
    </row>
    <row r="20" spans="1:29" ht="7.5" customHeight="1" x14ac:dyDescent="0.3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47" t="s">
        <v>285</v>
      </c>
      <c r="K20" s="31" t="s">
        <v>285</v>
      </c>
      <c r="L20" s="48" t="str">
        <f t="shared" si="13"/>
        <v>Normativos</v>
      </c>
      <c r="M20" s="48" t="str">
        <f t="shared" si="13"/>
        <v>NBR.Temáticas</v>
      </c>
      <c r="N20" s="48" t="str">
        <f t="shared" si="14"/>
        <v>NBR Materiais</v>
      </c>
      <c r="O20" s="48" t="str">
        <f t="shared" si="14"/>
        <v>NBR M Composto Rocha</v>
      </c>
      <c r="P20" s="39" t="s">
        <v>732</v>
      </c>
      <c r="Q20" s="39" t="s">
        <v>844</v>
      </c>
      <c r="R20" s="39" t="s">
        <v>936</v>
      </c>
      <c r="S20" s="39" t="s">
        <v>285</v>
      </c>
      <c r="T20" s="37" t="str">
        <f t="shared" si="15"/>
        <v>Normativos</v>
      </c>
      <c r="U20" s="37" t="str">
        <f t="shared" si="15"/>
        <v>NBR Temáticas</v>
      </c>
      <c r="V20" s="37" t="str">
        <f t="shared" si="15"/>
        <v>NBR Materiais</v>
      </c>
      <c r="W20" s="39" t="s">
        <v>643</v>
      </c>
      <c r="X20" s="56" t="str">
        <f t="shared" si="12"/>
        <v>Key-ABNT-20</v>
      </c>
      <c r="Y20" s="39" t="s">
        <v>929</v>
      </c>
      <c r="Z20" s="39" t="s">
        <v>925</v>
      </c>
      <c r="AA20" s="39" t="s">
        <v>930</v>
      </c>
      <c r="AB20" s="39" t="s">
        <v>925</v>
      </c>
      <c r="AC20" s="37" t="s">
        <v>789</v>
      </c>
    </row>
    <row r="21" spans="1:29" ht="7.5" customHeight="1" x14ac:dyDescent="0.3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47" t="s">
        <v>285</v>
      </c>
      <c r="K21" s="31" t="s">
        <v>285</v>
      </c>
      <c r="L21" s="48" t="str">
        <f t="shared" si="13"/>
        <v>Normativos</v>
      </c>
      <c r="M21" s="48" t="str">
        <f t="shared" si="13"/>
        <v>NBR.Temáticas</v>
      </c>
      <c r="N21" s="48" t="str">
        <f t="shared" si="14"/>
        <v>NBR Materiais</v>
      </c>
      <c r="O21" s="48" t="str">
        <f t="shared" si="14"/>
        <v>NBR M Argila</v>
      </c>
      <c r="P21" s="39" t="s">
        <v>733</v>
      </c>
      <c r="Q21" s="39" t="s">
        <v>758</v>
      </c>
      <c r="R21" s="39" t="s">
        <v>937</v>
      </c>
      <c r="S21" s="39" t="s">
        <v>285</v>
      </c>
      <c r="T21" s="37" t="str">
        <f t="shared" si="15"/>
        <v>Normativos</v>
      </c>
      <c r="U21" s="37" t="str">
        <f t="shared" si="15"/>
        <v>NBR Temáticas</v>
      </c>
      <c r="V21" s="37" t="str">
        <f t="shared" si="15"/>
        <v>NBR Materiais</v>
      </c>
      <c r="W21" s="39" t="s">
        <v>643</v>
      </c>
      <c r="X21" s="56" t="str">
        <f t="shared" si="12"/>
        <v>Key-ABNT-21</v>
      </c>
      <c r="Y21" s="39" t="s">
        <v>929</v>
      </c>
      <c r="Z21" s="39" t="s">
        <v>925</v>
      </c>
      <c r="AA21" s="39" t="s">
        <v>930</v>
      </c>
      <c r="AB21" s="39" t="s">
        <v>925</v>
      </c>
      <c r="AC21" s="37" t="s">
        <v>773</v>
      </c>
    </row>
    <row r="22" spans="1:29" ht="7.5" customHeight="1" x14ac:dyDescent="0.3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47" t="s">
        <v>285</v>
      </c>
      <c r="K22" s="31" t="s">
        <v>285</v>
      </c>
      <c r="L22" s="48" t="str">
        <f t="shared" si="13"/>
        <v>Normativos</v>
      </c>
      <c r="M22" s="48" t="str">
        <f t="shared" si="13"/>
        <v>NBR.Temáticas</v>
      </c>
      <c r="N22" s="48" t="str">
        <f t="shared" si="14"/>
        <v>NBR Materiais</v>
      </c>
      <c r="O22" s="48" t="str">
        <f t="shared" si="14"/>
        <v>NBR M Cimentício</v>
      </c>
      <c r="P22" s="39" t="s">
        <v>734</v>
      </c>
      <c r="Q22" s="39" t="s">
        <v>759</v>
      </c>
      <c r="R22" s="39" t="s">
        <v>938</v>
      </c>
      <c r="S22" s="39" t="s">
        <v>285</v>
      </c>
      <c r="T22" s="37" t="str">
        <f t="shared" si="15"/>
        <v>Normativos</v>
      </c>
      <c r="U22" s="37" t="str">
        <f t="shared" si="15"/>
        <v>NBR Temáticas</v>
      </c>
      <c r="V22" s="37" t="str">
        <f t="shared" si="15"/>
        <v>NBR Materiais</v>
      </c>
      <c r="W22" s="39" t="s">
        <v>643</v>
      </c>
      <c r="X22" s="56" t="str">
        <f t="shared" si="12"/>
        <v>Key-ABNT-22</v>
      </c>
      <c r="Y22" s="39" t="s">
        <v>929</v>
      </c>
      <c r="Z22" s="39" t="s">
        <v>925</v>
      </c>
      <c r="AA22" s="39" t="s">
        <v>930</v>
      </c>
      <c r="AB22" s="39" t="s">
        <v>925</v>
      </c>
      <c r="AC22" s="37" t="s">
        <v>774</v>
      </c>
    </row>
    <row r="23" spans="1:29" ht="7.5" customHeight="1" x14ac:dyDescent="0.3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47" t="s">
        <v>285</v>
      </c>
      <c r="K23" s="31" t="s">
        <v>285</v>
      </c>
      <c r="L23" s="48" t="str">
        <f t="shared" si="13"/>
        <v>Normativos</v>
      </c>
      <c r="M23" s="48" t="str">
        <f t="shared" si="13"/>
        <v>NBR.Temáticas</v>
      </c>
      <c r="N23" s="48" t="str">
        <f t="shared" si="14"/>
        <v>NBR Materiais</v>
      </c>
      <c r="O23" s="48" t="str">
        <f t="shared" si="14"/>
        <v>NBR M Betuminoso</v>
      </c>
      <c r="P23" s="39" t="s">
        <v>735</v>
      </c>
      <c r="Q23" s="39" t="s">
        <v>751</v>
      </c>
      <c r="R23" s="39" t="s">
        <v>939</v>
      </c>
      <c r="S23" s="39" t="s">
        <v>285</v>
      </c>
      <c r="T23" s="37" t="str">
        <f t="shared" si="15"/>
        <v>Normativos</v>
      </c>
      <c r="U23" s="37" t="str">
        <f t="shared" si="15"/>
        <v>NBR Temáticas</v>
      </c>
      <c r="V23" s="37" t="str">
        <f t="shared" si="15"/>
        <v>NBR Materiais</v>
      </c>
      <c r="W23" s="39" t="s">
        <v>643</v>
      </c>
      <c r="X23" s="56" t="str">
        <f t="shared" si="12"/>
        <v>Key-ABNT-23</v>
      </c>
      <c r="Y23" s="39" t="s">
        <v>929</v>
      </c>
      <c r="Z23" s="39" t="s">
        <v>925</v>
      </c>
      <c r="AA23" s="39" t="s">
        <v>930</v>
      </c>
      <c r="AB23" s="39" t="s">
        <v>925</v>
      </c>
      <c r="AC23" s="37" t="s">
        <v>775</v>
      </c>
    </row>
    <row r="24" spans="1:29" ht="7.5" customHeight="1" x14ac:dyDescent="0.3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47" t="s">
        <v>285</v>
      </c>
      <c r="K24" s="31" t="s">
        <v>285</v>
      </c>
      <c r="L24" s="48" t="str">
        <f t="shared" si="13"/>
        <v>Normativos</v>
      </c>
      <c r="M24" s="48" t="str">
        <f t="shared" si="13"/>
        <v>NBR.Temáticas</v>
      </c>
      <c r="N24" s="48" t="str">
        <f t="shared" si="14"/>
        <v>NBR Materiais</v>
      </c>
      <c r="O24" s="48" t="str">
        <f t="shared" si="14"/>
        <v>NBR M Natural Não Metálico</v>
      </c>
      <c r="P24" s="39" t="s">
        <v>736</v>
      </c>
      <c r="Q24" s="39" t="s">
        <v>752</v>
      </c>
      <c r="R24" s="39" t="s">
        <v>940</v>
      </c>
      <c r="S24" s="39" t="s">
        <v>285</v>
      </c>
      <c r="T24" s="37" t="str">
        <f t="shared" si="15"/>
        <v>Normativos</v>
      </c>
      <c r="U24" s="37" t="str">
        <f t="shared" si="15"/>
        <v>NBR Temáticas</v>
      </c>
      <c r="V24" s="37" t="str">
        <f t="shared" si="15"/>
        <v>NBR Materiais</v>
      </c>
      <c r="W24" s="39" t="s">
        <v>643</v>
      </c>
      <c r="X24" s="56" t="str">
        <f t="shared" si="12"/>
        <v>Key-ABNT-24</v>
      </c>
      <c r="Y24" s="39" t="s">
        <v>929</v>
      </c>
      <c r="Z24" s="39" t="s">
        <v>925</v>
      </c>
      <c r="AA24" s="39" t="s">
        <v>930</v>
      </c>
      <c r="AB24" s="39" t="s">
        <v>925</v>
      </c>
      <c r="AC24" s="37" t="s">
        <v>776</v>
      </c>
    </row>
    <row r="25" spans="1:29" ht="7.5" customHeight="1" x14ac:dyDescent="0.3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47" t="s">
        <v>285</v>
      </c>
      <c r="K25" s="31" t="s">
        <v>285</v>
      </c>
      <c r="L25" s="48" t="str">
        <f t="shared" si="13"/>
        <v>Normativos</v>
      </c>
      <c r="M25" s="48" t="str">
        <f t="shared" si="13"/>
        <v>NBR.Temáticas</v>
      </c>
      <c r="N25" s="48" t="str">
        <f t="shared" si="14"/>
        <v>NBR Materiais</v>
      </c>
      <c r="O25" s="48" t="str">
        <f t="shared" si="14"/>
        <v>NBR M Mineral Artificial</v>
      </c>
      <c r="P25" s="39" t="s">
        <v>737</v>
      </c>
      <c r="Q25" s="39" t="s">
        <v>760</v>
      </c>
      <c r="R25" s="39" t="s">
        <v>737</v>
      </c>
      <c r="S25" s="39" t="s">
        <v>285</v>
      </c>
      <c r="T25" s="37" t="str">
        <f t="shared" si="15"/>
        <v>Normativos</v>
      </c>
      <c r="U25" s="37" t="str">
        <f t="shared" si="15"/>
        <v>NBR Temáticas</v>
      </c>
      <c r="V25" s="37" t="str">
        <f t="shared" si="15"/>
        <v>NBR Materiais</v>
      </c>
      <c r="W25" s="39" t="s">
        <v>643</v>
      </c>
      <c r="X25" s="56" t="str">
        <f t="shared" si="12"/>
        <v>Key-ABNT-25</v>
      </c>
      <c r="Y25" s="39" t="s">
        <v>929</v>
      </c>
      <c r="Z25" s="39" t="s">
        <v>925</v>
      </c>
      <c r="AA25" s="39" t="s">
        <v>930</v>
      </c>
      <c r="AB25" s="39" t="s">
        <v>925</v>
      </c>
      <c r="AC25" s="37" t="s">
        <v>777</v>
      </c>
    </row>
    <row r="26" spans="1:29" ht="7.5" customHeight="1" x14ac:dyDescent="0.3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47" t="s">
        <v>285</v>
      </c>
      <c r="K26" s="31" t="s">
        <v>285</v>
      </c>
      <c r="L26" s="48" t="str">
        <f t="shared" si="13"/>
        <v>Normativos</v>
      </c>
      <c r="M26" s="48" t="str">
        <f t="shared" si="13"/>
        <v>NBR.Temáticas</v>
      </c>
      <c r="N26" s="48" t="str">
        <f t="shared" si="14"/>
        <v>NBR Materiais</v>
      </c>
      <c r="O26" s="48" t="str">
        <f t="shared" si="14"/>
        <v>NBR M Outro Mineral</v>
      </c>
      <c r="P26" s="39" t="s">
        <v>738</v>
      </c>
      <c r="Q26" s="39" t="s">
        <v>761</v>
      </c>
      <c r="R26" s="39" t="s">
        <v>941</v>
      </c>
      <c r="S26" s="39" t="s">
        <v>285</v>
      </c>
      <c r="T26" s="37" t="str">
        <f t="shared" si="15"/>
        <v>Normativos</v>
      </c>
      <c r="U26" s="37" t="str">
        <f t="shared" si="15"/>
        <v>NBR Temáticas</v>
      </c>
      <c r="V26" s="37" t="str">
        <f t="shared" si="15"/>
        <v>NBR Materiais</v>
      </c>
      <c r="W26" s="39" t="s">
        <v>643</v>
      </c>
      <c r="X26" s="56" t="str">
        <f t="shared" si="12"/>
        <v>Key-ABNT-26</v>
      </c>
      <c r="Y26" s="39" t="s">
        <v>929</v>
      </c>
      <c r="Z26" s="39" t="s">
        <v>925</v>
      </c>
      <c r="AA26" s="39" t="s">
        <v>930</v>
      </c>
      <c r="AB26" s="39" t="s">
        <v>925</v>
      </c>
      <c r="AC26" s="37" t="s">
        <v>778</v>
      </c>
    </row>
    <row r="27" spans="1:29" ht="7.5" customHeight="1" x14ac:dyDescent="0.3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47" t="s">
        <v>285</v>
      </c>
      <c r="K27" s="31" t="s">
        <v>285</v>
      </c>
      <c r="L27" s="48" t="str">
        <f t="shared" si="13"/>
        <v>Normativos</v>
      </c>
      <c r="M27" s="48" t="str">
        <f t="shared" si="13"/>
        <v>NBR.Temáticas</v>
      </c>
      <c r="N27" s="48" t="str">
        <f t="shared" si="14"/>
        <v>NBR Materiais</v>
      </c>
      <c r="O27" s="48" t="str">
        <f t="shared" si="14"/>
        <v>NBR M Metálico</v>
      </c>
      <c r="P27" s="39" t="s">
        <v>739</v>
      </c>
      <c r="Q27" s="39" t="s">
        <v>753</v>
      </c>
      <c r="R27" s="39" t="s">
        <v>942</v>
      </c>
      <c r="S27" s="39" t="s">
        <v>285</v>
      </c>
      <c r="T27" s="37" t="str">
        <f t="shared" si="15"/>
        <v>Normativos</v>
      </c>
      <c r="U27" s="37" t="str">
        <f t="shared" si="15"/>
        <v>NBR Temáticas</v>
      </c>
      <c r="V27" s="37" t="str">
        <f t="shared" si="15"/>
        <v>NBR Materiais</v>
      </c>
      <c r="W27" s="39" t="s">
        <v>643</v>
      </c>
      <c r="X27" s="56" t="str">
        <f t="shared" si="12"/>
        <v>Key-ABNT-27</v>
      </c>
      <c r="Y27" s="39" t="s">
        <v>929</v>
      </c>
      <c r="Z27" s="39" t="s">
        <v>925</v>
      </c>
      <c r="AA27" s="39" t="s">
        <v>930</v>
      </c>
      <c r="AB27" s="39" t="s">
        <v>925</v>
      </c>
      <c r="AC27" s="37" t="s">
        <v>779</v>
      </c>
    </row>
    <row r="28" spans="1:29" ht="7.5" customHeight="1" x14ac:dyDescent="0.3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47" t="s">
        <v>285</v>
      </c>
      <c r="K28" s="31" t="s">
        <v>285</v>
      </c>
      <c r="L28" s="48" t="str">
        <f t="shared" si="13"/>
        <v>Normativos</v>
      </c>
      <c r="M28" s="48" t="str">
        <f t="shared" si="13"/>
        <v>NBR.Temáticas</v>
      </c>
      <c r="N28" s="48" t="str">
        <f t="shared" si="14"/>
        <v>NBR Materiais</v>
      </c>
      <c r="O28" s="48" t="str">
        <f t="shared" si="14"/>
        <v>NBR M Vegetal</v>
      </c>
      <c r="P28" s="39" t="s">
        <v>740</v>
      </c>
      <c r="Q28" s="39" t="s">
        <v>754</v>
      </c>
      <c r="R28" s="39" t="s">
        <v>943</v>
      </c>
      <c r="S28" s="39" t="s">
        <v>285</v>
      </c>
      <c r="T28" s="37" t="str">
        <f t="shared" si="15"/>
        <v>Normativos</v>
      </c>
      <c r="U28" s="37" t="str">
        <f t="shared" si="15"/>
        <v>NBR Temáticas</v>
      </c>
      <c r="V28" s="37" t="str">
        <f t="shared" si="15"/>
        <v>NBR Materiais</v>
      </c>
      <c r="W28" s="39" t="s">
        <v>643</v>
      </c>
      <c r="X28" s="56" t="str">
        <f t="shared" si="12"/>
        <v>Key-ABNT-28</v>
      </c>
      <c r="Y28" s="39" t="s">
        <v>929</v>
      </c>
      <c r="Z28" s="39" t="s">
        <v>925</v>
      </c>
      <c r="AA28" s="39" t="s">
        <v>930</v>
      </c>
      <c r="AB28" s="39" t="s">
        <v>925</v>
      </c>
      <c r="AC28" s="37" t="s">
        <v>780</v>
      </c>
    </row>
    <row r="29" spans="1:29" ht="7.5" customHeight="1" x14ac:dyDescent="0.3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47" t="s">
        <v>285</v>
      </c>
      <c r="K29" s="31" t="s">
        <v>285</v>
      </c>
      <c r="L29" s="48" t="str">
        <f t="shared" si="13"/>
        <v>Normativos</v>
      </c>
      <c r="M29" s="48" t="str">
        <f t="shared" si="13"/>
        <v>NBR.Temáticas</v>
      </c>
      <c r="N29" s="48" t="str">
        <f t="shared" si="14"/>
        <v>NBR Materiais</v>
      </c>
      <c r="O29" s="48" t="str">
        <f t="shared" si="14"/>
        <v>NBR M Madeira</v>
      </c>
      <c r="P29" s="39" t="s">
        <v>741</v>
      </c>
      <c r="Q29" s="39" t="s">
        <v>762</v>
      </c>
      <c r="R29" s="39" t="s">
        <v>944</v>
      </c>
      <c r="S29" s="39" t="s">
        <v>285</v>
      </c>
      <c r="T29" s="37" t="str">
        <f t="shared" si="15"/>
        <v>Normativos</v>
      </c>
      <c r="U29" s="37" t="str">
        <f t="shared" si="15"/>
        <v>NBR Temáticas</v>
      </c>
      <c r="V29" s="37" t="str">
        <f t="shared" si="15"/>
        <v>NBR Materiais</v>
      </c>
      <c r="W29" s="39" t="s">
        <v>643</v>
      </c>
      <c r="X29" s="56" t="str">
        <f t="shared" si="12"/>
        <v>Key-ABNT-29</v>
      </c>
      <c r="Y29" s="39" t="s">
        <v>929</v>
      </c>
      <c r="Z29" s="39" t="s">
        <v>925</v>
      </c>
      <c r="AA29" s="39" t="s">
        <v>930</v>
      </c>
      <c r="AB29" s="39" t="s">
        <v>925</v>
      </c>
      <c r="AC29" s="37" t="s">
        <v>781</v>
      </c>
    </row>
    <row r="30" spans="1:29" ht="7.5" customHeight="1" x14ac:dyDescent="0.3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47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4"/>
        <v>NBR Materiais</v>
      </c>
      <c r="O30" s="48" t="str">
        <f t="shared" si="14"/>
        <v>NBR M Grama</v>
      </c>
      <c r="P30" s="39" t="s">
        <v>742</v>
      </c>
      <c r="Q30" s="39" t="s">
        <v>763</v>
      </c>
      <c r="R30" s="39" t="s">
        <v>945</v>
      </c>
      <c r="S30" s="39" t="s">
        <v>285</v>
      </c>
      <c r="T30" s="37" t="str">
        <f t="shared" si="15"/>
        <v>Normativos</v>
      </c>
      <c r="U30" s="37" t="str">
        <f t="shared" si="15"/>
        <v>NBR Temáticas</v>
      </c>
      <c r="V30" s="37" t="str">
        <f t="shared" si="15"/>
        <v>NBR Materiais</v>
      </c>
      <c r="W30" s="39" t="s">
        <v>643</v>
      </c>
      <c r="X30" s="56" t="str">
        <f t="shared" si="12"/>
        <v>Key-ABNT-30</v>
      </c>
      <c r="Y30" s="39" t="s">
        <v>929</v>
      </c>
      <c r="Z30" s="39" t="s">
        <v>925</v>
      </c>
      <c r="AA30" s="39" t="s">
        <v>930</v>
      </c>
      <c r="AB30" s="39" t="s">
        <v>925</v>
      </c>
      <c r="AC30" s="37" t="s">
        <v>768</v>
      </c>
    </row>
    <row r="31" spans="1:29" ht="7.5" customHeight="1" x14ac:dyDescent="0.3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47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4"/>
        <v>NBR Materiais</v>
      </c>
      <c r="O31" s="48" t="str">
        <f t="shared" si="14"/>
        <v>NBR M Planta</v>
      </c>
      <c r="P31" s="39" t="s">
        <v>743</v>
      </c>
      <c r="Q31" s="39" t="s">
        <v>764</v>
      </c>
      <c r="R31" s="39" t="s">
        <v>946</v>
      </c>
      <c r="S31" s="39" t="s">
        <v>285</v>
      </c>
      <c r="T31" s="37" t="str">
        <f t="shared" si="15"/>
        <v>Normativos</v>
      </c>
      <c r="U31" s="37" t="str">
        <f t="shared" si="15"/>
        <v>NBR Temáticas</v>
      </c>
      <c r="V31" s="37" t="str">
        <f t="shared" si="15"/>
        <v>NBR Materiais</v>
      </c>
      <c r="W31" s="39" t="s">
        <v>643</v>
      </c>
      <c r="X31" s="56" t="str">
        <f t="shared" si="12"/>
        <v>Key-ABNT-31</v>
      </c>
      <c r="Y31" s="39" t="s">
        <v>929</v>
      </c>
      <c r="Z31" s="39" t="s">
        <v>925</v>
      </c>
      <c r="AA31" s="39" t="s">
        <v>930</v>
      </c>
      <c r="AB31" s="39" t="s">
        <v>925</v>
      </c>
      <c r="AC31" s="37" t="s">
        <v>782</v>
      </c>
    </row>
    <row r="32" spans="1:29" ht="7.5" customHeight="1" x14ac:dyDescent="0.3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47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744</v>
      </c>
      <c r="Q32" s="39" t="s">
        <v>765</v>
      </c>
      <c r="R32" s="39" t="s">
        <v>947</v>
      </c>
      <c r="S32" s="39" t="s">
        <v>285</v>
      </c>
      <c r="T32" s="37" t="str">
        <f t="shared" ref="T32:V38" si="18">SUBSTITUTE(C32, ".", " ")</f>
        <v>Normativos</v>
      </c>
      <c r="U32" s="37" t="str">
        <f t="shared" si="18"/>
        <v>NBR Temáticas</v>
      </c>
      <c r="V32" s="37" t="str">
        <f t="shared" si="18"/>
        <v>NBR Materiais</v>
      </c>
      <c r="W32" s="39" t="s">
        <v>643</v>
      </c>
      <c r="X32" s="56" t="str">
        <f t="shared" si="12"/>
        <v>Key-ABNT-32</v>
      </c>
      <c r="Y32" s="39" t="s">
        <v>929</v>
      </c>
      <c r="Z32" s="39" t="s">
        <v>925</v>
      </c>
      <c r="AA32" s="39" t="s">
        <v>930</v>
      </c>
      <c r="AB32" s="39" t="s">
        <v>925</v>
      </c>
      <c r="AC32" s="37" t="s">
        <v>783</v>
      </c>
    </row>
    <row r="33" spans="1:29" ht="7.5" customHeight="1" x14ac:dyDescent="0.3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47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745</v>
      </c>
      <c r="Q33" s="39" t="s">
        <v>755</v>
      </c>
      <c r="R33" s="39" t="s">
        <v>948</v>
      </c>
      <c r="S33" s="39" t="s">
        <v>285</v>
      </c>
      <c r="T33" s="37" t="str">
        <f t="shared" si="18"/>
        <v>Normativos</v>
      </c>
      <c r="U33" s="37" t="str">
        <f t="shared" si="18"/>
        <v>NBR Temáticas</v>
      </c>
      <c r="V33" s="37" t="str">
        <f t="shared" si="18"/>
        <v>NBR Materiais</v>
      </c>
      <c r="W33" s="39" t="s">
        <v>643</v>
      </c>
      <c r="X33" s="56" t="str">
        <f t="shared" si="12"/>
        <v>Key-ABNT-33</v>
      </c>
      <c r="Y33" s="39" t="s">
        <v>929</v>
      </c>
      <c r="Z33" s="39" t="s">
        <v>925</v>
      </c>
      <c r="AA33" s="39" t="s">
        <v>930</v>
      </c>
      <c r="AB33" s="39" t="s">
        <v>925</v>
      </c>
      <c r="AC33" s="37" t="s">
        <v>784</v>
      </c>
    </row>
    <row r="34" spans="1:29" ht="7.5" customHeight="1" x14ac:dyDescent="0.3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47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746</v>
      </c>
      <c r="Q34" s="39" t="s">
        <v>766</v>
      </c>
      <c r="R34" s="39" t="s">
        <v>949</v>
      </c>
      <c r="S34" s="39" t="s">
        <v>285</v>
      </c>
      <c r="T34" s="37" t="str">
        <f t="shared" si="18"/>
        <v>Normativos</v>
      </c>
      <c r="U34" s="37" t="str">
        <f t="shared" si="18"/>
        <v>NBR Temáticas</v>
      </c>
      <c r="V34" s="37" t="str">
        <f t="shared" si="18"/>
        <v>NBR Materiais</v>
      </c>
      <c r="W34" s="39" t="s">
        <v>643</v>
      </c>
      <c r="X34" s="56" t="str">
        <f t="shared" si="12"/>
        <v>Key-ABNT-34</v>
      </c>
      <c r="Y34" s="39" t="s">
        <v>929</v>
      </c>
      <c r="Z34" s="39" t="s">
        <v>925</v>
      </c>
      <c r="AA34" s="39" t="s">
        <v>930</v>
      </c>
      <c r="AB34" s="39" t="s">
        <v>925</v>
      </c>
      <c r="AC34" s="37" t="s">
        <v>785</v>
      </c>
    </row>
    <row r="35" spans="1:29" ht="7.5" customHeight="1" x14ac:dyDescent="0.3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47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747</v>
      </c>
      <c r="Q35" s="39" t="s">
        <v>756</v>
      </c>
      <c r="R35" s="39" t="s">
        <v>950</v>
      </c>
      <c r="S35" s="39" t="s">
        <v>285</v>
      </c>
      <c r="T35" s="37" t="str">
        <f t="shared" si="18"/>
        <v>Normativos</v>
      </c>
      <c r="U35" s="37" t="str">
        <f t="shared" si="18"/>
        <v>NBR Temáticas</v>
      </c>
      <c r="V35" s="37" t="str">
        <f t="shared" si="18"/>
        <v>NBR Materiais</v>
      </c>
      <c r="W35" s="39" t="s">
        <v>643</v>
      </c>
      <c r="X35" s="56" t="str">
        <f t="shared" si="12"/>
        <v>Key-ABNT-35</v>
      </c>
      <c r="Y35" s="39" t="s">
        <v>929</v>
      </c>
      <c r="Z35" s="39" t="s">
        <v>925</v>
      </c>
      <c r="AA35" s="39" t="s">
        <v>930</v>
      </c>
      <c r="AB35" s="39" t="s">
        <v>925</v>
      </c>
      <c r="AC35" s="37" t="s">
        <v>786</v>
      </c>
    </row>
    <row r="36" spans="1:29" ht="7.5" customHeight="1" x14ac:dyDescent="0.3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47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748</v>
      </c>
      <c r="Q36" s="39" t="s">
        <v>757</v>
      </c>
      <c r="R36" s="39" t="s">
        <v>951</v>
      </c>
      <c r="S36" s="39" t="s">
        <v>285</v>
      </c>
      <c r="T36" s="37" t="str">
        <f t="shared" si="18"/>
        <v>Normativos</v>
      </c>
      <c r="U36" s="37" t="str">
        <f t="shared" si="18"/>
        <v>NBR Temáticas</v>
      </c>
      <c r="V36" s="37" t="str">
        <f t="shared" si="18"/>
        <v>NBR Materiais</v>
      </c>
      <c r="W36" s="39" t="s">
        <v>643</v>
      </c>
      <c r="X36" s="56" t="str">
        <f t="shared" si="12"/>
        <v>Key-ABNT-36</v>
      </c>
      <c r="Y36" s="39" t="s">
        <v>929</v>
      </c>
      <c r="Z36" s="39" t="s">
        <v>925</v>
      </c>
      <c r="AA36" s="39" t="s">
        <v>930</v>
      </c>
      <c r="AB36" s="39" t="s">
        <v>925</v>
      </c>
      <c r="AC36" s="37" t="s">
        <v>787</v>
      </c>
    </row>
    <row r="37" spans="1:29" ht="7.5" customHeight="1" x14ac:dyDescent="0.3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47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749</v>
      </c>
      <c r="Q37" s="39" t="s">
        <v>767</v>
      </c>
      <c r="R37" s="39" t="s">
        <v>952</v>
      </c>
      <c r="S37" s="39" t="s">
        <v>285</v>
      </c>
      <c r="T37" s="37" t="str">
        <f t="shared" si="18"/>
        <v>Normativos</v>
      </c>
      <c r="U37" s="37" t="str">
        <f t="shared" si="18"/>
        <v>NBR Temáticas</v>
      </c>
      <c r="V37" s="37" t="str">
        <f t="shared" si="18"/>
        <v>NBR Materiais</v>
      </c>
      <c r="W37" s="39" t="s">
        <v>643</v>
      </c>
      <c r="X37" s="56" t="str">
        <f t="shared" si="12"/>
        <v>Key-ABNT-37</v>
      </c>
      <c r="Y37" s="39" t="s">
        <v>929</v>
      </c>
      <c r="Z37" s="39" t="s">
        <v>925</v>
      </c>
      <c r="AA37" s="39" t="s">
        <v>930</v>
      </c>
      <c r="AB37" s="39" t="s">
        <v>925</v>
      </c>
      <c r="AC37" s="37" t="s">
        <v>788</v>
      </c>
    </row>
    <row r="38" spans="1:29" s="34" customFormat="1" ht="6.75" customHeight="1" x14ac:dyDescent="0.25">
      <c r="A38" s="45">
        <v>38</v>
      </c>
      <c r="B38" s="46" t="s">
        <v>953</v>
      </c>
      <c r="C38" s="28" t="s">
        <v>970</v>
      </c>
      <c r="D38" s="28" t="s">
        <v>972</v>
      </c>
      <c r="E38" s="28" t="s">
        <v>971</v>
      </c>
      <c r="F38" s="28" t="s">
        <v>968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8" si="19">SUBSTITUTE(CONCATENATE("", C38), ".", " ")</f>
        <v>De API</v>
      </c>
      <c r="M38" s="48" t="str">
        <f t="shared" si="19"/>
        <v>Macros</v>
      </c>
      <c r="N38" s="48" t="str">
        <f t="shared" si="19"/>
        <v>Métodos</v>
      </c>
      <c r="O38" s="48" t="str">
        <f t="shared" si="19"/>
        <v>API Revit</v>
      </c>
      <c r="P38" s="39" t="s">
        <v>973</v>
      </c>
      <c r="Q38" s="39" t="s">
        <v>974</v>
      </c>
      <c r="R38" s="39" t="s">
        <v>975</v>
      </c>
      <c r="S38" s="39" t="s">
        <v>285</v>
      </c>
      <c r="T38" s="39" t="str">
        <f t="shared" si="18"/>
        <v>De API</v>
      </c>
      <c r="U38" s="39" t="str">
        <f t="shared" si="18"/>
        <v>Macros</v>
      </c>
      <c r="V38" s="37" t="str">
        <f t="shared" si="18"/>
        <v>Métodos</v>
      </c>
      <c r="W38" s="39" t="s">
        <v>643</v>
      </c>
      <c r="X38" s="56" t="str">
        <f t="shared" si="12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</row>
  </sheetData>
  <conditionalFormatting sqref="A2:B38">
    <cfRule type="cellIs" dxfId="21" priority="3" operator="equal">
      <formula>"null"</formula>
    </cfRule>
  </conditionalFormatting>
  <conditionalFormatting sqref="F2:F14">
    <cfRule type="duplicateValues" dxfId="20" priority="16"/>
  </conditionalFormatting>
  <conditionalFormatting sqref="F38">
    <cfRule type="duplicateValues" dxfId="19" priority="4"/>
  </conditionalFormatting>
  <conditionalFormatting sqref="R1:R1048576">
    <cfRule type="cellIs" dxfId="18" priority="2" operator="equal">
      <formula>"null"</formula>
    </cfRule>
  </conditionalFormatting>
  <conditionalFormatting sqref="Y2 AA2">
    <cfRule type="cellIs" dxfId="17" priority="13" operator="equal">
      <formula>"null"</formula>
    </cfRule>
  </conditionalFormatting>
  <conditionalFormatting sqref="Y15:Y37 AA15:AA37">
    <cfRule type="cellIs" dxfId="16" priority="1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644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topLeftCell="P1" zoomScale="175" zoomScaleNormal="175" workbookViewId="0">
      <pane ySplit="1" topLeftCell="A294" activePane="bottomLeft" state="frozen"/>
      <selection pane="bottomLeft" activeCell="P300" sqref="P300:Q304"/>
    </sheetView>
  </sheetViews>
  <sheetFormatPr defaultColWidth="11.5" defaultRowHeight="6.75" customHeight="1" x14ac:dyDescent="0.25"/>
  <cols>
    <col min="1" max="1" width="3.69921875" style="1" customWidth="1"/>
    <col min="2" max="2" width="11.69921875" style="1" bestFit="1" customWidth="1"/>
    <col min="3" max="3" width="16.796875" style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43.19921875" style="34" customWidth="1"/>
    <col min="16" max="16" width="8.296875" style="34" customWidth="1"/>
    <col min="17" max="17" width="12.69921875" style="34" bestFit="1" customWidth="1"/>
    <col min="18" max="18" width="7.5" style="34" customWidth="1"/>
    <col min="19" max="19" width="26.796875" style="34" customWidth="1"/>
    <col min="20" max="20" width="5.69921875" style="34" customWidth="1"/>
    <col min="21" max="21" width="18.296875" style="34" customWidth="1"/>
    <col min="22" max="22" width="6.796875" style="34" customWidth="1"/>
    <col min="23" max="23" width="26" style="34" customWidth="1"/>
    <col min="24" max="24" width="9.796875" style="34" customWidth="1"/>
    <col min="25" max="25" width="7.69921875" style="34" customWidth="1"/>
    <col min="26" max="26" width="3.19921875" style="1" bestFit="1" customWidth="1"/>
    <col min="27" max="27" width="3.69921875" style="1" bestFit="1" customWidth="1"/>
    <col min="28" max="28" width="3.19921875" style="1" bestFit="1" customWidth="1"/>
    <col min="29" max="29" width="3.69921875" style="1" bestFit="1" customWidth="1"/>
    <col min="30" max="30" width="3.19921875" style="1" bestFit="1" customWidth="1"/>
    <col min="31" max="31" width="3.69921875" style="1" bestFit="1" customWidth="1"/>
    <col min="32" max="32" width="3.19921875" style="1" bestFit="1" customWidth="1"/>
    <col min="33" max="33" width="3.69921875" style="1" bestFit="1" customWidth="1"/>
    <col min="34" max="16384" width="11.5" style="1"/>
  </cols>
  <sheetData>
    <row r="1" spans="1:33" ht="16" customHeight="1" x14ac:dyDescent="0.25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71" t="s">
        <v>284</v>
      </c>
      <c r="AA1" s="71" t="s">
        <v>252</v>
      </c>
      <c r="AB1" s="71" t="s">
        <v>284</v>
      </c>
      <c r="AC1" s="71" t="s">
        <v>252</v>
      </c>
      <c r="AD1" s="71" t="s">
        <v>284</v>
      </c>
      <c r="AE1" s="71" t="s">
        <v>252</v>
      </c>
      <c r="AF1" s="71" t="s">
        <v>284</v>
      </c>
      <c r="AG1" s="71" t="s">
        <v>252</v>
      </c>
    </row>
    <row r="2" spans="1:33" ht="6.75" customHeight="1" x14ac:dyDescent="0.25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5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5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976</v>
      </c>
      <c r="Y4" s="51" t="s">
        <v>959</v>
      </c>
      <c r="Z4" s="50" t="s">
        <v>285</v>
      </c>
      <c r="AA4" s="51" t="s">
        <v>285</v>
      </c>
      <c r="AB4" s="50" t="s">
        <v>285</v>
      </c>
      <c r="AC4" s="51" t="s">
        <v>285</v>
      </c>
      <c r="AD4" s="50" t="s">
        <v>285</v>
      </c>
      <c r="AE4" s="51" t="s">
        <v>285</v>
      </c>
      <c r="AF4" s="50" t="s">
        <v>285</v>
      </c>
      <c r="AG4" s="51" t="s">
        <v>285</v>
      </c>
    </row>
    <row r="5" spans="1:33" ht="6.75" customHeight="1" x14ac:dyDescent="0.25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976</v>
      </c>
      <c r="Y5" s="51" t="s">
        <v>959</v>
      </c>
      <c r="Z5" s="50" t="s">
        <v>285</v>
      </c>
      <c r="AA5" s="51" t="s">
        <v>285</v>
      </c>
      <c r="AB5" s="50" t="s">
        <v>285</v>
      </c>
      <c r="AC5" s="51" t="s">
        <v>285</v>
      </c>
      <c r="AD5" s="50" t="s">
        <v>285</v>
      </c>
      <c r="AE5" s="51" t="s">
        <v>285</v>
      </c>
      <c r="AF5" s="50" t="s">
        <v>285</v>
      </c>
      <c r="AG5" s="51" t="s">
        <v>285</v>
      </c>
    </row>
    <row r="6" spans="1:33" ht="6.75" customHeight="1" x14ac:dyDescent="0.25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976</v>
      </c>
      <c r="Y6" s="51" t="s">
        <v>959</v>
      </c>
      <c r="Z6" s="50" t="s">
        <v>285</v>
      </c>
      <c r="AA6" s="51" t="s">
        <v>285</v>
      </c>
      <c r="AB6" s="50" t="s">
        <v>285</v>
      </c>
      <c r="AC6" s="51" t="s">
        <v>285</v>
      </c>
      <c r="AD6" s="50" t="s">
        <v>285</v>
      </c>
      <c r="AE6" s="51" t="s">
        <v>285</v>
      </c>
      <c r="AF6" s="50" t="s">
        <v>285</v>
      </c>
      <c r="AG6" s="51" t="s">
        <v>285</v>
      </c>
    </row>
    <row r="7" spans="1:33" ht="6.75" customHeight="1" x14ac:dyDescent="0.25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976</v>
      </c>
      <c r="Y7" s="51" t="s">
        <v>959</v>
      </c>
      <c r="Z7" s="50" t="s">
        <v>285</v>
      </c>
      <c r="AA7" s="51" t="s">
        <v>285</v>
      </c>
      <c r="AB7" s="50" t="s">
        <v>285</v>
      </c>
      <c r="AC7" s="51" t="s">
        <v>285</v>
      </c>
      <c r="AD7" s="50" t="s">
        <v>285</v>
      </c>
      <c r="AE7" s="51" t="s">
        <v>285</v>
      </c>
      <c r="AF7" s="50" t="s">
        <v>285</v>
      </c>
      <c r="AG7" s="51" t="s">
        <v>285</v>
      </c>
    </row>
    <row r="8" spans="1:33" ht="6.75" customHeight="1" x14ac:dyDescent="0.25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976</v>
      </c>
      <c r="Y8" s="51" t="s">
        <v>959</v>
      </c>
      <c r="Z8" s="50" t="s">
        <v>285</v>
      </c>
      <c r="AA8" s="51" t="s">
        <v>285</v>
      </c>
      <c r="AB8" s="50" t="s">
        <v>285</v>
      </c>
      <c r="AC8" s="51" t="s">
        <v>285</v>
      </c>
      <c r="AD8" s="50" t="s">
        <v>285</v>
      </c>
      <c r="AE8" s="51" t="s">
        <v>285</v>
      </c>
      <c r="AF8" s="50" t="s">
        <v>285</v>
      </c>
      <c r="AG8" s="51" t="s">
        <v>285</v>
      </c>
    </row>
    <row r="9" spans="1:33" ht="6.75" customHeight="1" x14ac:dyDescent="0.25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976</v>
      </c>
      <c r="Y9" s="51" t="s">
        <v>959</v>
      </c>
      <c r="Z9" s="50" t="s">
        <v>285</v>
      </c>
      <c r="AA9" s="51" t="s">
        <v>285</v>
      </c>
      <c r="AB9" s="50" t="s">
        <v>285</v>
      </c>
      <c r="AC9" s="51" t="s">
        <v>285</v>
      </c>
      <c r="AD9" s="50" t="s">
        <v>285</v>
      </c>
      <c r="AE9" s="51" t="s">
        <v>285</v>
      </c>
      <c r="AF9" s="50" t="s">
        <v>285</v>
      </c>
      <c r="AG9" s="51" t="s">
        <v>285</v>
      </c>
    </row>
    <row r="10" spans="1:33" ht="6.75" customHeight="1" x14ac:dyDescent="0.25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976</v>
      </c>
      <c r="Y10" s="51" t="s">
        <v>959</v>
      </c>
      <c r="Z10" s="50" t="s">
        <v>285</v>
      </c>
      <c r="AA10" s="51" t="s">
        <v>285</v>
      </c>
      <c r="AB10" s="50" t="s">
        <v>285</v>
      </c>
      <c r="AC10" s="51" t="s">
        <v>285</v>
      </c>
      <c r="AD10" s="50" t="s">
        <v>285</v>
      </c>
      <c r="AE10" s="51" t="s">
        <v>285</v>
      </c>
      <c r="AF10" s="50" t="s">
        <v>285</v>
      </c>
      <c r="AG10" s="51" t="s">
        <v>285</v>
      </c>
    </row>
    <row r="11" spans="1:33" ht="6.75" customHeight="1" x14ac:dyDescent="0.25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976</v>
      </c>
      <c r="Y11" s="51" t="s">
        <v>959</v>
      </c>
      <c r="Z11" s="50" t="s">
        <v>285</v>
      </c>
      <c r="AA11" s="51" t="s">
        <v>285</v>
      </c>
      <c r="AB11" s="50" t="s">
        <v>285</v>
      </c>
      <c r="AC11" s="51" t="s">
        <v>285</v>
      </c>
      <c r="AD11" s="50" t="s">
        <v>285</v>
      </c>
      <c r="AE11" s="51" t="s">
        <v>285</v>
      </c>
      <c r="AF11" s="50" t="s">
        <v>285</v>
      </c>
      <c r="AG11" s="51" t="s">
        <v>285</v>
      </c>
    </row>
    <row r="12" spans="1:33" ht="6.75" customHeight="1" x14ac:dyDescent="0.25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976</v>
      </c>
      <c r="Y12" s="51" t="s">
        <v>959</v>
      </c>
      <c r="Z12" s="50" t="s">
        <v>285</v>
      </c>
      <c r="AA12" s="51" t="s">
        <v>285</v>
      </c>
      <c r="AB12" s="50" t="s">
        <v>285</v>
      </c>
      <c r="AC12" s="51" t="s">
        <v>285</v>
      </c>
      <c r="AD12" s="50" t="s">
        <v>285</v>
      </c>
      <c r="AE12" s="51" t="s">
        <v>285</v>
      </c>
      <c r="AF12" s="50" t="s">
        <v>285</v>
      </c>
      <c r="AG12" s="51" t="s">
        <v>285</v>
      </c>
    </row>
    <row r="13" spans="1:33" ht="6.75" customHeight="1" x14ac:dyDescent="0.25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976</v>
      </c>
      <c r="Y13" s="51" t="s">
        <v>959</v>
      </c>
      <c r="Z13" s="50" t="s">
        <v>285</v>
      </c>
      <c r="AA13" s="51" t="s">
        <v>285</v>
      </c>
      <c r="AB13" s="50" t="s">
        <v>285</v>
      </c>
      <c r="AC13" s="51" t="s">
        <v>285</v>
      </c>
      <c r="AD13" s="50" t="s">
        <v>285</v>
      </c>
      <c r="AE13" s="51" t="s">
        <v>285</v>
      </c>
      <c r="AF13" s="50" t="s">
        <v>285</v>
      </c>
      <c r="AG13" s="51" t="s">
        <v>285</v>
      </c>
    </row>
    <row r="14" spans="1:33" ht="6.75" customHeight="1" x14ac:dyDescent="0.25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976</v>
      </c>
      <c r="Y14" s="51" t="s">
        <v>959</v>
      </c>
      <c r="Z14" s="50" t="s">
        <v>285</v>
      </c>
      <c r="AA14" s="51" t="s">
        <v>285</v>
      </c>
      <c r="AB14" s="50" t="s">
        <v>285</v>
      </c>
      <c r="AC14" s="51" t="s">
        <v>285</v>
      </c>
      <c r="AD14" s="50" t="s">
        <v>285</v>
      </c>
      <c r="AE14" s="51" t="s">
        <v>285</v>
      </c>
      <c r="AF14" s="50" t="s">
        <v>285</v>
      </c>
      <c r="AG14" s="51" t="s">
        <v>285</v>
      </c>
    </row>
    <row r="15" spans="1:33" ht="6.75" customHeight="1" x14ac:dyDescent="0.25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976</v>
      </c>
      <c r="Y15" s="51" t="s">
        <v>959</v>
      </c>
      <c r="Z15" s="50" t="s">
        <v>285</v>
      </c>
      <c r="AA15" s="51" t="s">
        <v>285</v>
      </c>
      <c r="AB15" s="50" t="s">
        <v>285</v>
      </c>
      <c r="AC15" s="51" t="s">
        <v>285</v>
      </c>
      <c r="AD15" s="50" t="s">
        <v>285</v>
      </c>
      <c r="AE15" s="51" t="s">
        <v>285</v>
      </c>
      <c r="AF15" s="50" t="s">
        <v>285</v>
      </c>
      <c r="AG15" s="51" t="s">
        <v>285</v>
      </c>
    </row>
    <row r="16" spans="1:33" ht="6.75" customHeight="1" x14ac:dyDescent="0.25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976</v>
      </c>
      <c r="Y16" s="51" t="s">
        <v>959</v>
      </c>
      <c r="Z16" s="50" t="s">
        <v>285</v>
      </c>
      <c r="AA16" s="51" t="s">
        <v>285</v>
      </c>
      <c r="AB16" s="50" t="s">
        <v>285</v>
      </c>
      <c r="AC16" s="51" t="s">
        <v>285</v>
      </c>
      <c r="AD16" s="50" t="s">
        <v>285</v>
      </c>
      <c r="AE16" s="51" t="s">
        <v>285</v>
      </c>
      <c r="AF16" s="50" t="s">
        <v>285</v>
      </c>
      <c r="AG16" s="51" t="s">
        <v>285</v>
      </c>
    </row>
    <row r="17" spans="1:33" ht="6.75" customHeight="1" x14ac:dyDescent="0.25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976</v>
      </c>
      <c r="Y17" s="51" t="s">
        <v>959</v>
      </c>
      <c r="Z17" s="50" t="s">
        <v>285</v>
      </c>
      <c r="AA17" s="51" t="s">
        <v>285</v>
      </c>
      <c r="AB17" s="50" t="s">
        <v>285</v>
      </c>
      <c r="AC17" s="51" t="s">
        <v>285</v>
      </c>
      <c r="AD17" s="50" t="s">
        <v>285</v>
      </c>
      <c r="AE17" s="51" t="s">
        <v>285</v>
      </c>
      <c r="AF17" s="50" t="s">
        <v>285</v>
      </c>
      <c r="AG17" s="51" t="s">
        <v>285</v>
      </c>
    </row>
    <row r="18" spans="1:33" ht="6.75" customHeight="1" x14ac:dyDescent="0.25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976</v>
      </c>
      <c r="Y18" s="51" t="s">
        <v>959</v>
      </c>
      <c r="Z18" s="50" t="s">
        <v>285</v>
      </c>
      <c r="AA18" s="51" t="s">
        <v>285</v>
      </c>
      <c r="AB18" s="50" t="s">
        <v>285</v>
      </c>
      <c r="AC18" s="51" t="s">
        <v>285</v>
      </c>
      <c r="AD18" s="50" t="s">
        <v>285</v>
      </c>
      <c r="AE18" s="51" t="s">
        <v>285</v>
      </c>
      <c r="AF18" s="50" t="s">
        <v>285</v>
      </c>
      <c r="AG18" s="51" t="s">
        <v>285</v>
      </c>
    </row>
    <row r="19" spans="1:33" ht="6.75" customHeight="1" x14ac:dyDescent="0.25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976</v>
      </c>
      <c r="Y19" s="51" t="s">
        <v>959</v>
      </c>
      <c r="Z19" s="50" t="s">
        <v>285</v>
      </c>
      <c r="AA19" s="51" t="s">
        <v>285</v>
      </c>
      <c r="AB19" s="50" t="s">
        <v>285</v>
      </c>
      <c r="AC19" s="51" t="s">
        <v>285</v>
      </c>
      <c r="AD19" s="50" t="s">
        <v>285</v>
      </c>
      <c r="AE19" s="51" t="s">
        <v>285</v>
      </c>
      <c r="AF19" s="50" t="s">
        <v>285</v>
      </c>
      <c r="AG19" s="51" t="s">
        <v>285</v>
      </c>
    </row>
    <row r="20" spans="1:33" ht="6.75" customHeight="1" x14ac:dyDescent="0.25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976</v>
      </c>
      <c r="Y20" s="51" t="s">
        <v>959</v>
      </c>
      <c r="Z20" s="50" t="s">
        <v>285</v>
      </c>
      <c r="AA20" s="51" t="s">
        <v>285</v>
      </c>
      <c r="AB20" s="50" t="s">
        <v>285</v>
      </c>
      <c r="AC20" s="51" t="s">
        <v>285</v>
      </c>
      <c r="AD20" s="50" t="s">
        <v>285</v>
      </c>
      <c r="AE20" s="51" t="s">
        <v>285</v>
      </c>
      <c r="AF20" s="50" t="s">
        <v>285</v>
      </c>
      <c r="AG20" s="51" t="s">
        <v>285</v>
      </c>
    </row>
    <row r="21" spans="1:33" ht="6.75" customHeight="1" x14ac:dyDescent="0.25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976</v>
      </c>
      <c r="Y21" s="51" t="s">
        <v>959</v>
      </c>
      <c r="Z21" s="50" t="s">
        <v>285</v>
      </c>
      <c r="AA21" s="51" t="s">
        <v>285</v>
      </c>
      <c r="AB21" s="50" t="s">
        <v>285</v>
      </c>
      <c r="AC21" s="51" t="s">
        <v>285</v>
      </c>
      <c r="AD21" s="50" t="s">
        <v>285</v>
      </c>
      <c r="AE21" s="51" t="s">
        <v>285</v>
      </c>
      <c r="AF21" s="50" t="s">
        <v>285</v>
      </c>
      <c r="AG21" s="51" t="s">
        <v>285</v>
      </c>
    </row>
    <row r="22" spans="1:33" ht="6.75" customHeight="1" x14ac:dyDescent="0.25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976</v>
      </c>
      <c r="Y22" s="51" t="s">
        <v>959</v>
      </c>
      <c r="Z22" s="50" t="s">
        <v>285</v>
      </c>
      <c r="AA22" s="51" t="s">
        <v>285</v>
      </c>
      <c r="AB22" s="50" t="s">
        <v>285</v>
      </c>
      <c r="AC22" s="51" t="s">
        <v>285</v>
      </c>
      <c r="AD22" s="50" t="s">
        <v>285</v>
      </c>
      <c r="AE22" s="51" t="s">
        <v>285</v>
      </c>
      <c r="AF22" s="50" t="s">
        <v>285</v>
      </c>
      <c r="AG22" s="51" t="s">
        <v>285</v>
      </c>
    </row>
    <row r="23" spans="1:33" ht="6.75" customHeight="1" x14ac:dyDescent="0.25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976</v>
      </c>
      <c r="Y23" s="51" t="s">
        <v>959</v>
      </c>
      <c r="Z23" s="50" t="s">
        <v>285</v>
      </c>
      <c r="AA23" s="51" t="s">
        <v>285</v>
      </c>
      <c r="AB23" s="50" t="s">
        <v>285</v>
      </c>
      <c r="AC23" s="51" t="s">
        <v>285</v>
      </c>
      <c r="AD23" s="50" t="s">
        <v>285</v>
      </c>
      <c r="AE23" s="51" t="s">
        <v>285</v>
      </c>
      <c r="AF23" s="50" t="s">
        <v>285</v>
      </c>
      <c r="AG23" s="51" t="s">
        <v>285</v>
      </c>
    </row>
    <row r="24" spans="1:33" ht="6.75" customHeight="1" x14ac:dyDescent="0.25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976</v>
      </c>
      <c r="Y24" s="51" t="s">
        <v>959</v>
      </c>
      <c r="Z24" s="50" t="s">
        <v>285</v>
      </c>
      <c r="AA24" s="51" t="s">
        <v>285</v>
      </c>
      <c r="AB24" s="50" t="s">
        <v>285</v>
      </c>
      <c r="AC24" s="51" t="s">
        <v>285</v>
      </c>
      <c r="AD24" s="50" t="s">
        <v>285</v>
      </c>
      <c r="AE24" s="51" t="s">
        <v>285</v>
      </c>
      <c r="AF24" s="50" t="s">
        <v>285</v>
      </c>
      <c r="AG24" s="51" t="s">
        <v>285</v>
      </c>
    </row>
    <row r="25" spans="1:33" ht="6.75" customHeight="1" x14ac:dyDescent="0.25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976</v>
      </c>
      <c r="Y25" s="51" t="s">
        <v>959</v>
      </c>
      <c r="Z25" s="50" t="s">
        <v>285</v>
      </c>
      <c r="AA25" s="51" t="s">
        <v>285</v>
      </c>
      <c r="AB25" s="50" t="s">
        <v>285</v>
      </c>
      <c r="AC25" s="51" t="s">
        <v>285</v>
      </c>
      <c r="AD25" s="50" t="s">
        <v>285</v>
      </c>
      <c r="AE25" s="51" t="s">
        <v>285</v>
      </c>
      <c r="AF25" s="50" t="s">
        <v>285</v>
      </c>
      <c r="AG25" s="51" t="s">
        <v>285</v>
      </c>
    </row>
    <row r="26" spans="1:33" ht="6.75" customHeight="1" x14ac:dyDescent="0.25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976</v>
      </c>
      <c r="Y26" s="51" t="s">
        <v>959</v>
      </c>
      <c r="Z26" s="50" t="s">
        <v>285</v>
      </c>
      <c r="AA26" s="51" t="s">
        <v>285</v>
      </c>
      <c r="AB26" s="50" t="s">
        <v>285</v>
      </c>
      <c r="AC26" s="51" t="s">
        <v>285</v>
      </c>
      <c r="AD26" s="50" t="s">
        <v>285</v>
      </c>
      <c r="AE26" s="51" t="s">
        <v>285</v>
      </c>
      <c r="AF26" s="50" t="s">
        <v>285</v>
      </c>
      <c r="AG26" s="51" t="s">
        <v>285</v>
      </c>
    </row>
    <row r="27" spans="1:33" ht="6.75" customHeight="1" x14ac:dyDescent="0.25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976</v>
      </c>
      <c r="Y27" s="51" t="s">
        <v>959</v>
      </c>
      <c r="Z27" s="50" t="s">
        <v>285</v>
      </c>
      <c r="AA27" s="51" t="s">
        <v>285</v>
      </c>
      <c r="AB27" s="50" t="s">
        <v>285</v>
      </c>
      <c r="AC27" s="51" t="s">
        <v>285</v>
      </c>
      <c r="AD27" s="50" t="s">
        <v>285</v>
      </c>
      <c r="AE27" s="51" t="s">
        <v>285</v>
      </c>
      <c r="AF27" s="50" t="s">
        <v>285</v>
      </c>
      <c r="AG27" s="51" t="s">
        <v>285</v>
      </c>
    </row>
    <row r="28" spans="1:33" ht="6.75" customHeight="1" x14ac:dyDescent="0.25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976</v>
      </c>
      <c r="Y28" s="51" t="s">
        <v>959</v>
      </c>
      <c r="Z28" s="50" t="s">
        <v>285</v>
      </c>
      <c r="AA28" s="51" t="s">
        <v>285</v>
      </c>
      <c r="AB28" s="50" t="s">
        <v>285</v>
      </c>
      <c r="AC28" s="51" t="s">
        <v>285</v>
      </c>
      <c r="AD28" s="50" t="s">
        <v>285</v>
      </c>
      <c r="AE28" s="51" t="s">
        <v>285</v>
      </c>
      <c r="AF28" s="50" t="s">
        <v>285</v>
      </c>
      <c r="AG28" s="51" t="s">
        <v>285</v>
      </c>
    </row>
    <row r="29" spans="1:33" ht="6.75" customHeight="1" x14ac:dyDescent="0.25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976</v>
      </c>
      <c r="Y29" s="51" t="s">
        <v>959</v>
      </c>
      <c r="Z29" s="50" t="s">
        <v>285</v>
      </c>
      <c r="AA29" s="51" t="s">
        <v>285</v>
      </c>
      <c r="AB29" s="50" t="s">
        <v>285</v>
      </c>
      <c r="AC29" s="51" t="s">
        <v>285</v>
      </c>
      <c r="AD29" s="50" t="s">
        <v>285</v>
      </c>
      <c r="AE29" s="51" t="s">
        <v>285</v>
      </c>
      <c r="AF29" s="50" t="s">
        <v>285</v>
      </c>
      <c r="AG29" s="51" t="s">
        <v>285</v>
      </c>
    </row>
    <row r="30" spans="1:33" ht="6.75" customHeight="1" x14ac:dyDescent="0.25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976</v>
      </c>
      <c r="Y30" s="51" t="s">
        <v>959</v>
      </c>
      <c r="Z30" s="50" t="s">
        <v>285</v>
      </c>
      <c r="AA30" s="51" t="s">
        <v>285</v>
      </c>
      <c r="AB30" s="50" t="s">
        <v>285</v>
      </c>
      <c r="AC30" s="51" t="s">
        <v>285</v>
      </c>
      <c r="AD30" s="50" t="s">
        <v>285</v>
      </c>
      <c r="AE30" s="51" t="s">
        <v>285</v>
      </c>
      <c r="AF30" s="50" t="s">
        <v>285</v>
      </c>
      <c r="AG30" s="51" t="s">
        <v>285</v>
      </c>
    </row>
    <row r="31" spans="1:33" ht="6.75" customHeight="1" x14ac:dyDescent="0.25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976</v>
      </c>
      <c r="Y31" s="51" t="s">
        <v>959</v>
      </c>
      <c r="Z31" s="50" t="s">
        <v>285</v>
      </c>
      <c r="AA31" s="51" t="s">
        <v>285</v>
      </c>
      <c r="AB31" s="50" t="s">
        <v>285</v>
      </c>
      <c r="AC31" s="51" t="s">
        <v>285</v>
      </c>
      <c r="AD31" s="50" t="s">
        <v>285</v>
      </c>
      <c r="AE31" s="51" t="s">
        <v>285</v>
      </c>
      <c r="AF31" s="50" t="s">
        <v>285</v>
      </c>
      <c r="AG31" s="51" t="s">
        <v>285</v>
      </c>
    </row>
    <row r="32" spans="1:33" ht="6.75" customHeight="1" x14ac:dyDescent="0.25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976</v>
      </c>
      <c r="Y32" s="51" t="s">
        <v>959</v>
      </c>
      <c r="Z32" s="50" t="s">
        <v>285</v>
      </c>
      <c r="AA32" s="51" t="s">
        <v>285</v>
      </c>
      <c r="AB32" s="50" t="s">
        <v>285</v>
      </c>
      <c r="AC32" s="51" t="s">
        <v>285</v>
      </c>
      <c r="AD32" s="50" t="s">
        <v>285</v>
      </c>
      <c r="AE32" s="51" t="s">
        <v>285</v>
      </c>
      <c r="AF32" s="50" t="s">
        <v>285</v>
      </c>
      <c r="AG32" s="51" t="s">
        <v>285</v>
      </c>
    </row>
    <row r="33" spans="1:33" ht="6.75" customHeight="1" x14ac:dyDescent="0.25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976</v>
      </c>
      <c r="Y33" s="51" t="s">
        <v>959</v>
      </c>
      <c r="Z33" s="50" t="s">
        <v>285</v>
      </c>
      <c r="AA33" s="51" t="s">
        <v>285</v>
      </c>
      <c r="AB33" s="50" t="s">
        <v>285</v>
      </c>
      <c r="AC33" s="51" t="s">
        <v>285</v>
      </c>
      <c r="AD33" s="50" t="s">
        <v>285</v>
      </c>
      <c r="AE33" s="51" t="s">
        <v>285</v>
      </c>
      <c r="AF33" s="50" t="s">
        <v>285</v>
      </c>
      <c r="AG33" s="51" t="s">
        <v>285</v>
      </c>
    </row>
    <row r="34" spans="1:33" ht="6.75" customHeight="1" x14ac:dyDescent="0.25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976</v>
      </c>
      <c r="Y34" s="51" t="s">
        <v>959</v>
      </c>
      <c r="Z34" s="50" t="s">
        <v>285</v>
      </c>
      <c r="AA34" s="51" t="s">
        <v>285</v>
      </c>
      <c r="AB34" s="50" t="s">
        <v>285</v>
      </c>
      <c r="AC34" s="51" t="s">
        <v>285</v>
      </c>
      <c r="AD34" s="50" t="s">
        <v>285</v>
      </c>
      <c r="AE34" s="51" t="s">
        <v>285</v>
      </c>
      <c r="AF34" s="50" t="s">
        <v>285</v>
      </c>
      <c r="AG34" s="51" t="s">
        <v>285</v>
      </c>
    </row>
    <row r="35" spans="1:33" ht="6.75" customHeight="1" x14ac:dyDescent="0.25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976</v>
      </c>
      <c r="Y35" s="51" t="s">
        <v>959</v>
      </c>
      <c r="Z35" s="50" t="s">
        <v>285</v>
      </c>
      <c r="AA35" s="51" t="s">
        <v>285</v>
      </c>
      <c r="AB35" s="50" t="s">
        <v>285</v>
      </c>
      <c r="AC35" s="51" t="s">
        <v>285</v>
      </c>
      <c r="AD35" s="50" t="s">
        <v>285</v>
      </c>
      <c r="AE35" s="51" t="s">
        <v>285</v>
      </c>
      <c r="AF35" s="50" t="s">
        <v>285</v>
      </c>
      <c r="AG35" s="51" t="s">
        <v>285</v>
      </c>
    </row>
    <row r="36" spans="1:33" ht="6.75" customHeight="1" x14ac:dyDescent="0.25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976</v>
      </c>
      <c r="Y36" s="51" t="s">
        <v>959</v>
      </c>
      <c r="Z36" s="50" t="s">
        <v>285</v>
      </c>
      <c r="AA36" s="51" t="s">
        <v>285</v>
      </c>
      <c r="AB36" s="50" t="s">
        <v>285</v>
      </c>
      <c r="AC36" s="51" t="s">
        <v>285</v>
      </c>
      <c r="AD36" s="50" t="s">
        <v>285</v>
      </c>
      <c r="AE36" s="51" t="s">
        <v>285</v>
      </c>
      <c r="AF36" s="50" t="s">
        <v>285</v>
      </c>
      <c r="AG36" s="51" t="s">
        <v>285</v>
      </c>
    </row>
    <row r="37" spans="1:33" ht="6.75" customHeight="1" x14ac:dyDescent="0.25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976</v>
      </c>
      <c r="Y37" s="51" t="s">
        <v>959</v>
      </c>
      <c r="Z37" s="50" t="s">
        <v>285</v>
      </c>
      <c r="AA37" s="51" t="s">
        <v>285</v>
      </c>
      <c r="AB37" s="50" t="s">
        <v>285</v>
      </c>
      <c r="AC37" s="51" t="s">
        <v>285</v>
      </c>
      <c r="AD37" s="50" t="s">
        <v>285</v>
      </c>
      <c r="AE37" s="51" t="s">
        <v>285</v>
      </c>
      <c r="AF37" s="50" t="s">
        <v>285</v>
      </c>
      <c r="AG37" s="51" t="s">
        <v>285</v>
      </c>
    </row>
    <row r="38" spans="1:33" ht="6.75" customHeight="1" x14ac:dyDescent="0.25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976</v>
      </c>
      <c r="Y38" s="51" t="s">
        <v>959</v>
      </c>
      <c r="Z38" s="50" t="s">
        <v>285</v>
      </c>
      <c r="AA38" s="51" t="s">
        <v>285</v>
      </c>
      <c r="AB38" s="50" t="s">
        <v>285</v>
      </c>
      <c r="AC38" s="51" t="s">
        <v>285</v>
      </c>
      <c r="AD38" s="50" t="s">
        <v>285</v>
      </c>
      <c r="AE38" s="51" t="s">
        <v>285</v>
      </c>
      <c r="AF38" s="50" t="s">
        <v>285</v>
      </c>
      <c r="AG38" s="51" t="s">
        <v>285</v>
      </c>
    </row>
    <row r="39" spans="1:33" ht="6.75" customHeight="1" x14ac:dyDescent="0.25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976</v>
      </c>
      <c r="Y39" s="51" t="s">
        <v>959</v>
      </c>
      <c r="Z39" s="50" t="s">
        <v>285</v>
      </c>
      <c r="AA39" s="51" t="s">
        <v>285</v>
      </c>
      <c r="AB39" s="50" t="s">
        <v>285</v>
      </c>
      <c r="AC39" s="51" t="s">
        <v>285</v>
      </c>
      <c r="AD39" s="50" t="s">
        <v>285</v>
      </c>
      <c r="AE39" s="51" t="s">
        <v>285</v>
      </c>
      <c r="AF39" s="50" t="s">
        <v>285</v>
      </c>
      <c r="AG39" s="51" t="s">
        <v>285</v>
      </c>
    </row>
    <row r="40" spans="1:33" ht="6.75" customHeight="1" x14ac:dyDescent="0.25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976</v>
      </c>
      <c r="Y40" s="51" t="s">
        <v>959</v>
      </c>
      <c r="Z40" s="50" t="s">
        <v>285</v>
      </c>
      <c r="AA40" s="51" t="s">
        <v>285</v>
      </c>
      <c r="AB40" s="50" t="s">
        <v>285</v>
      </c>
      <c r="AC40" s="51" t="s">
        <v>285</v>
      </c>
      <c r="AD40" s="50" t="s">
        <v>285</v>
      </c>
      <c r="AE40" s="51" t="s">
        <v>285</v>
      </c>
      <c r="AF40" s="50" t="s">
        <v>285</v>
      </c>
      <c r="AG40" s="51" t="s">
        <v>285</v>
      </c>
    </row>
    <row r="41" spans="1:33" ht="6.75" customHeight="1" x14ac:dyDescent="0.25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976</v>
      </c>
      <c r="Y41" s="51" t="s">
        <v>959</v>
      </c>
      <c r="Z41" s="50" t="s">
        <v>285</v>
      </c>
      <c r="AA41" s="51" t="s">
        <v>285</v>
      </c>
      <c r="AB41" s="50" t="s">
        <v>285</v>
      </c>
      <c r="AC41" s="51" t="s">
        <v>285</v>
      </c>
      <c r="AD41" s="50" t="s">
        <v>285</v>
      </c>
      <c r="AE41" s="51" t="s">
        <v>285</v>
      </c>
      <c r="AF41" s="50" t="s">
        <v>285</v>
      </c>
      <c r="AG41" s="51" t="s">
        <v>285</v>
      </c>
    </row>
    <row r="42" spans="1:33" ht="6.75" customHeight="1" x14ac:dyDescent="0.25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976</v>
      </c>
      <c r="Y42" s="51" t="s">
        <v>959</v>
      </c>
      <c r="Z42" s="50" t="s">
        <v>285</v>
      </c>
      <c r="AA42" s="51" t="s">
        <v>285</v>
      </c>
      <c r="AB42" s="50" t="s">
        <v>285</v>
      </c>
      <c r="AC42" s="51" t="s">
        <v>285</v>
      </c>
      <c r="AD42" s="50" t="s">
        <v>285</v>
      </c>
      <c r="AE42" s="51" t="s">
        <v>285</v>
      </c>
      <c r="AF42" s="50" t="s">
        <v>285</v>
      </c>
      <c r="AG42" s="51" t="s">
        <v>285</v>
      </c>
    </row>
    <row r="43" spans="1:33" ht="6.75" customHeight="1" x14ac:dyDescent="0.25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976</v>
      </c>
      <c r="Y43" s="51" t="s">
        <v>959</v>
      </c>
      <c r="Z43" s="50" t="s">
        <v>285</v>
      </c>
      <c r="AA43" s="51" t="s">
        <v>285</v>
      </c>
      <c r="AB43" s="50" t="s">
        <v>285</v>
      </c>
      <c r="AC43" s="51" t="s">
        <v>285</v>
      </c>
      <c r="AD43" s="50" t="s">
        <v>285</v>
      </c>
      <c r="AE43" s="51" t="s">
        <v>285</v>
      </c>
      <c r="AF43" s="50" t="s">
        <v>285</v>
      </c>
      <c r="AG43" s="51" t="s">
        <v>285</v>
      </c>
    </row>
    <row r="44" spans="1:33" ht="6.75" customHeight="1" x14ac:dyDescent="0.25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976</v>
      </c>
      <c r="Y44" s="51" t="s">
        <v>959</v>
      </c>
      <c r="Z44" s="50" t="s">
        <v>285</v>
      </c>
      <c r="AA44" s="51" t="s">
        <v>285</v>
      </c>
      <c r="AB44" s="50" t="s">
        <v>285</v>
      </c>
      <c r="AC44" s="51" t="s">
        <v>285</v>
      </c>
      <c r="AD44" s="50" t="s">
        <v>285</v>
      </c>
      <c r="AE44" s="51" t="s">
        <v>285</v>
      </c>
      <c r="AF44" s="50" t="s">
        <v>285</v>
      </c>
      <c r="AG44" s="51" t="s">
        <v>285</v>
      </c>
    </row>
    <row r="45" spans="1:33" ht="6.75" customHeight="1" x14ac:dyDescent="0.25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976</v>
      </c>
      <c r="Y45" s="51" t="s">
        <v>959</v>
      </c>
      <c r="Z45" s="50" t="s">
        <v>285</v>
      </c>
      <c r="AA45" s="51" t="s">
        <v>285</v>
      </c>
      <c r="AB45" s="50" t="s">
        <v>285</v>
      </c>
      <c r="AC45" s="51" t="s">
        <v>285</v>
      </c>
      <c r="AD45" s="50" t="s">
        <v>285</v>
      </c>
      <c r="AE45" s="51" t="s">
        <v>285</v>
      </c>
      <c r="AF45" s="50" t="s">
        <v>285</v>
      </c>
      <c r="AG45" s="51" t="s">
        <v>285</v>
      </c>
    </row>
    <row r="46" spans="1:33" ht="6.75" customHeight="1" x14ac:dyDescent="0.25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976</v>
      </c>
      <c r="Y46" s="51" t="s">
        <v>959</v>
      </c>
      <c r="Z46" s="50" t="s">
        <v>285</v>
      </c>
      <c r="AA46" s="51" t="s">
        <v>285</v>
      </c>
      <c r="AB46" s="50" t="s">
        <v>285</v>
      </c>
      <c r="AC46" s="51" t="s">
        <v>285</v>
      </c>
      <c r="AD46" s="50" t="s">
        <v>285</v>
      </c>
      <c r="AE46" s="51" t="s">
        <v>285</v>
      </c>
      <c r="AF46" s="50" t="s">
        <v>285</v>
      </c>
      <c r="AG46" s="51" t="s">
        <v>285</v>
      </c>
    </row>
    <row r="47" spans="1:33" ht="6.75" customHeight="1" x14ac:dyDescent="0.25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976</v>
      </c>
      <c r="Y47" s="51" t="s">
        <v>959</v>
      </c>
      <c r="Z47" s="50" t="s">
        <v>285</v>
      </c>
      <c r="AA47" s="51" t="s">
        <v>285</v>
      </c>
      <c r="AB47" s="50" t="s">
        <v>285</v>
      </c>
      <c r="AC47" s="51" t="s">
        <v>285</v>
      </c>
      <c r="AD47" s="50" t="s">
        <v>285</v>
      </c>
      <c r="AE47" s="51" t="s">
        <v>285</v>
      </c>
      <c r="AF47" s="50" t="s">
        <v>285</v>
      </c>
      <c r="AG47" s="51" t="s">
        <v>285</v>
      </c>
    </row>
    <row r="48" spans="1:33" ht="6.75" customHeight="1" x14ac:dyDescent="0.25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976</v>
      </c>
      <c r="Y48" s="51" t="s">
        <v>959</v>
      </c>
      <c r="Z48" s="50" t="s">
        <v>285</v>
      </c>
      <c r="AA48" s="51" t="s">
        <v>285</v>
      </c>
      <c r="AB48" s="50" t="s">
        <v>285</v>
      </c>
      <c r="AC48" s="51" t="s">
        <v>285</v>
      </c>
      <c r="AD48" s="50" t="s">
        <v>285</v>
      </c>
      <c r="AE48" s="51" t="s">
        <v>285</v>
      </c>
      <c r="AF48" s="50" t="s">
        <v>285</v>
      </c>
      <c r="AG48" s="51" t="s">
        <v>285</v>
      </c>
    </row>
    <row r="49" spans="1:33" ht="6.75" customHeight="1" x14ac:dyDescent="0.25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976</v>
      </c>
      <c r="Y49" s="51" t="s">
        <v>959</v>
      </c>
      <c r="Z49" s="50" t="s">
        <v>285</v>
      </c>
      <c r="AA49" s="51" t="s">
        <v>285</v>
      </c>
      <c r="AB49" s="50" t="s">
        <v>285</v>
      </c>
      <c r="AC49" s="51" t="s">
        <v>285</v>
      </c>
      <c r="AD49" s="50" t="s">
        <v>285</v>
      </c>
      <c r="AE49" s="51" t="s">
        <v>285</v>
      </c>
      <c r="AF49" s="50" t="s">
        <v>285</v>
      </c>
      <c r="AG49" s="51" t="s">
        <v>285</v>
      </c>
    </row>
    <row r="50" spans="1:33" ht="6.75" customHeight="1" x14ac:dyDescent="0.25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976</v>
      </c>
      <c r="Y50" s="51" t="s">
        <v>959</v>
      </c>
      <c r="Z50" s="50" t="s">
        <v>285</v>
      </c>
      <c r="AA50" s="51" t="s">
        <v>285</v>
      </c>
      <c r="AB50" s="50" t="s">
        <v>285</v>
      </c>
      <c r="AC50" s="51" t="s">
        <v>285</v>
      </c>
      <c r="AD50" s="50" t="s">
        <v>285</v>
      </c>
      <c r="AE50" s="51" t="s">
        <v>285</v>
      </c>
      <c r="AF50" s="50" t="s">
        <v>285</v>
      </c>
      <c r="AG50" s="51" t="s">
        <v>285</v>
      </c>
    </row>
    <row r="51" spans="1:33" ht="6.75" customHeight="1" x14ac:dyDescent="0.25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976</v>
      </c>
      <c r="Y51" s="51" t="s">
        <v>959</v>
      </c>
      <c r="Z51" s="50" t="s">
        <v>285</v>
      </c>
      <c r="AA51" s="51" t="s">
        <v>285</v>
      </c>
      <c r="AB51" s="50" t="s">
        <v>285</v>
      </c>
      <c r="AC51" s="51" t="s">
        <v>285</v>
      </c>
      <c r="AD51" s="50" t="s">
        <v>285</v>
      </c>
      <c r="AE51" s="51" t="s">
        <v>285</v>
      </c>
      <c r="AF51" s="50" t="s">
        <v>285</v>
      </c>
      <c r="AG51" s="51" t="s">
        <v>285</v>
      </c>
    </row>
    <row r="52" spans="1:33" ht="6.75" customHeight="1" x14ac:dyDescent="0.25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976</v>
      </c>
      <c r="Y52" s="51" t="s">
        <v>959</v>
      </c>
      <c r="Z52" s="50" t="s">
        <v>285</v>
      </c>
      <c r="AA52" s="51" t="s">
        <v>285</v>
      </c>
      <c r="AB52" s="50" t="s">
        <v>285</v>
      </c>
      <c r="AC52" s="51" t="s">
        <v>285</v>
      </c>
      <c r="AD52" s="50" t="s">
        <v>285</v>
      </c>
      <c r="AE52" s="51" t="s">
        <v>285</v>
      </c>
      <c r="AF52" s="50" t="s">
        <v>285</v>
      </c>
      <c r="AG52" s="51" t="s">
        <v>285</v>
      </c>
    </row>
    <row r="53" spans="1:33" ht="6.75" customHeight="1" x14ac:dyDescent="0.25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976</v>
      </c>
      <c r="Y53" s="51" t="s">
        <v>959</v>
      </c>
      <c r="Z53" s="50" t="s">
        <v>285</v>
      </c>
      <c r="AA53" s="51" t="s">
        <v>285</v>
      </c>
      <c r="AB53" s="50" t="s">
        <v>285</v>
      </c>
      <c r="AC53" s="51" t="s">
        <v>285</v>
      </c>
      <c r="AD53" s="50" t="s">
        <v>285</v>
      </c>
      <c r="AE53" s="51" t="s">
        <v>285</v>
      </c>
      <c r="AF53" s="50" t="s">
        <v>285</v>
      </c>
      <c r="AG53" s="51" t="s">
        <v>285</v>
      </c>
    </row>
    <row r="54" spans="1:33" ht="6.75" customHeight="1" x14ac:dyDescent="0.25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976</v>
      </c>
      <c r="Y54" s="51" t="s">
        <v>959</v>
      </c>
      <c r="Z54" s="50" t="s">
        <v>285</v>
      </c>
      <c r="AA54" s="51" t="s">
        <v>285</v>
      </c>
      <c r="AB54" s="50" t="s">
        <v>285</v>
      </c>
      <c r="AC54" s="51" t="s">
        <v>285</v>
      </c>
      <c r="AD54" s="50" t="s">
        <v>285</v>
      </c>
      <c r="AE54" s="51" t="s">
        <v>285</v>
      </c>
      <c r="AF54" s="50" t="s">
        <v>285</v>
      </c>
      <c r="AG54" s="51" t="s">
        <v>285</v>
      </c>
    </row>
    <row r="55" spans="1:33" ht="6.75" customHeight="1" x14ac:dyDescent="0.25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976</v>
      </c>
      <c r="Y55" s="51" t="s">
        <v>959</v>
      </c>
      <c r="Z55" s="50" t="s">
        <v>285</v>
      </c>
      <c r="AA55" s="51" t="s">
        <v>285</v>
      </c>
      <c r="AB55" s="50" t="s">
        <v>285</v>
      </c>
      <c r="AC55" s="51" t="s">
        <v>285</v>
      </c>
      <c r="AD55" s="50" t="s">
        <v>285</v>
      </c>
      <c r="AE55" s="51" t="s">
        <v>285</v>
      </c>
      <c r="AF55" s="50" t="s">
        <v>285</v>
      </c>
      <c r="AG55" s="51" t="s">
        <v>285</v>
      </c>
    </row>
    <row r="56" spans="1:33" ht="6.75" customHeight="1" x14ac:dyDescent="0.25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976</v>
      </c>
      <c r="Y56" s="51" t="s">
        <v>959</v>
      </c>
      <c r="Z56" s="50" t="s">
        <v>285</v>
      </c>
      <c r="AA56" s="51" t="s">
        <v>285</v>
      </c>
      <c r="AB56" s="50" t="s">
        <v>285</v>
      </c>
      <c r="AC56" s="51" t="s">
        <v>285</v>
      </c>
      <c r="AD56" s="50" t="s">
        <v>285</v>
      </c>
      <c r="AE56" s="51" t="s">
        <v>285</v>
      </c>
      <c r="AF56" s="50" t="s">
        <v>285</v>
      </c>
      <c r="AG56" s="51" t="s">
        <v>285</v>
      </c>
    </row>
    <row r="57" spans="1:33" ht="6.75" customHeight="1" x14ac:dyDescent="0.25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976</v>
      </c>
      <c r="Y57" s="51" t="s">
        <v>959</v>
      </c>
      <c r="Z57" s="50" t="s">
        <v>285</v>
      </c>
      <c r="AA57" s="51" t="s">
        <v>285</v>
      </c>
      <c r="AB57" s="50" t="s">
        <v>285</v>
      </c>
      <c r="AC57" s="51" t="s">
        <v>285</v>
      </c>
      <c r="AD57" s="50" t="s">
        <v>285</v>
      </c>
      <c r="AE57" s="51" t="s">
        <v>285</v>
      </c>
      <c r="AF57" s="50" t="s">
        <v>285</v>
      </c>
      <c r="AG57" s="51" t="s">
        <v>285</v>
      </c>
    </row>
    <row r="58" spans="1:33" ht="6.75" customHeight="1" x14ac:dyDescent="0.25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976</v>
      </c>
      <c r="Y58" s="51" t="s">
        <v>959</v>
      </c>
      <c r="Z58" s="50" t="s">
        <v>285</v>
      </c>
      <c r="AA58" s="51" t="s">
        <v>285</v>
      </c>
      <c r="AB58" s="50" t="s">
        <v>285</v>
      </c>
      <c r="AC58" s="51" t="s">
        <v>285</v>
      </c>
      <c r="AD58" s="50" t="s">
        <v>285</v>
      </c>
      <c r="AE58" s="51" t="s">
        <v>285</v>
      </c>
      <c r="AF58" s="50" t="s">
        <v>285</v>
      </c>
      <c r="AG58" s="51" t="s">
        <v>285</v>
      </c>
    </row>
    <row r="59" spans="1:33" ht="6.75" customHeight="1" x14ac:dyDescent="0.25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976</v>
      </c>
      <c r="Y59" s="51" t="s">
        <v>959</v>
      </c>
      <c r="Z59" s="50" t="s">
        <v>285</v>
      </c>
      <c r="AA59" s="51" t="s">
        <v>285</v>
      </c>
      <c r="AB59" s="50" t="s">
        <v>285</v>
      </c>
      <c r="AC59" s="51" t="s">
        <v>285</v>
      </c>
      <c r="AD59" s="50" t="s">
        <v>285</v>
      </c>
      <c r="AE59" s="51" t="s">
        <v>285</v>
      </c>
      <c r="AF59" s="50" t="s">
        <v>285</v>
      </c>
      <c r="AG59" s="51" t="s">
        <v>285</v>
      </c>
    </row>
    <row r="60" spans="1:33" ht="6.75" customHeight="1" x14ac:dyDescent="0.25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976</v>
      </c>
      <c r="Y60" s="51" t="s">
        <v>959</v>
      </c>
      <c r="Z60" s="50" t="s">
        <v>285</v>
      </c>
      <c r="AA60" s="51" t="s">
        <v>285</v>
      </c>
      <c r="AB60" s="50" t="s">
        <v>285</v>
      </c>
      <c r="AC60" s="51" t="s">
        <v>285</v>
      </c>
      <c r="AD60" s="50" t="s">
        <v>285</v>
      </c>
      <c r="AE60" s="51" t="s">
        <v>285</v>
      </c>
      <c r="AF60" s="50" t="s">
        <v>285</v>
      </c>
      <c r="AG60" s="51" t="s">
        <v>285</v>
      </c>
    </row>
    <row r="61" spans="1:33" ht="6.75" customHeight="1" x14ac:dyDescent="0.25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976</v>
      </c>
      <c r="Y61" s="51" t="s">
        <v>959</v>
      </c>
      <c r="Z61" s="50" t="s">
        <v>285</v>
      </c>
      <c r="AA61" s="51" t="s">
        <v>285</v>
      </c>
      <c r="AB61" s="50" t="s">
        <v>285</v>
      </c>
      <c r="AC61" s="51" t="s">
        <v>285</v>
      </c>
      <c r="AD61" s="50" t="s">
        <v>285</v>
      </c>
      <c r="AE61" s="51" t="s">
        <v>285</v>
      </c>
      <c r="AF61" s="50" t="s">
        <v>285</v>
      </c>
      <c r="AG61" s="51" t="s">
        <v>285</v>
      </c>
    </row>
    <row r="62" spans="1:33" ht="6.75" customHeight="1" x14ac:dyDescent="0.25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976</v>
      </c>
      <c r="Y62" s="51" t="s">
        <v>959</v>
      </c>
      <c r="Z62" s="50" t="s">
        <v>285</v>
      </c>
      <c r="AA62" s="51" t="s">
        <v>285</v>
      </c>
      <c r="AB62" s="50" t="s">
        <v>285</v>
      </c>
      <c r="AC62" s="51" t="s">
        <v>285</v>
      </c>
      <c r="AD62" s="50" t="s">
        <v>285</v>
      </c>
      <c r="AE62" s="51" t="s">
        <v>285</v>
      </c>
      <c r="AF62" s="50" t="s">
        <v>285</v>
      </c>
      <c r="AG62" s="51" t="s">
        <v>285</v>
      </c>
    </row>
    <row r="63" spans="1:33" ht="6.75" customHeight="1" x14ac:dyDescent="0.25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976</v>
      </c>
      <c r="Y63" s="51" t="s">
        <v>959</v>
      </c>
      <c r="Z63" s="50" t="s">
        <v>285</v>
      </c>
      <c r="AA63" s="51" t="s">
        <v>285</v>
      </c>
      <c r="AB63" s="50" t="s">
        <v>285</v>
      </c>
      <c r="AC63" s="51" t="s">
        <v>285</v>
      </c>
      <c r="AD63" s="50" t="s">
        <v>285</v>
      </c>
      <c r="AE63" s="51" t="s">
        <v>285</v>
      </c>
      <c r="AF63" s="50" t="s">
        <v>285</v>
      </c>
      <c r="AG63" s="51" t="s">
        <v>285</v>
      </c>
    </row>
    <row r="64" spans="1:33" ht="6.75" customHeight="1" x14ac:dyDescent="0.25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976</v>
      </c>
      <c r="Y64" s="51" t="s">
        <v>959</v>
      </c>
      <c r="Z64" s="50" t="s">
        <v>285</v>
      </c>
      <c r="AA64" s="51" t="s">
        <v>285</v>
      </c>
      <c r="AB64" s="50" t="s">
        <v>285</v>
      </c>
      <c r="AC64" s="51" t="s">
        <v>285</v>
      </c>
      <c r="AD64" s="50" t="s">
        <v>285</v>
      </c>
      <c r="AE64" s="51" t="s">
        <v>285</v>
      </c>
      <c r="AF64" s="50" t="s">
        <v>285</v>
      </c>
      <c r="AG64" s="51" t="s">
        <v>285</v>
      </c>
    </row>
    <row r="65" spans="1:33" ht="6.75" customHeight="1" x14ac:dyDescent="0.25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976</v>
      </c>
      <c r="Y65" s="51" t="s">
        <v>959</v>
      </c>
      <c r="Z65" s="50" t="s">
        <v>285</v>
      </c>
      <c r="AA65" s="51" t="s">
        <v>285</v>
      </c>
      <c r="AB65" s="50" t="s">
        <v>285</v>
      </c>
      <c r="AC65" s="51" t="s">
        <v>285</v>
      </c>
      <c r="AD65" s="50" t="s">
        <v>285</v>
      </c>
      <c r="AE65" s="51" t="s">
        <v>285</v>
      </c>
      <c r="AF65" s="50" t="s">
        <v>285</v>
      </c>
      <c r="AG65" s="51" t="s">
        <v>285</v>
      </c>
    </row>
    <row r="66" spans="1:33" ht="6.75" customHeight="1" x14ac:dyDescent="0.25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976</v>
      </c>
      <c r="Y66" s="51" t="s">
        <v>959</v>
      </c>
      <c r="Z66" s="50" t="s">
        <v>285</v>
      </c>
      <c r="AA66" s="51" t="s">
        <v>285</v>
      </c>
      <c r="AB66" s="50" t="s">
        <v>285</v>
      </c>
      <c r="AC66" s="51" t="s">
        <v>285</v>
      </c>
      <c r="AD66" s="50" t="s">
        <v>285</v>
      </c>
      <c r="AE66" s="51" t="s">
        <v>285</v>
      </c>
      <c r="AF66" s="50" t="s">
        <v>285</v>
      </c>
      <c r="AG66" s="51" t="s">
        <v>285</v>
      </c>
    </row>
    <row r="67" spans="1:33" ht="6.75" customHeight="1" x14ac:dyDescent="0.25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976</v>
      </c>
      <c r="Y67" s="51" t="s">
        <v>959</v>
      </c>
      <c r="Z67" s="50" t="s">
        <v>285</v>
      </c>
      <c r="AA67" s="51" t="s">
        <v>285</v>
      </c>
      <c r="AB67" s="50" t="s">
        <v>285</v>
      </c>
      <c r="AC67" s="51" t="s">
        <v>285</v>
      </c>
      <c r="AD67" s="50" t="s">
        <v>285</v>
      </c>
      <c r="AE67" s="51" t="s">
        <v>285</v>
      </c>
      <c r="AF67" s="50" t="s">
        <v>285</v>
      </c>
      <c r="AG67" s="51" t="s">
        <v>285</v>
      </c>
    </row>
    <row r="68" spans="1:33" ht="6.75" customHeight="1" x14ac:dyDescent="0.25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976</v>
      </c>
      <c r="Y68" s="51" t="s">
        <v>959</v>
      </c>
      <c r="Z68" s="50" t="s">
        <v>285</v>
      </c>
      <c r="AA68" s="51" t="s">
        <v>285</v>
      </c>
      <c r="AB68" s="50" t="s">
        <v>285</v>
      </c>
      <c r="AC68" s="51" t="s">
        <v>285</v>
      </c>
      <c r="AD68" s="50" t="s">
        <v>285</v>
      </c>
      <c r="AE68" s="51" t="s">
        <v>285</v>
      </c>
      <c r="AF68" s="50" t="s">
        <v>285</v>
      </c>
      <c r="AG68" s="51" t="s">
        <v>285</v>
      </c>
    </row>
    <row r="69" spans="1:33" ht="6.75" customHeight="1" x14ac:dyDescent="0.25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976</v>
      </c>
      <c r="Y69" s="51" t="s">
        <v>959</v>
      </c>
      <c r="Z69" s="50" t="s">
        <v>285</v>
      </c>
      <c r="AA69" s="51" t="s">
        <v>285</v>
      </c>
      <c r="AB69" s="50" t="s">
        <v>285</v>
      </c>
      <c r="AC69" s="51" t="s">
        <v>285</v>
      </c>
      <c r="AD69" s="50" t="s">
        <v>285</v>
      </c>
      <c r="AE69" s="51" t="s">
        <v>285</v>
      </c>
      <c r="AF69" s="50" t="s">
        <v>285</v>
      </c>
      <c r="AG69" s="51" t="s">
        <v>285</v>
      </c>
    </row>
    <row r="70" spans="1:33" ht="6.75" customHeight="1" x14ac:dyDescent="0.25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976</v>
      </c>
      <c r="Y70" s="51" t="s">
        <v>959</v>
      </c>
      <c r="Z70" s="50" t="s">
        <v>285</v>
      </c>
      <c r="AA70" s="51" t="s">
        <v>285</v>
      </c>
      <c r="AB70" s="50" t="s">
        <v>285</v>
      </c>
      <c r="AC70" s="51" t="s">
        <v>285</v>
      </c>
      <c r="AD70" s="50" t="s">
        <v>285</v>
      </c>
      <c r="AE70" s="51" t="s">
        <v>285</v>
      </c>
      <c r="AF70" s="50" t="s">
        <v>285</v>
      </c>
      <c r="AG70" s="51" t="s">
        <v>285</v>
      </c>
    </row>
    <row r="71" spans="1:33" ht="6.75" customHeight="1" x14ac:dyDescent="0.25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976</v>
      </c>
      <c r="Y71" s="51" t="s">
        <v>959</v>
      </c>
      <c r="Z71" s="50" t="s">
        <v>285</v>
      </c>
      <c r="AA71" s="51" t="s">
        <v>285</v>
      </c>
      <c r="AB71" s="50" t="s">
        <v>285</v>
      </c>
      <c r="AC71" s="51" t="s">
        <v>285</v>
      </c>
      <c r="AD71" s="50" t="s">
        <v>285</v>
      </c>
      <c r="AE71" s="51" t="s">
        <v>285</v>
      </c>
      <c r="AF71" s="50" t="s">
        <v>285</v>
      </c>
      <c r="AG71" s="51" t="s">
        <v>285</v>
      </c>
    </row>
    <row r="72" spans="1:33" ht="6.75" customHeight="1" x14ac:dyDescent="0.25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976</v>
      </c>
      <c r="Y72" s="51" t="s">
        <v>959</v>
      </c>
      <c r="Z72" s="50" t="s">
        <v>285</v>
      </c>
      <c r="AA72" s="51" t="s">
        <v>285</v>
      </c>
      <c r="AB72" s="50" t="s">
        <v>285</v>
      </c>
      <c r="AC72" s="51" t="s">
        <v>285</v>
      </c>
      <c r="AD72" s="50" t="s">
        <v>285</v>
      </c>
      <c r="AE72" s="51" t="s">
        <v>285</v>
      </c>
      <c r="AF72" s="50" t="s">
        <v>285</v>
      </c>
      <c r="AG72" s="51" t="s">
        <v>285</v>
      </c>
    </row>
    <row r="73" spans="1:33" ht="6.75" customHeight="1" x14ac:dyDescent="0.25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976</v>
      </c>
      <c r="Y73" s="51" t="s">
        <v>959</v>
      </c>
      <c r="Z73" s="50" t="s">
        <v>285</v>
      </c>
      <c r="AA73" s="51" t="s">
        <v>285</v>
      </c>
      <c r="AB73" s="50" t="s">
        <v>285</v>
      </c>
      <c r="AC73" s="51" t="s">
        <v>285</v>
      </c>
      <c r="AD73" s="50" t="s">
        <v>285</v>
      </c>
      <c r="AE73" s="51" t="s">
        <v>285</v>
      </c>
      <c r="AF73" s="50" t="s">
        <v>285</v>
      </c>
      <c r="AG73" s="51" t="s">
        <v>285</v>
      </c>
    </row>
    <row r="74" spans="1:33" ht="6.75" customHeight="1" x14ac:dyDescent="0.25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976</v>
      </c>
      <c r="Y74" s="51" t="s">
        <v>959</v>
      </c>
      <c r="Z74" s="50" t="s">
        <v>285</v>
      </c>
      <c r="AA74" s="51" t="s">
        <v>285</v>
      </c>
      <c r="AB74" s="50" t="s">
        <v>285</v>
      </c>
      <c r="AC74" s="51" t="s">
        <v>285</v>
      </c>
      <c r="AD74" s="50" t="s">
        <v>285</v>
      </c>
      <c r="AE74" s="51" t="s">
        <v>285</v>
      </c>
      <c r="AF74" s="50" t="s">
        <v>285</v>
      </c>
      <c r="AG74" s="51" t="s">
        <v>285</v>
      </c>
    </row>
    <row r="75" spans="1:33" ht="6.75" customHeight="1" x14ac:dyDescent="0.25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976</v>
      </c>
      <c r="Y75" s="51" t="s">
        <v>959</v>
      </c>
      <c r="Z75" s="50" t="s">
        <v>285</v>
      </c>
      <c r="AA75" s="51" t="s">
        <v>285</v>
      </c>
      <c r="AB75" s="50" t="s">
        <v>285</v>
      </c>
      <c r="AC75" s="51" t="s">
        <v>285</v>
      </c>
      <c r="AD75" s="50" t="s">
        <v>285</v>
      </c>
      <c r="AE75" s="51" t="s">
        <v>285</v>
      </c>
      <c r="AF75" s="50" t="s">
        <v>285</v>
      </c>
      <c r="AG75" s="51" t="s">
        <v>285</v>
      </c>
    </row>
    <row r="76" spans="1:33" ht="6.75" customHeight="1" x14ac:dyDescent="0.25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976</v>
      </c>
      <c r="Y76" s="51" t="s">
        <v>959</v>
      </c>
      <c r="Z76" s="50" t="s">
        <v>285</v>
      </c>
      <c r="AA76" s="51" t="s">
        <v>285</v>
      </c>
      <c r="AB76" s="50" t="s">
        <v>285</v>
      </c>
      <c r="AC76" s="51" t="s">
        <v>285</v>
      </c>
      <c r="AD76" s="50" t="s">
        <v>285</v>
      </c>
      <c r="AE76" s="51" t="s">
        <v>285</v>
      </c>
      <c r="AF76" s="50" t="s">
        <v>285</v>
      </c>
      <c r="AG76" s="51" t="s">
        <v>285</v>
      </c>
    </row>
    <row r="77" spans="1:33" ht="6.75" customHeight="1" x14ac:dyDescent="0.25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976</v>
      </c>
      <c r="Y77" s="51" t="s">
        <v>959</v>
      </c>
      <c r="Z77" s="50" t="s">
        <v>285</v>
      </c>
      <c r="AA77" s="51" t="s">
        <v>285</v>
      </c>
      <c r="AB77" s="50" t="s">
        <v>285</v>
      </c>
      <c r="AC77" s="51" t="s">
        <v>285</v>
      </c>
      <c r="AD77" s="50" t="s">
        <v>285</v>
      </c>
      <c r="AE77" s="51" t="s">
        <v>285</v>
      </c>
      <c r="AF77" s="50" t="s">
        <v>285</v>
      </c>
      <c r="AG77" s="51" t="s">
        <v>285</v>
      </c>
    </row>
    <row r="78" spans="1:33" ht="6.75" customHeight="1" x14ac:dyDescent="0.25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976</v>
      </c>
      <c r="Y78" s="51" t="s">
        <v>959</v>
      </c>
      <c r="Z78" s="50" t="s">
        <v>285</v>
      </c>
      <c r="AA78" s="51" t="s">
        <v>285</v>
      </c>
      <c r="AB78" s="50" t="s">
        <v>285</v>
      </c>
      <c r="AC78" s="51" t="s">
        <v>285</v>
      </c>
      <c r="AD78" s="50" t="s">
        <v>285</v>
      </c>
      <c r="AE78" s="51" t="s">
        <v>285</v>
      </c>
      <c r="AF78" s="50" t="s">
        <v>285</v>
      </c>
      <c r="AG78" s="51" t="s">
        <v>285</v>
      </c>
    </row>
    <row r="79" spans="1:33" ht="6.75" customHeight="1" x14ac:dyDescent="0.25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976</v>
      </c>
      <c r="Y79" s="51" t="s">
        <v>959</v>
      </c>
      <c r="Z79" s="50" t="s">
        <v>285</v>
      </c>
      <c r="AA79" s="51" t="s">
        <v>285</v>
      </c>
      <c r="AB79" s="50" t="s">
        <v>285</v>
      </c>
      <c r="AC79" s="51" t="s">
        <v>285</v>
      </c>
      <c r="AD79" s="50" t="s">
        <v>285</v>
      </c>
      <c r="AE79" s="51" t="s">
        <v>285</v>
      </c>
      <c r="AF79" s="50" t="s">
        <v>285</v>
      </c>
      <c r="AG79" s="51" t="s">
        <v>285</v>
      </c>
    </row>
    <row r="80" spans="1:33" ht="6.75" customHeight="1" x14ac:dyDescent="0.25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976</v>
      </c>
      <c r="Y80" s="51" t="s">
        <v>959</v>
      </c>
      <c r="Z80" s="50" t="s">
        <v>285</v>
      </c>
      <c r="AA80" s="51" t="s">
        <v>285</v>
      </c>
      <c r="AB80" s="50" t="s">
        <v>285</v>
      </c>
      <c r="AC80" s="51" t="s">
        <v>285</v>
      </c>
      <c r="AD80" s="50" t="s">
        <v>285</v>
      </c>
      <c r="AE80" s="51" t="s">
        <v>285</v>
      </c>
      <c r="AF80" s="50" t="s">
        <v>285</v>
      </c>
      <c r="AG80" s="51" t="s">
        <v>285</v>
      </c>
    </row>
    <row r="81" spans="1:33" ht="6.75" customHeight="1" x14ac:dyDescent="0.25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976</v>
      </c>
      <c r="Y81" s="51" t="s">
        <v>959</v>
      </c>
      <c r="Z81" s="50" t="s">
        <v>285</v>
      </c>
      <c r="AA81" s="51" t="s">
        <v>285</v>
      </c>
      <c r="AB81" s="50" t="s">
        <v>285</v>
      </c>
      <c r="AC81" s="51" t="s">
        <v>285</v>
      </c>
      <c r="AD81" s="50" t="s">
        <v>285</v>
      </c>
      <c r="AE81" s="51" t="s">
        <v>285</v>
      </c>
      <c r="AF81" s="50" t="s">
        <v>285</v>
      </c>
      <c r="AG81" s="51" t="s">
        <v>285</v>
      </c>
    </row>
    <row r="82" spans="1:33" ht="6.75" customHeight="1" x14ac:dyDescent="0.25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976</v>
      </c>
      <c r="Y82" s="51" t="s">
        <v>959</v>
      </c>
      <c r="Z82" s="50" t="s">
        <v>285</v>
      </c>
      <c r="AA82" s="51" t="s">
        <v>285</v>
      </c>
      <c r="AB82" s="50" t="s">
        <v>285</v>
      </c>
      <c r="AC82" s="51" t="s">
        <v>285</v>
      </c>
      <c r="AD82" s="50" t="s">
        <v>285</v>
      </c>
      <c r="AE82" s="51" t="s">
        <v>285</v>
      </c>
      <c r="AF82" s="50" t="s">
        <v>285</v>
      </c>
      <c r="AG82" s="51" t="s">
        <v>285</v>
      </c>
    </row>
    <row r="83" spans="1:33" ht="6.75" customHeight="1" x14ac:dyDescent="0.25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976</v>
      </c>
      <c r="Y83" s="51" t="s">
        <v>959</v>
      </c>
      <c r="Z83" s="50" t="s">
        <v>285</v>
      </c>
      <c r="AA83" s="51" t="s">
        <v>285</v>
      </c>
      <c r="AB83" s="50" t="s">
        <v>285</v>
      </c>
      <c r="AC83" s="51" t="s">
        <v>285</v>
      </c>
      <c r="AD83" s="50" t="s">
        <v>285</v>
      </c>
      <c r="AE83" s="51" t="s">
        <v>285</v>
      </c>
      <c r="AF83" s="50" t="s">
        <v>285</v>
      </c>
      <c r="AG83" s="51" t="s">
        <v>285</v>
      </c>
    </row>
    <row r="84" spans="1:33" ht="6.75" customHeight="1" x14ac:dyDescent="0.25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976</v>
      </c>
      <c r="Y84" s="51" t="s">
        <v>959</v>
      </c>
      <c r="Z84" s="50" t="s">
        <v>285</v>
      </c>
      <c r="AA84" s="51" t="s">
        <v>285</v>
      </c>
      <c r="AB84" s="50" t="s">
        <v>285</v>
      </c>
      <c r="AC84" s="51" t="s">
        <v>285</v>
      </c>
      <c r="AD84" s="50" t="s">
        <v>285</v>
      </c>
      <c r="AE84" s="51" t="s">
        <v>285</v>
      </c>
      <c r="AF84" s="50" t="s">
        <v>285</v>
      </c>
      <c r="AG84" s="51" t="s">
        <v>285</v>
      </c>
    </row>
    <row r="85" spans="1:33" ht="6.75" customHeight="1" x14ac:dyDescent="0.25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976</v>
      </c>
      <c r="Y85" s="51" t="s">
        <v>959</v>
      </c>
      <c r="Z85" s="50" t="s">
        <v>285</v>
      </c>
      <c r="AA85" s="51" t="s">
        <v>285</v>
      </c>
      <c r="AB85" s="50" t="s">
        <v>285</v>
      </c>
      <c r="AC85" s="51" t="s">
        <v>285</v>
      </c>
      <c r="AD85" s="50" t="s">
        <v>285</v>
      </c>
      <c r="AE85" s="51" t="s">
        <v>285</v>
      </c>
      <c r="AF85" s="50" t="s">
        <v>285</v>
      </c>
      <c r="AG85" s="51" t="s">
        <v>285</v>
      </c>
    </row>
    <row r="86" spans="1:33" ht="6.75" customHeight="1" x14ac:dyDescent="0.25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976</v>
      </c>
      <c r="Y86" s="51" t="s">
        <v>959</v>
      </c>
      <c r="Z86" s="50" t="s">
        <v>285</v>
      </c>
      <c r="AA86" s="51" t="s">
        <v>285</v>
      </c>
      <c r="AB86" s="50" t="s">
        <v>285</v>
      </c>
      <c r="AC86" s="51" t="s">
        <v>285</v>
      </c>
      <c r="AD86" s="50" t="s">
        <v>285</v>
      </c>
      <c r="AE86" s="51" t="s">
        <v>285</v>
      </c>
      <c r="AF86" s="50" t="s">
        <v>285</v>
      </c>
      <c r="AG86" s="51" t="s">
        <v>285</v>
      </c>
    </row>
    <row r="87" spans="1:33" ht="6.75" customHeight="1" x14ac:dyDescent="0.25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976</v>
      </c>
      <c r="Y87" s="51" t="s">
        <v>959</v>
      </c>
      <c r="Z87" s="50" t="s">
        <v>285</v>
      </c>
      <c r="AA87" s="51" t="s">
        <v>285</v>
      </c>
      <c r="AB87" s="50" t="s">
        <v>285</v>
      </c>
      <c r="AC87" s="51" t="s">
        <v>285</v>
      </c>
      <c r="AD87" s="50" t="s">
        <v>285</v>
      </c>
      <c r="AE87" s="51" t="s">
        <v>285</v>
      </c>
      <c r="AF87" s="50" t="s">
        <v>285</v>
      </c>
      <c r="AG87" s="51" t="s">
        <v>285</v>
      </c>
    </row>
    <row r="88" spans="1:33" ht="6.75" customHeight="1" x14ac:dyDescent="0.25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976</v>
      </c>
      <c r="Y88" s="51" t="s">
        <v>959</v>
      </c>
      <c r="Z88" s="50" t="s">
        <v>285</v>
      </c>
      <c r="AA88" s="51" t="s">
        <v>285</v>
      </c>
      <c r="AB88" s="50" t="s">
        <v>285</v>
      </c>
      <c r="AC88" s="51" t="s">
        <v>285</v>
      </c>
      <c r="AD88" s="50" t="s">
        <v>285</v>
      </c>
      <c r="AE88" s="51" t="s">
        <v>285</v>
      </c>
      <c r="AF88" s="50" t="s">
        <v>285</v>
      </c>
      <c r="AG88" s="51" t="s">
        <v>285</v>
      </c>
    </row>
    <row r="89" spans="1:33" ht="6.75" customHeight="1" x14ac:dyDescent="0.25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976</v>
      </c>
      <c r="Y89" s="51" t="s">
        <v>959</v>
      </c>
      <c r="Z89" s="50" t="s">
        <v>285</v>
      </c>
      <c r="AA89" s="51" t="s">
        <v>285</v>
      </c>
      <c r="AB89" s="50" t="s">
        <v>285</v>
      </c>
      <c r="AC89" s="51" t="s">
        <v>285</v>
      </c>
      <c r="AD89" s="50" t="s">
        <v>285</v>
      </c>
      <c r="AE89" s="51" t="s">
        <v>285</v>
      </c>
      <c r="AF89" s="50" t="s">
        <v>285</v>
      </c>
      <c r="AG89" s="51" t="s">
        <v>285</v>
      </c>
    </row>
    <row r="90" spans="1:33" ht="6.75" customHeight="1" x14ac:dyDescent="0.25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976</v>
      </c>
      <c r="Y90" s="51" t="s">
        <v>959</v>
      </c>
      <c r="Z90" s="50" t="s">
        <v>285</v>
      </c>
      <c r="AA90" s="51" t="s">
        <v>285</v>
      </c>
      <c r="AB90" s="50" t="s">
        <v>285</v>
      </c>
      <c r="AC90" s="51" t="s">
        <v>285</v>
      </c>
      <c r="AD90" s="50" t="s">
        <v>285</v>
      </c>
      <c r="AE90" s="51" t="s">
        <v>285</v>
      </c>
      <c r="AF90" s="50" t="s">
        <v>285</v>
      </c>
      <c r="AG90" s="51" t="s">
        <v>285</v>
      </c>
    </row>
    <row r="91" spans="1:33" ht="6.75" customHeight="1" x14ac:dyDescent="0.25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976</v>
      </c>
      <c r="Y91" s="51" t="s">
        <v>959</v>
      </c>
      <c r="Z91" s="50" t="s">
        <v>285</v>
      </c>
      <c r="AA91" s="51" t="s">
        <v>285</v>
      </c>
      <c r="AB91" s="50" t="s">
        <v>285</v>
      </c>
      <c r="AC91" s="51" t="s">
        <v>285</v>
      </c>
      <c r="AD91" s="50" t="s">
        <v>285</v>
      </c>
      <c r="AE91" s="51" t="s">
        <v>285</v>
      </c>
      <c r="AF91" s="50" t="s">
        <v>285</v>
      </c>
      <c r="AG91" s="51" t="s">
        <v>285</v>
      </c>
    </row>
    <row r="92" spans="1:33" ht="6.75" customHeight="1" x14ac:dyDescent="0.25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976</v>
      </c>
      <c r="Y92" s="51" t="s">
        <v>959</v>
      </c>
      <c r="Z92" s="50" t="s">
        <v>285</v>
      </c>
      <c r="AA92" s="51" t="s">
        <v>285</v>
      </c>
      <c r="AB92" s="50" t="s">
        <v>285</v>
      </c>
      <c r="AC92" s="51" t="s">
        <v>285</v>
      </c>
      <c r="AD92" s="50" t="s">
        <v>285</v>
      </c>
      <c r="AE92" s="51" t="s">
        <v>285</v>
      </c>
      <c r="AF92" s="50" t="s">
        <v>285</v>
      </c>
      <c r="AG92" s="51" t="s">
        <v>285</v>
      </c>
    </row>
    <row r="93" spans="1:33" ht="6.75" customHeight="1" x14ac:dyDescent="0.25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976</v>
      </c>
      <c r="Y93" s="51" t="s">
        <v>959</v>
      </c>
      <c r="Z93" s="50" t="s">
        <v>285</v>
      </c>
      <c r="AA93" s="51" t="s">
        <v>285</v>
      </c>
      <c r="AB93" s="50" t="s">
        <v>285</v>
      </c>
      <c r="AC93" s="51" t="s">
        <v>285</v>
      </c>
      <c r="AD93" s="50" t="s">
        <v>285</v>
      </c>
      <c r="AE93" s="51" t="s">
        <v>285</v>
      </c>
      <c r="AF93" s="50" t="s">
        <v>285</v>
      </c>
      <c r="AG93" s="51" t="s">
        <v>285</v>
      </c>
    </row>
    <row r="94" spans="1:33" ht="6.75" customHeight="1" x14ac:dyDescent="0.25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976</v>
      </c>
      <c r="Y94" s="51" t="s">
        <v>959</v>
      </c>
      <c r="Z94" s="50" t="s">
        <v>285</v>
      </c>
      <c r="AA94" s="51" t="s">
        <v>285</v>
      </c>
      <c r="AB94" s="50" t="s">
        <v>285</v>
      </c>
      <c r="AC94" s="51" t="s">
        <v>285</v>
      </c>
      <c r="AD94" s="50" t="s">
        <v>285</v>
      </c>
      <c r="AE94" s="51" t="s">
        <v>285</v>
      </c>
      <c r="AF94" s="50" t="s">
        <v>285</v>
      </c>
      <c r="AG94" s="51" t="s">
        <v>285</v>
      </c>
    </row>
    <row r="95" spans="1:33" ht="6.75" customHeight="1" x14ac:dyDescent="0.25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976</v>
      </c>
      <c r="Y95" s="51" t="s">
        <v>959</v>
      </c>
      <c r="Z95" s="50" t="s">
        <v>285</v>
      </c>
      <c r="AA95" s="51" t="s">
        <v>285</v>
      </c>
      <c r="AB95" s="50" t="s">
        <v>285</v>
      </c>
      <c r="AC95" s="51" t="s">
        <v>285</v>
      </c>
      <c r="AD95" s="50" t="s">
        <v>285</v>
      </c>
      <c r="AE95" s="51" t="s">
        <v>285</v>
      </c>
      <c r="AF95" s="50" t="s">
        <v>285</v>
      </c>
      <c r="AG95" s="51" t="s">
        <v>285</v>
      </c>
    </row>
    <row r="96" spans="1:33" ht="6.75" customHeight="1" x14ac:dyDescent="0.25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976</v>
      </c>
      <c r="Y96" s="51" t="s">
        <v>959</v>
      </c>
      <c r="Z96" s="50" t="s">
        <v>285</v>
      </c>
      <c r="AA96" s="51" t="s">
        <v>285</v>
      </c>
      <c r="AB96" s="50" t="s">
        <v>285</v>
      </c>
      <c r="AC96" s="51" t="s">
        <v>285</v>
      </c>
      <c r="AD96" s="50" t="s">
        <v>285</v>
      </c>
      <c r="AE96" s="51" t="s">
        <v>285</v>
      </c>
      <c r="AF96" s="50" t="s">
        <v>285</v>
      </c>
      <c r="AG96" s="51" t="s">
        <v>285</v>
      </c>
    </row>
    <row r="97" spans="1:33" ht="6.75" customHeight="1" x14ac:dyDescent="0.25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976</v>
      </c>
      <c r="Y97" s="51" t="s">
        <v>959</v>
      </c>
      <c r="Z97" s="50" t="s">
        <v>285</v>
      </c>
      <c r="AA97" s="51" t="s">
        <v>285</v>
      </c>
      <c r="AB97" s="50" t="s">
        <v>285</v>
      </c>
      <c r="AC97" s="51" t="s">
        <v>285</v>
      </c>
      <c r="AD97" s="50" t="s">
        <v>285</v>
      </c>
      <c r="AE97" s="51" t="s">
        <v>285</v>
      </c>
      <c r="AF97" s="50" t="s">
        <v>285</v>
      </c>
      <c r="AG97" s="51" t="s">
        <v>285</v>
      </c>
    </row>
    <row r="98" spans="1:33" ht="6.75" customHeight="1" x14ac:dyDescent="0.25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976</v>
      </c>
      <c r="Y98" s="51" t="s">
        <v>959</v>
      </c>
      <c r="Z98" s="50" t="s">
        <v>285</v>
      </c>
      <c r="AA98" s="51" t="s">
        <v>285</v>
      </c>
      <c r="AB98" s="50" t="s">
        <v>285</v>
      </c>
      <c r="AC98" s="51" t="s">
        <v>285</v>
      </c>
      <c r="AD98" s="50" t="s">
        <v>285</v>
      </c>
      <c r="AE98" s="51" t="s">
        <v>285</v>
      </c>
      <c r="AF98" s="50" t="s">
        <v>285</v>
      </c>
      <c r="AG98" s="51" t="s">
        <v>285</v>
      </c>
    </row>
    <row r="99" spans="1:33" ht="6.75" customHeight="1" x14ac:dyDescent="0.25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976</v>
      </c>
      <c r="Y99" s="51" t="s">
        <v>959</v>
      </c>
      <c r="Z99" s="50" t="s">
        <v>285</v>
      </c>
      <c r="AA99" s="51" t="s">
        <v>285</v>
      </c>
      <c r="AB99" s="50" t="s">
        <v>285</v>
      </c>
      <c r="AC99" s="51" t="s">
        <v>285</v>
      </c>
      <c r="AD99" s="50" t="s">
        <v>285</v>
      </c>
      <c r="AE99" s="51" t="s">
        <v>285</v>
      </c>
      <c r="AF99" s="50" t="s">
        <v>285</v>
      </c>
      <c r="AG99" s="51" t="s">
        <v>285</v>
      </c>
    </row>
    <row r="100" spans="1:33" ht="6.75" customHeight="1" x14ac:dyDescent="0.25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976</v>
      </c>
      <c r="Y100" s="51" t="s">
        <v>959</v>
      </c>
      <c r="Z100" s="50" t="s">
        <v>285</v>
      </c>
      <c r="AA100" s="51" t="s">
        <v>285</v>
      </c>
      <c r="AB100" s="50" t="s">
        <v>285</v>
      </c>
      <c r="AC100" s="51" t="s">
        <v>285</v>
      </c>
      <c r="AD100" s="50" t="s">
        <v>285</v>
      </c>
      <c r="AE100" s="51" t="s">
        <v>285</v>
      </c>
      <c r="AF100" s="50" t="s">
        <v>285</v>
      </c>
      <c r="AG100" s="51" t="s">
        <v>285</v>
      </c>
    </row>
    <row r="101" spans="1:33" ht="6.75" customHeight="1" x14ac:dyDescent="0.25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976</v>
      </c>
      <c r="Y101" s="51" t="s">
        <v>959</v>
      </c>
      <c r="Z101" s="50" t="s">
        <v>285</v>
      </c>
      <c r="AA101" s="51" t="s">
        <v>285</v>
      </c>
      <c r="AB101" s="50" t="s">
        <v>285</v>
      </c>
      <c r="AC101" s="51" t="s">
        <v>285</v>
      </c>
      <c r="AD101" s="50" t="s">
        <v>285</v>
      </c>
      <c r="AE101" s="51" t="s">
        <v>285</v>
      </c>
      <c r="AF101" s="50" t="s">
        <v>285</v>
      </c>
      <c r="AG101" s="51" t="s">
        <v>285</v>
      </c>
    </row>
    <row r="102" spans="1:33" ht="6.75" customHeight="1" x14ac:dyDescent="0.25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976</v>
      </c>
      <c r="Y102" s="51" t="s">
        <v>959</v>
      </c>
      <c r="Z102" s="50" t="s">
        <v>285</v>
      </c>
      <c r="AA102" s="51" t="s">
        <v>285</v>
      </c>
      <c r="AB102" s="50" t="s">
        <v>285</v>
      </c>
      <c r="AC102" s="51" t="s">
        <v>285</v>
      </c>
      <c r="AD102" s="50" t="s">
        <v>285</v>
      </c>
      <c r="AE102" s="51" t="s">
        <v>285</v>
      </c>
      <c r="AF102" s="50" t="s">
        <v>285</v>
      </c>
      <c r="AG102" s="51" t="s">
        <v>285</v>
      </c>
    </row>
    <row r="103" spans="1:33" ht="6.75" customHeight="1" x14ac:dyDescent="0.25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976</v>
      </c>
      <c r="Y103" s="51" t="s">
        <v>959</v>
      </c>
      <c r="Z103" s="50" t="s">
        <v>285</v>
      </c>
      <c r="AA103" s="51" t="s">
        <v>285</v>
      </c>
      <c r="AB103" s="50" t="s">
        <v>285</v>
      </c>
      <c r="AC103" s="51" t="s">
        <v>285</v>
      </c>
      <c r="AD103" s="50" t="s">
        <v>285</v>
      </c>
      <c r="AE103" s="51" t="s">
        <v>285</v>
      </c>
      <c r="AF103" s="50" t="s">
        <v>285</v>
      </c>
      <c r="AG103" s="51" t="s">
        <v>285</v>
      </c>
    </row>
    <row r="104" spans="1:33" ht="6.75" customHeight="1" x14ac:dyDescent="0.25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976</v>
      </c>
      <c r="Y104" s="51" t="s">
        <v>959</v>
      </c>
      <c r="Z104" s="50" t="s">
        <v>285</v>
      </c>
      <c r="AA104" s="51" t="s">
        <v>285</v>
      </c>
      <c r="AB104" s="50" t="s">
        <v>285</v>
      </c>
      <c r="AC104" s="51" t="s">
        <v>285</v>
      </c>
      <c r="AD104" s="50" t="s">
        <v>285</v>
      </c>
      <c r="AE104" s="51" t="s">
        <v>285</v>
      </c>
      <c r="AF104" s="50" t="s">
        <v>285</v>
      </c>
      <c r="AG104" s="51" t="s">
        <v>285</v>
      </c>
    </row>
    <row r="105" spans="1:33" ht="6.75" customHeight="1" x14ac:dyDescent="0.25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976</v>
      </c>
      <c r="Y105" s="51" t="s">
        <v>959</v>
      </c>
      <c r="Z105" s="50" t="s">
        <v>285</v>
      </c>
      <c r="AA105" s="51" t="s">
        <v>285</v>
      </c>
      <c r="AB105" s="50" t="s">
        <v>285</v>
      </c>
      <c r="AC105" s="51" t="s">
        <v>285</v>
      </c>
      <c r="AD105" s="50" t="s">
        <v>285</v>
      </c>
      <c r="AE105" s="51" t="s">
        <v>285</v>
      </c>
      <c r="AF105" s="50" t="s">
        <v>285</v>
      </c>
      <c r="AG105" s="51" t="s">
        <v>285</v>
      </c>
    </row>
    <row r="106" spans="1:33" ht="6.75" customHeight="1" x14ac:dyDescent="0.25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976</v>
      </c>
      <c r="Y106" s="51" t="s">
        <v>959</v>
      </c>
      <c r="Z106" s="50" t="s">
        <v>285</v>
      </c>
      <c r="AA106" s="51" t="s">
        <v>285</v>
      </c>
      <c r="AB106" s="50" t="s">
        <v>285</v>
      </c>
      <c r="AC106" s="51" t="s">
        <v>285</v>
      </c>
      <c r="AD106" s="50" t="s">
        <v>285</v>
      </c>
      <c r="AE106" s="51" t="s">
        <v>285</v>
      </c>
      <c r="AF106" s="50" t="s">
        <v>285</v>
      </c>
      <c r="AG106" s="51" t="s">
        <v>285</v>
      </c>
    </row>
    <row r="107" spans="1:33" ht="6.75" customHeight="1" x14ac:dyDescent="0.25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976</v>
      </c>
      <c r="Y107" s="51" t="s">
        <v>959</v>
      </c>
      <c r="Z107" s="50" t="s">
        <v>285</v>
      </c>
      <c r="AA107" s="51" t="s">
        <v>285</v>
      </c>
      <c r="AB107" s="50" t="s">
        <v>285</v>
      </c>
      <c r="AC107" s="51" t="s">
        <v>285</v>
      </c>
      <c r="AD107" s="50" t="s">
        <v>285</v>
      </c>
      <c r="AE107" s="51" t="s">
        <v>285</v>
      </c>
      <c r="AF107" s="50" t="s">
        <v>285</v>
      </c>
      <c r="AG107" s="51" t="s">
        <v>285</v>
      </c>
    </row>
    <row r="108" spans="1:33" ht="6.75" customHeight="1" x14ac:dyDescent="0.25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976</v>
      </c>
      <c r="Y108" s="51" t="s">
        <v>959</v>
      </c>
      <c r="Z108" s="50" t="s">
        <v>285</v>
      </c>
      <c r="AA108" s="51" t="s">
        <v>285</v>
      </c>
      <c r="AB108" s="50" t="s">
        <v>285</v>
      </c>
      <c r="AC108" s="51" t="s">
        <v>285</v>
      </c>
      <c r="AD108" s="50" t="s">
        <v>285</v>
      </c>
      <c r="AE108" s="51" t="s">
        <v>285</v>
      </c>
      <c r="AF108" s="50" t="s">
        <v>285</v>
      </c>
      <c r="AG108" s="51" t="s">
        <v>285</v>
      </c>
    </row>
    <row r="109" spans="1:33" ht="6.75" customHeight="1" x14ac:dyDescent="0.25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976</v>
      </c>
      <c r="Y109" s="51" t="s">
        <v>959</v>
      </c>
      <c r="Z109" s="50" t="s">
        <v>285</v>
      </c>
      <c r="AA109" s="51" t="s">
        <v>285</v>
      </c>
      <c r="AB109" s="50" t="s">
        <v>285</v>
      </c>
      <c r="AC109" s="51" t="s">
        <v>285</v>
      </c>
      <c r="AD109" s="50" t="s">
        <v>285</v>
      </c>
      <c r="AE109" s="51" t="s">
        <v>285</v>
      </c>
      <c r="AF109" s="50" t="s">
        <v>285</v>
      </c>
      <c r="AG109" s="51" t="s">
        <v>285</v>
      </c>
    </row>
    <row r="110" spans="1:33" ht="6.75" customHeight="1" x14ac:dyDescent="0.25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976</v>
      </c>
      <c r="Y110" s="51" t="s">
        <v>959</v>
      </c>
      <c r="Z110" s="50" t="s">
        <v>285</v>
      </c>
      <c r="AA110" s="51" t="s">
        <v>285</v>
      </c>
      <c r="AB110" s="50" t="s">
        <v>285</v>
      </c>
      <c r="AC110" s="51" t="s">
        <v>285</v>
      </c>
      <c r="AD110" s="50" t="s">
        <v>285</v>
      </c>
      <c r="AE110" s="51" t="s">
        <v>285</v>
      </c>
      <c r="AF110" s="50" t="s">
        <v>285</v>
      </c>
      <c r="AG110" s="51" t="s">
        <v>285</v>
      </c>
    </row>
    <row r="111" spans="1:33" ht="6.75" customHeight="1" x14ac:dyDescent="0.25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976</v>
      </c>
      <c r="Y111" s="51" t="s">
        <v>959</v>
      </c>
      <c r="Z111" s="50" t="s">
        <v>285</v>
      </c>
      <c r="AA111" s="51" t="s">
        <v>285</v>
      </c>
      <c r="AB111" s="50" t="s">
        <v>285</v>
      </c>
      <c r="AC111" s="51" t="s">
        <v>285</v>
      </c>
      <c r="AD111" s="50" t="s">
        <v>285</v>
      </c>
      <c r="AE111" s="51" t="s">
        <v>285</v>
      </c>
      <c r="AF111" s="50" t="s">
        <v>285</v>
      </c>
      <c r="AG111" s="51" t="s">
        <v>285</v>
      </c>
    </row>
    <row r="112" spans="1:33" ht="6.75" customHeight="1" x14ac:dyDescent="0.25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976</v>
      </c>
      <c r="Y112" s="51" t="s">
        <v>959</v>
      </c>
      <c r="Z112" s="50" t="s">
        <v>285</v>
      </c>
      <c r="AA112" s="51" t="s">
        <v>285</v>
      </c>
      <c r="AB112" s="50" t="s">
        <v>285</v>
      </c>
      <c r="AC112" s="51" t="s">
        <v>285</v>
      </c>
      <c r="AD112" s="50" t="s">
        <v>285</v>
      </c>
      <c r="AE112" s="51" t="s">
        <v>285</v>
      </c>
      <c r="AF112" s="50" t="s">
        <v>285</v>
      </c>
      <c r="AG112" s="51" t="s">
        <v>285</v>
      </c>
    </row>
    <row r="113" spans="1:33" ht="6.75" customHeight="1" x14ac:dyDescent="0.25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976</v>
      </c>
      <c r="Y113" s="51" t="s">
        <v>959</v>
      </c>
      <c r="Z113" s="50" t="s">
        <v>285</v>
      </c>
      <c r="AA113" s="51" t="s">
        <v>285</v>
      </c>
      <c r="AB113" s="50" t="s">
        <v>285</v>
      </c>
      <c r="AC113" s="51" t="s">
        <v>285</v>
      </c>
      <c r="AD113" s="50" t="s">
        <v>285</v>
      </c>
      <c r="AE113" s="51" t="s">
        <v>285</v>
      </c>
      <c r="AF113" s="50" t="s">
        <v>285</v>
      </c>
      <c r="AG113" s="51" t="s">
        <v>285</v>
      </c>
    </row>
    <row r="114" spans="1:33" ht="6.75" customHeight="1" x14ac:dyDescent="0.25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976</v>
      </c>
      <c r="Y114" s="51" t="s">
        <v>959</v>
      </c>
      <c r="Z114" s="50" t="s">
        <v>285</v>
      </c>
      <c r="AA114" s="51" t="s">
        <v>285</v>
      </c>
      <c r="AB114" s="50" t="s">
        <v>285</v>
      </c>
      <c r="AC114" s="51" t="s">
        <v>285</v>
      </c>
      <c r="AD114" s="50" t="s">
        <v>285</v>
      </c>
      <c r="AE114" s="51" t="s">
        <v>285</v>
      </c>
      <c r="AF114" s="50" t="s">
        <v>285</v>
      </c>
      <c r="AG114" s="51" t="s">
        <v>285</v>
      </c>
    </row>
    <row r="115" spans="1:33" ht="6.75" customHeight="1" x14ac:dyDescent="0.25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976</v>
      </c>
      <c r="Y115" s="51" t="s">
        <v>959</v>
      </c>
      <c r="Z115" s="50" t="s">
        <v>285</v>
      </c>
      <c r="AA115" s="51" t="s">
        <v>285</v>
      </c>
      <c r="AB115" s="50" t="s">
        <v>285</v>
      </c>
      <c r="AC115" s="51" t="s">
        <v>285</v>
      </c>
      <c r="AD115" s="50" t="s">
        <v>285</v>
      </c>
      <c r="AE115" s="51" t="s">
        <v>285</v>
      </c>
      <c r="AF115" s="50" t="s">
        <v>285</v>
      </c>
      <c r="AG115" s="51" t="s">
        <v>285</v>
      </c>
    </row>
    <row r="116" spans="1:33" ht="6.75" customHeight="1" x14ac:dyDescent="0.25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976</v>
      </c>
      <c r="Y116" s="51" t="s">
        <v>959</v>
      </c>
      <c r="Z116" s="50" t="s">
        <v>285</v>
      </c>
      <c r="AA116" s="51" t="s">
        <v>285</v>
      </c>
      <c r="AB116" s="50" t="s">
        <v>285</v>
      </c>
      <c r="AC116" s="51" t="s">
        <v>285</v>
      </c>
      <c r="AD116" s="50" t="s">
        <v>285</v>
      </c>
      <c r="AE116" s="51" t="s">
        <v>285</v>
      </c>
      <c r="AF116" s="50" t="s">
        <v>285</v>
      </c>
      <c r="AG116" s="51" t="s">
        <v>285</v>
      </c>
    </row>
    <row r="117" spans="1:33" ht="6.75" customHeight="1" x14ac:dyDescent="0.25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976</v>
      </c>
      <c r="Y117" s="51" t="s">
        <v>959</v>
      </c>
      <c r="Z117" s="50" t="s">
        <v>285</v>
      </c>
      <c r="AA117" s="51" t="s">
        <v>285</v>
      </c>
      <c r="AB117" s="50" t="s">
        <v>285</v>
      </c>
      <c r="AC117" s="51" t="s">
        <v>285</v>
      </c>
      <c r="AD117" s="50" t="s">
        <v>285</v>
      </c>
      <c r="AE117" s="51" t="s">
        <v>285</v>
      </c>
      <c r="AF117" s="50" t="s">
        <v>285</v>
      </c>
      <c r="AG117" s="51" t="s">
        <v>285</v>
      </c>
    </row>
    <row r="118" spans="1:33" ht="6.75" customHeight="1" x14ac:dyDescent="0.25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976</v>
      </c>
      <c r="Y118" s="51" t="s">
        <v>959</v>
      </c>
      <c r="Z118" s="50" t="s">
        <v>285</v>
      </c>
      <c r="AA118" s="51" t="s">
        <v>285</v>
      </c>
      <c r="AB118" s="50" t="s">
        <v>285</v>
      </c>
      <c r="AC118" s="51" t="s">
        <v>285</v>
      </c>
      <c r="AD118" s="50" t="s">
        <v>285</v>
      </c>
      <c r="AE118" s="51" t="s">
        <v>285</v>
      </c>
      <c r="AF118" s="50" t="s">
        <v>285</v>
      </c>
      <c r="AG118" s="51" t="s">
        <v>285</v>
      </c>
    </row>
    <row r="119" spans="1:33" ht="6.75" customHeight="1" x14ac:dyDescent="0.25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976</v>
      </c>
      <c r="Y119" s="51" t="s">
        <v>959</v>
      </c>
      <c r="Z119" s="50" t="s">
        <v>285</v>
      </c>
      <c r="AA119" s="51" t="s">
        <v>285</v>
      </c>
      <c r="AB119" s="50" t="s">
        <v>285</v>
      </c>
      <c r="AC119" s="51" t="s">
        <v>285</v>
      </c>
      <c r="AD119" s="50" t="s">
        <v>285</v>
      </c>
      <c r="AE119" s="51" t="s">
        <v>285</v>
      </c>
      <c r="AF119" s="50" t="s">
        <v>285</v>
      </c>
      <c r="AG119" s="51" t="s">
        <v>285</v>
      </c>
    </row>
    <row r="120" spans="1:33" ht="6.75" customHeight="1" x14ac:dyDescent="0.25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976</v>
      </c>
      <c r="Y120" s="51" t="s">
        <v>959</v>
      </c>
      <c r="Z120" s="50" t="s">
        <v>285</v>
      </c>
      <c r="AA120" s="51" t="s">
        <v>285</v>
      </c>
      <c r="AB120" s="50" t="s">
        <v>285</v>
      </c>
      <c r="AC120" s="51" t="s">
        <v>285</v>
      </c>
      <c r="AD120" s="50" t="s">
        <v>285</v>
      </c>
      <c r="AE120" s="51" t="s">
        <v>285</v>
      </c>
      <c r="AF120" s="50" t="s">
        <v>285</v>
      </c>
      <c r="AG120" s="51" t="s">
        <v>285</v>
      </c>
    </row>
    <row r="121" spans="1:33" ht="6.75" customHeight="1" x14ac:dyDescent="0.25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976</v>
      </c>
      <c r="Y121" s="51" t="s">
        <v>959</v>
      </c>
      <c r="Z121" s="50" t="s">
        <v>285</v>
      </c>
      <c r="AA121" s="51" t="s">
        <v>285</v>
      </c>
      <c r="AB121" s="50" t="s">
        <v>285</v>
      </c>
      <c r="AC121" s="51" t="s">
        <v>285</v>
      </c>
      <c r="AD121" s="50" t="s">
        <v>285</v>
      </c>
      <c r="AE121" s="51" t="s">
        <v>285</v>
      </c>
      <c r="AF121" s="50" t="s">
        <v>285</v>
      </c>
      <c r="AG121" s="51" t="s">
        <v>285</v>
      </c>
    </row>
    <row r="122" spans="1:33" ht="6.75" customHeight="1" x14ac:dyDescent="0.25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976</v>
      </c>
      <c r="Y122" s="51" t="s">
        <v>959</v>
      </c>
      <c r="Z122" s="50" t="s">
        <v>285</v>
      </c>
      <c r="AA122" s="51" t="s">
        <v>285</v>
      </c>
      <c r="AB122" s="50" t="s">
        <v>285</v>
      </c>
      <c r="AC122" s="51" t="s">
        <v>285</v>
      </c>
      <c r="AD122" s="50" t="s">
        <v>285</v>
      </c>
      <c r="AE122" s="51" t="s">
        <v>285</v>
      </c>
      <c r="AF122" s="50" t="s">
        <v>285</v>
      </c>
      <c r="AG122" s="51" t="s">
        <v>285</v>
      </c>
    </row>
    <row r="123" spans="1:33" ht="6.75" customHeight="1" x14ac:dyDescent="0.25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976</v>
      </c>
      <c r="Y123" s="51" t="s">
        <v>959</v>
      </c>
      <c r="Z123" s="50" t="s">
        <v>285</v>
      </c>
      <c r="AA123" s="51" t="s">
        <v>285</v>
      </c>
      <c r="AB123" s="50" t="s">
        <v>285</v>
      </c>
      <c r="AC123" s="51" t="s">
        <v>285</v>
      </c>
      <c r="AD123" s="50" t="s">
        <v>285</v>
      </c>
      <c r="AE123" s="51" t="s">
        <v>285</v>
      </c>
      <c r="AF123" s="50" t="s">
        <v>285</v>
      </c>
      <c r="AG123" s="51" t="s">
        <v>285</v>
      </c>
    </row>
    <row r="124" spans="1:33" ht="6.75" customHeight="1" x14ac:dyDescent="0.25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976</v>
      </c>
      <c r="Y124" s="51" t="s">
        <v>959</v>
      </c>
      <c r="Z124" s="50" t="s">
        <v>285</v>
      </c>
      <c r="AA124" s="51" t="s">
        <v>285</v>
      </c>
      <c r="AB124" s="50" t="s">
        <v>285</v>
      </c>
      <c r="AC124" s="51" t="s">
        <v>285</v>
      </c>
      <c r="AD124" s="50" t="s">
        <v>285</v>
      </c>
      <c r="AE124" s="51" t="s">
        <v>285</v>
      </c>
      <c r="AF124" s="50" t="s">
        <v>285</v>
      </c>
      <c r="AG124" s="51" t="s">
        <v>285</v>
      </c>
    </row>
    <row r="125" spans="1:33" ht="6.75" customHeight="1" x14ac:dyDescent="0.25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976</v>
      </c>
      <c r="Y125" s="51" t="s">
        <v>959</v>
      </c>
      <c r="Z125" s="50" t="s">
        <v>285</v>
      </c>
      <c r="AA125" s="51" t="s">
        <v>285</v>
      </c>
      <c r="AB125" s="50" t="s">
        <v>285</v>
      </c>
      <c r="AC125" s="51" t="s">
        <v>285</v>
      </c>
      <c r="AD125" s="50" t="s">
        <v>285</v>
      </c>
      <c r="AE125" s="51" t="s">
        <v>285</v>
      </c>
      <c r="AF125" s="50" t="s">
        <v>285</v>
      </c>
      <c r="AG125" s="51" t="s">
        <v>285</v>
      </c>
    </row>
    <row r="126" spans="1:33" ht="6.75" customHeight="1" x14ac:dyDescent="0.25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976</v>
      </c>
      <c r="Y126" s="51" t="s">
        <v>959</v>
      </c>
      <c r="Z126" s="50" t="s">
        <v>285</v>
      </c>
      <c r="AA126" s="51" t="s">
        <v>285</v>
      </c>
      <c r="AB126" s="50" t="s">
        <v>285</v>
      </c>
      <c r="AC126" s="51" t="s">
        <v>285</v>
      </c>
      <c r="AD126" s="50" t="s">
        <v>285</v>
      </c>
      <c r="AE126" s="51" t="s">
        <v>285</v>
      </c>
      <c r="AF126" s="50" t="s">
        <v>285</v>
      </c>
      <c r="AG126" s="51" t="s">
        <v>285</v>
      </c>
    </row>
    <row r="127" spans="1:33" ht="6.75" customHeight="1" x14ac:dyDescent="0.25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976</v>
      </c>
      <c r="Y127" s="51" t="s">
        <v>959</v>
      </c>
      <c r="Z127" s="50" t="s">
        <v>285</v>
      </c>
      <c r="AA127" s="51" t="s">
        <v>285</v>
      </c>
      <c r="AB127" s="50" t="s">
        <v>285</v>
      </c>
      <c r="AC127" s="51" t="s">
        <v>285</v>
      </c>
      <c r="AD127" s="50" t="s">
        <v>285</v>
      </c>
      <c r="AE127" s="51" t="s">
        <v>285</v>
      </c>
      <c r="AF127" s="50" t="s">
        <v>285</v>
      </c>
      <c r="AG127" s="51" t="s">
        <v>285</v>
      </c>
    </row>
    <row r="128" spans="1:33" ht="6.75" customHeight="1" x14ac:dyDescent="0.25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976</v>
      </c>
      <c r="Y128" s="51" t="s">
        <v>959</v>
      </c>
      <c r="Z128" s="50" t="s">
        <v>285</v>
      </c>
      <c r="AA128" s="51" t="s">
        <v>285</v>
      </c>
      <c r="AB128" s="50" t="s">
        <v>285</v>
      </c>
      <c r="AC128" s="51" t="s">
        <v>285</v>
      </c>
      <c r="AD128" s="50" t="s">
        <v>285</v>
      </c>
      <c r="AE128" s="51" t="s">
        <v>285</v>
      </c>
      <c r="AF128" s="50" t="s">
        <v>285</v>
      </c>
      <c r="AG128" s="51" t="s">
        <v>285</v>
      </c>
    </row>
    <row r="129" spans="1:33" ht="6.75" customHeight="1" x14ac:dyDescent="0.25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976</v>
      </c>
      <c r="Y129" s="51" t="s">
        <v>959</v>
      </c>
      <c r="Z129" s="50" t="s">
        <v>285</v>
      </c>
      <c r="AA129" s="51" t="s">
        <v>285</v>
      </c>
      <c r="AB129" s="50" t="s">
        <v>285</v>
      </c>
      <c r="AC129" s="51" t="s">
        <v>285</v>
      </c>
      <c r="AD129" s="50" t="s">
        <v>285</v>
      </c>
      <c r="AE129" s="51" t="s">
        <v>285</v>
      </c>
      <c r="AF129" s="50" t="s">
        <v>285</v>
      </c>
      <c r="AG129" s="51" t="s">
        <v>285</v>
      </c>
    </row>
    <row r="130" spans="1:33" ht="6.75" customHeight="1" x14ac:dyDescent="0.25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976</v>
      </c>
      <c r="Y130" s="51" t="s">
        <v>959</v>
      </c>
      <c r="Z130" s="50" t="s">
        <v>285</v>
      </c>
      <c r="AA130" s="51" t="s">
        <v>285</v>
      </c>
      <c r="AB130" s="50" t="s">
        <v>285</v>
      </c>
      <c r="AC130" s="51" t="s">
        <v>285</v>
      </c>
      <c r="AD130" s="50" t="s">
        <v>285</v>
      </c>
      <c r="AE130" s="51" t="s">
        <v>285</v>
      </c>
      <c r="AF130" s="50" t="s">
        <v>285</v>
      </c>
      <c r="AG130" s="51" t="s">
        <v>285</v>
      </c>
    </row>
    <row r="131" spans="1:33" ht="6.75" customHeight="1" x14ac:dyDescent="0.25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976</v>
      </c>
      <c r="Y131" s="51" t="s">
        <v>959</v>
      </c>
      <c r="Z131" s="50" t="s">
        <v>285</v>
      </c>
      <c r="AA131" s="51" t="s">
        <v>285</v>
      </c>
      <c r="AB131" s="50" t="s">
        <v>285</v>
      </c>
      <c r="AC131" s="51" t="s">
        <v>285</v>
      </c>
      <c r="AD131" s="50" t="s">
        <v>285</v>
      </c>
      <c r="AE131" s="51" t="s">
        <v>285</v>
      </c>
      <c r="AF131" s="50" t="s">
        <v>285</v>
      </c>
      <c r="AG131" s="51" t="s">
        <v>285</v>
      </c>
    </row>
    <row r="132" spans="1:33" ht="6.75" customHeight="1" x14ac:dyDescent="0.25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976</v>
      </c>
      <c r="Y132" s="51" t="s">
        <v>959</v>
      </c>
      <c r="Z132" s="50" t="s">
        <v>285</v>
      </c>
      <c r="AA132" s="51" t="s">
        <v>285</v>
      </c>
      <c r="AB132" s="50" t="s">
        <v>285</v>
      </c>
      <c r="AC132" s="51" t="s">
        <v>285</v>
      </c>
      <c r="AD132" s="50" t="s">
        <v>285</v>
      </c>
      <c r="AE132" s="51" t="s">
        <v>285</v>
      </c>
      <c r="AF132" s="50" t="s">
        <v>285</v>
      </c>
      <c r="AG132" s="51" t="s">
        <v>285</v>
      </c>
    </row>
    <row r="133" spans="1:33" ht="6.75" customHeight="1" x14ac:dyDescent="0.25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976</v>
      </c>
      <c r="Y133" s="51" t="s">
        <v>959</v>
      </c>
      <c r="Z133" s="50" t="s">
        <v>285</v>
      </c>
      <c r="AA133" s="51" t="s">
        <v>285</v>
      </c>
      <c r="AB133" s="50" t="s">
        <v>285</v>
      </c>
      <c r="AC133" s="51" t="s">
        <v>285</v>
      </c>
      <c r="AD133" s="50" t="s">
        <v>285</v>
      </c>
      <c r="AE133" s="51" t="s">
        <v>285</v>
      </c>
      <c r="AF133" s="50" t="s">
        <v>285</v>
      </c>
      <c r="AG133" s="51" t="s">
        <v>285</v>
      </c>
    </row>
    <row r="134" spans="1:33" ht="6.75" customHeight="1" x14ac:dyDescent="0.25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976</v>
      </c>
      <c r="Y134" s="51" t="s">
        <v>959</v>
      </c>
      <c r="Z134" s="50" t="s">
        <v>285</v>
      </c>
      <c r="AA134" s="51" t="s">
        <v>285</v>
      </c>
      <c r="AB134" s="50" t="s">
        <v>285</v>
      </c>
      <c r="AC134" s="51" t="s">
        <v>285</v>
      </c>
      <c r="AD134" s="50" t="s">
        <v>285</v>
      </c>
      <c r="AE134" s="51" t="s">
        <v>285</v>
      </c>
      <c r="AF134" s="50" t="s">
        <v>285</v>
      </c>
      <c r="AG134" s="51" t="s">
        <v>285</v>
      </c>
    </row>
    <row r="135" spans="1:33" ht="6.75" customHeight="1" x14ac:dyDescent="0.25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976</v>
      </c>
      <c r="Y135" s="51" t="s">
        <v>959</v>
      </c>
      <c r="Z135" s="50" t="s">
        <v>285</v>
      </c>
      <c r="AA135" s="51" t="s">
        <v>285</v>
      </c>
      <c r="AB135" s="50" t="s">
        <v>285</v>
      </c>
      <c r="AC135" s="51" t="s">
        <v>285</v>
      </c>
      <c r="AD135" s="50" t="s">
        <v>285</v>
      </c>
      <c r="AE135" s="51" t="s">
        <v>285</v>
      </c>
      <c r="AF135" s="50" t="s">
        <v>285</v>
      </c>
      <c r="AG135" s="51" t="s">
        <v>285</v>
      </c>
    </row>
    <row r="136" spans="1:33" ht="6.75" customHeight="1" x14ac:dyDescent="0.25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976</v>
      </c>
      <c r="Y136" s="51" t="s">
        <v>959</v>
      </c>
      <c r="Z136" s="50" t="s">
        <v>285</v>
      </c>
      <c r="AA136" s="51" t="s">
        <v>285</v>
      </c>
      <c r="AB136" s="50" t="s">
        <v>285</v>
      </c>
      <c r="AC136" s="51" t="s">
        <v>285</v>
      </c>
      <c r="AD136" s="50" t="s">
        <v>285</v>
      </c>
      <c r="AE136" s="51" t="s">
        <v>285</v>
      </c>
      <c r="AF136" s="50" t="s">
        <v>285</v>
      </c>
      <c r="AG136" s="51" t="s">
        <v>285</v>
      </c>
    </row>
    <row r="137" spans="1:33" ht="6.75" customHeight="1" x14ac:dyDescent="0.25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976</v>
      </c>
      <c r="Y137" s="51" t="s">
        <v>959</v>
      </c>
      <c r="Z137" s="50" t="s">
        <v>285</v>
      </c>
      <c r="AA137" s="51" t="s">
        <v>285</v>
      </c>
      <c r="AB137" s="50" t="s">
        <v>285</v>
      </c>
      <c r="AC137" s="51" t="s">
        <v>285</v>
      </c>
      <c r="AD137" s="50" t="s">
        <v>285</v>
      </c>
      <c r="AE137" s="51" t="s">
        <v>285</v>
      </c>
      <c r="AF137" s="50" t="s">
        <v>285</v>
      </c>
      <c r="AG137" s="51" t="s">
        <v>285</v>
      </c>
    </row>
    <row r="138" spans="1:33" ht="6.75" customHeight="1" x14ac:dyDescent="0.25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976</v>
      </c>
      <c r="Y138" s="51" t="s">
        <v>959</v>
      </c>
      <c r="Z138" s="50" t="s">
        <v>285</v>
      </c>
      <c r="AA138" s="51" t="s">
        <v>285</v>
      </c>
      <c r="AB138" s="50" t="s">
        <v>285</v>
      </c>
      <c r="AC138" s="51" t="s">
        <v>285</v>
      </c>
      <c r="AD138" s="50" t="s">
        <v>285</v>
      </c>
      <c r="AE138" s="51" t="s">
        <v>285</v>
      </c>
      <c r="AF138" s="50" t="s">
        <v>285</v>
      </c>
      <c r="AG138" s="51" t="s">
        <v>285</v>
      </c>
    </row>
    <row r="139" spans="1:33" ht="6.75" customHeight="1" x14ac:dyDescent="0.25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976</v>
      </c>
      <c r="Y139" s="51" t="s">
        <v>959</v>
      </c>
      <c r="Z139" s="50" t="s">
        <v>285</v>
      </c>
      <c r="AA139" s="51" t="s">
        <v>285</v>
      </c>
      <c r="AB139" s="50" t="s">
        <v>285</v>
      </c>
      <c r="AC139" s="51" t="s">
        <v>285</v>
      </c>
      <c r="AD139" s="50" t="s">
        <v>285</v>
      </c>
      <c r="AE139" s="51" t="s">
        <v>285</v>
      </c>
      <c r="AF139" s="50" t="s">
        <v>285</v>
      </c>
      <c r="AG139" s="51" t="s">
        <v>285</v>
      </c>
    </row>
    <row r="140" spans="1:33" ht="6.75" customHeight="1" x14ac:dyDescent="0.25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976</v>
      </c>
      <c r="Y140" s="51" t="s">
        <v>959</v>
      </c>
      <c r="Z140" s="50" t="s">
        <v>285</v>
      </c>
      <c r="AA140" s="51" t="s">
        <v>285</v>
      </c>
      <c r="AB140" s="50" t="s">
        <v>285</v>
      </c>
      <c r="AC140" s="51" t="s">
        <v>285</v>
      </c>
      <c r="AD140" s="50" t="s">
        <v>285</v>
      </c>
      <c r="AE140" s="51" t="s">
        <v>285</v>
      </c>
      <c r="AF140" s="50" t="s">
        <v>285</v>
      </c>
      <c r="AG140" s="51" t="s">
        <v>285</v>
      </c>
    </row>
    <row r="141" spans="1:33" ht="6.75" customHeight="1" x14ac:dyDescent="0.25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976</v>
      </c>
      <c r="Y141" s="51" t="s">
        <v>959</v>
      </c>
      <c r="Z141" s="50" t="s">
        <v>285</v>
      </c>
      <c r="AA141" s="51" t="s">
        <v>285</v>
      </c>
      <c r="AB141" s="50" t="s">
        <v>285</v>
      </c>
      <c r="AC141" s="51" t="s">
        <v>285</v>
      </c>
      <c r="AD141" s="50" t="s">
        <v>285</v>
      </c>
      <c r="AE141" s="51" t="s">
        <v>285</v>
      </c>
      <c r="AF141" s="50" t="s">
        <v>285</v>
      </c>
      <c r="AG141" s="51" t="s">
        <v>285</v>
      </c>
    </row>
    <row r="142" spans="1:33" ht="6.75" customHeight="1" x14ac:dyDescent="0.25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976</v>
      </c>
      <c r="Y142" s="51" t="s">
        <v>959</v>
      </c>
      <c r="Z142" s="50" t="s">
        <v>285</v>
      </c>
      <c r="AA142" s="51" t="s">
        <v>285</v>
      </c>
      <c r="AB142" s="50" t="s">
        <v>285</v>
      </c>
      <c r="AC142" s="51" t="s">
        <v>285</v>
      </c>
      <c r="AD142" s="50" t="s">
        <v>285</v>
      </c>
      <c r="AE142" s="51" t="s">
        <v>285</v>
      </c>
      <c r="AF142" s="50" t="s">
        <v>285</v>
      </c>
      <c r="AG142" s="51" t="s">
        <v>285</v>
      </c>
    </row>
    <row r="143" spans="1:33" ht="6.75" customHeight="1" x14ac:dyDescent="0.25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976</v>
      </c>
      <c r="Y143" s="51" t="s">
        <v>959</v>
      </c>
      <c r="Z143" s="50" t="s">
        <v>285</v>
      </c>
      <c r="AA143" s="51" t="s">
        <v>285</v>
      </c>
      <c r="AB143" s="50" t="s">
        <v>285</v>
      </c>
      <c r="AC143" s="51" t="s">
        <v>285</v>
      </c>
      <c r="AD143" s="50" t="s">
        <v>285</v>
      </c>
      <c r="AE143" s="51" t="s">
        <v>285</v>
      </c>
      <c r="AF143" s="50" t="s">
        <v>285</v>
      </c>
      <c r="AG143" s="51" t="s">
        <v>285</v>
      </c>
    </row>
    <row r="144" spans="1:33" ht="6.75" customHeight="1" x14ac:dyDescent="0.25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976</v>
      </c>
      <c r="Y144" s="51" t="s">
        <v>959</v>
      </c>
      <c r="Z144" s="50" t="s">
        <v>285</v>
      </c>
      <c r="AA144" s="51" t="s">
        <v>285</v>
      </c>
      <c r="AB144" s="50" t="s">
        <v>285</v>
      </c>
      <c r="AC144" s="51" t="s">
        <v>285</v>
      </c>
      <c r="AD144" s="50" t="s">
        <v>285</v>
      </c>
      <c r="AE144" s="51" t="s">
        <v>285</v>
      </c>
      <c r="AF144" s="50" t="s">
        <v>285</v>
      </c>
      <c r="AG144" s="51" t="s">
        <v>285</v>
      </c>
    </row>
    <row r="145" spans="1:33" ht="6.75" customHeight="1" x14ac:dyDescent="0.25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976</v>
      </c>
      <c r="Y145" s="51" t="s">
        <v>959</v>
      </c>
      <c r="Z145" s="50" t="s">
        <v>285</v>
      </c>
      <c r="AA145" s="51" t="s">
        <v>285</v>
      </c>
      <c r="AB145" s="50" t="s">
        <v>285</v>
      </c>
      <c r="AC145" s="51" t="s">
        <v>285</v>
      </c>
      <c r="AD145" s="50" t="s">
        <v>285</v>
      </c>
      <c r="AE145" s="51" t="s">
        <v>285</v>
      </c>
      <c r="AF145" s="50" t="s">
        <v>285</v>
      </c>
      <c r="AG145" s="51" t="s">
        <v>285</v>
      </c>
    </row>
    <row r="146" spans="1:33" ht="6.75" customHeight="1" x14ac:dyDescent="0.25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976</v>
      </c>
      <c r="Y146" s="51" t="s">
        <v>959</v>
      </c>
      <c r="Z146" s="50" t="s">
        <v>285</v>
      </c>
      <c r="AA146" s="51" t="s">
        <v>285</v>
      </c>
      <c r="AB146" s="50" t="s">
        <v>285</v>
      </c>
      <c r="AC146" s="51" t="s">
        <v>285</v>
      </c>
      <c r="AD146" s="50" t="s">
        <v>285</v>
      </c>
      <c r="AE146" s="51" t="s">
        <v>285</v>
      </c>
      <c r="AF146" s="50" t="s">
        <v>285</v>
      </c>
      <c r="AG146" s="51" t="s">
        <v>285</v>
      </c>
    </row>
    <row r="147" spans="1:33" ht="6.75" customHeight="1" x14ac:dyDescent="0.25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976</v>
      </c>
      <c r="Y147" s="51" t="s">
        <v>959</v>
      </c>
      <c r="Z147" s="50" t="s">
        <v>285</v>
      </c>
      <c r="AA147" s="51" t="s">
        <v>285</v>
      </c>
      <c r="AB147" s="50" t="s">
        <v>285</v>
      </c>
      <c r="AC147" s="51" t="s">
        <v>285</v>
      </c>
      <c r="AD147" s="50" t="s">
        <v>285</v>
      </c>
      <c r="AE147" s="51" t="s">
        <v>285</v>
      </c>
      <c r="AF147" s="50" t="s">
        <v>285</v>
      </c>
      <c r="AG147" s="51" t="s">
        <v>285</v>
      </c>
    </row>
    <row r="148" spans="1:33" ht="6.75" customHeight="1" x14ac:dyDescent="0.25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976</v>
      </c>
      <c r="Y148" s="51" t="s">
        <v>959</v>
      </c>
      <c r="Z148" s="50" t="s">
        <v>285</v>
      </c>
      <c r="AA148" s="51" t="s">
        <v>285</v>
      </c>
      <c r="AB148" s="50" t="s">
        <v>285</v>
      </c>
      <c r="AC148" s="51" t="s">
        <v>285</v>
      </c>
      <c r="AD148" s="50" t="s">
        <v>285</v>
      </c>
      <c r="AE148" s="51" t="s">
        <v>285</v>
      </c>
      <c r="AF148" s="50" t="s">
        <v>285</v>
      </c>
      <c r="AG148" s="51" t="s">
        <v>285</v>
      </c>
    </row>
    <row r="149" spans="1:33" ht="6.75" customHeight="1" x14ac:dyDescent="0.25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976</v>
      </c>
      <c r="Y149" s="51" t="s">
        <v>959</v>
      </c>
      <c r="Z149" s="50" t="s">
        <v>285</v>
      </c>
      <c r="AA149" s="51" t="s">
        <v>285</v>
      </c>
      <c r="AB149" s="50" t="s">
        <v>285</v>
      </c>
      <c r="AC149" s="51" t="s">
        <v>285</v>
      </c>
      <c r="AD149" s="50" t="s">
        <v>285</v>
      </c>
      <c r="AE149" s="51" t="s">
        <v>285</v>
      </c>
      <c r="AF149" s="50" t="s">
        <v>285</v>
      </c>
      <c r="AG149" s="51" t="s">
        <v>285</v>
      </c>
    </row>
    <row r="150" spans="1:33" ht="6.75" customHeight="1" x14ac:dyDescent="0.25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976</v>
      </c>
      <c r="Y150" s="51" t="s">
        <v>959</v>
      </c>
      <c r="Z150" s="50" t="s">
        <v>285</v>
      </c>
      <c r="AA150" s="51" t="s">
        <v>285</v>
      </c>
      <c r="AB150" s="50" t="s">
        <v>285</v>
      </c>
      <c r="AC150" s="51" t="s">
        <v>285</v>
      </c>
      <c r="AD150" s="50" t="s">
        <v>285</v>
      </c>
      <c r="AE150" s="51" t="s">
        <v>285</v>
      </c>
      <c r="AF150" s="50" t="s">
        <v>285</v>
      </c>
      <c r="AG150" s="51" t="s">
        <v>285</v>
      </c>
    </row>
    <row r="151" spans="1:33" ht="6.75" customHeight="1" x14ac:dyDescent="0.25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976</v>
      </c>
      <c r="Y151" s="51" t="s">
        <v>959</v>
      </c>
      <c r="Z151" s="50" t="s">
        <v>285</v>
      </c>
      <c r="AA151" s="51" t="s">
        <v>285</v>
      </c>
      <c r="AB151" s="50" t="s">
        <v>285</v>
      </c>
      <c r="AC151" s="51" t="s">
        <v>285</v>
      </c>
      <c r="AD151" s="50" t="s">
        <v>285</v>
      </c>
      <c r="AE151" s="51" t="s">
        <v>285</v>
      </c>
      <c r="AF151" s="50" t="s">
        <v>285</v>
      </c>
      <c r="AG151" s="51" t="s">
        <v>285</v>
      </c>
    </row>
    <row r="152" spans="1:33" ht="6.75" customHeight="1" x14ac:dyDescent="0.25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976</v>
      </c>
      <c r="Y152" s="51" t="s">
        <v>959</v>
      </c>
      <c r="Z152" s="50" t="s">
        <v>285</v>
      </c>
      <c r="AA152" s="51" t="s">
        <v>285</v>
      </c>
      <c r="AB152" s="50" t="s">
        <v>285</v>
      </c>
      <c r="AC152" s="51" t="s">
        <v>285</v>
      </c>
      <c r="AD152" s="50" t="s">
        <v>285</v>
      </c>
      <c r="AE152" s="51" t="s">
        <v>285</v>
      </c>
      <c r="AF152" s="50" t="s">
        <v>285</v>
      </c>
      <c r="AG152" s="51" t="s">
        <v>285</v>
      </c>
    </row>
    <row r="153" spans="1:33" ht="6.75" customHeight="1" x14ac:dyDescent="0.25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976</v>
      </c>
      <c r="Y153" s="51" t="s">
        <v>959</v>
      </c>
      <c r="Z153" s="50" t="s">
        <v>285</v>
      </c>
      <c r="AA153" s="51" t="s">
        <v>285</v>
      </c>
      <c r="AB153" s="50" t="s">
        <v>285</v>
      </c>
      <c r="AC153" s="51" t="s">
        <v>285</v>
      </c>
      <c r="AD153" s="50" t="s">
        <v>285</v>
      </c>
      <c r="AE153" s="51" t="s">
        <v>285</v>
      </c>
      <c r="AF153" s="50" t="s">
        <v>285</v>
      </c>
      <c r="AG153" s="51" t="s">
        <v>285</v>
      </c>
    </row>
    <row r="154" spans="1:33" ht="6.75" customHeight="1" x14ac:dyDescent="0.25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976</v>
      </c>
      <c r="Y154" s="51" t="s">
        <v>959</v>
      </c>
      <c r="Z154" s="50" t="s">
        <v>285</v>
      </c>
      <c r="AA154" s="51" t="s">
        <v>285</v>
      </c>
      <c r="AB154" s="50" t="s">
        <v>285</v>
      </c>
      <c r="AC154" s="51" t="s">
        <v>285</v>
      </c>
      <c r="AD154" s="50" t="s">
        <v>285</v>
      </c>
      <c r="AE154" s="51" t="s">
        <v>285</v>
      </c>
      <c r="AF154" s="50" t="s">
        <v>285</v>
      </c>
      <c r="AG154" s="51" t="s">
        <v>285</v>
      </c>
    </row>
    <row r="155" spans="1:33" ht="6.75" customHeight="1" x14ac:dyDescent="0.25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976</v>
      </c>
      <c r="Y155" s="51" t="s">
        <v>959</v>
      </c>
      <c r="Z155" s="50" t="s">
        <v>285</v>
      </c>
      <c r="AA155" s="51" t="s">
        <v>285</v>
      </c>
      <c r="AB155" s="50" t="s">
        <v>285</v>
      </c>
      <c r="AC155" s="51" t="s">
        <v>285</v>
      </c>
      <c r="AD155" s="50" t="s">
        <v>285</v>
      </c>
      <c r="AE155" s="51" t="s">
        <v>285</v>
      </c>
      <c r="AF155" s="50" t="s">
        <v>285</v>
      </c>
      <c r="AG155" s="51" t="s">
        <v>285</v>
      </c>
    </row>
    <row r="156" spans="1:33" ht="6.75" customHeight="1" x14ac:dyDescent="0.25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976</v>
      </c>
      <c r="Y156" s="51" t="s">
        <v>959</v>
      </c>
      <c r="Z156" s="50" t="s">
        <v>285</v>
      </c>
      <c r="AA156" s="51" t="s">
        <v>285</v>
      </c>
      <c r="AB156" s="50" t="s">
        <v>285</v>
      </c>
      <c r="AC156" s="51" t="s">
        <v>285</v>
      </c>
      <c r="AD156" s="50" t="s">
        <v>285</v>
      </c>
      <c r="AE156" s="51" t="s">
        <v>285</v>
      </c>
      <c r="AF156" s="50" t="s">
        <v>285</v>
      </c>
      <c r="AG156" s="51" t="s">
        <v>285</v>
      </c>
    </row>
    <row r="157" spans="1:33" ht="6.75" customHeight="1" x14ac:dyDescent="0.25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976</v>
      </c>
      <c r="Y157" s="51" t="s">
        <v>959</v>
      </c>
      <c r="Z157" s="50" t="s">
        <v>285</v>
      </c>
      <c r="AA157" s="51" t="s">
        <v>285</v>
      </c>
      <c r="AB157" s="50" t="s">
        <v>285</v>
      </c>
      <c r="AC157" s="51" t="s">
        <v>285</v>
      </c>
      <c r="AD157" s="50" t="s">
        <v>285</v>
      </c>
      <c r="AE157" s="51" t="s">
        <v>285</v>
      </c>
      <c r="AF157" s="50" t="s">
        <v>285</v>
      </c>
      <c r="AG157" s="51" t="s">
        <v>285</v>
      </c>
    </row>
    <row r="158" spans="1:33" ht="6.75" customHeight="1" x14ac:dyDescent="0.25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976</v>
      </c>
      <c r="Y158" s="51" t="s">
        <v>959</v>
      </c>
      <c r="Z158" s="50" t="s">
        <v>285</v>
      </c>
      <c r="AA158" s="51" t="s">
        <v>285</v>
      </c>
      <c r="AB158" s="50" t="s">
        <v>285</v>
      </c>
      <c r="AC158" s="51" t="s">
        <v>285</v>
      </c>
      <c r="AD158" s="50" t="s">
        <v>285</v>
      </c>
      <c r="AE158" s="51" t="s">
        <v>285</v>
      </c>
      <c r="AF158" s="50" t="s">
        <v>285</v>
      </c>
      <c r="AG158" s="51" t="s">
        <v>285</v>
      </c>
    </row>
    <row r="159" spans="1:33" ht="6.75" customHeight="1" x14ac:dyDescent="0.25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976</v>
      </c>
      <c r="Y159" s="51" t="s">
        <v>959</v>
      </c>
      <c r="Z159" s="50" t="s">
        <v>285</v>
      </c>
      <c r="AA159" s="51" t="s">
        <v>285</v>
      </c>
      <c r="AB159" s="50" t="s">
        <v>285</v>
      </c>
      <c r="AC159" s="51" t="s">
        <v>285</v>
      </c>
      <c r="AD159" s="50" t="s">
        <v>285</v>
      </c>
      <c r="AE159" s="51" t="s">
        <v>285</v>
      </c>
      <c r="AF159" s="50" t="s">
        <v>285</v>
      </c>
      <c r="AG159" s="51" t="s">
        <v>285</v>
      </c>
    </row>
    <row r="160" spans="1:33" ht="6.75" customHeight="1" x14ac:dyDescent="0.25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976</v>
      </c>
      <c r="Y160" s="51" t="s">
        <v>959</v>
      </c>
      <c r="Z160" s="50" t="s">
        <v>285</v>
      </c>
      <c r="AA160" s="51" t="s">
        <v>285</v>
      </c>
      <c r="AB160" s="50" t="s">
        <v>285</v>
      </c>
      <c r="AC160" s="51" t="s">
        <v>285</v>
      </c>
      <c r="AD160" s="50" t="s">
        <v>285</v>
      </c>
      <c r="AE160" s="51" t="s">
        <v>285</v>
      </c>
      <c r="AF160" s="50" t="s">
        <v>285</v>
      </c>
      <c r="AG160" s="51" t="s">
        <v>285</v>
      </c>
    </row>
    <row r="161" spans="1:33" ht="6.75" customHeight="1" x14ac:dyDescent="0.25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976</v>
      </c>
      <c r="Y161" s="51" t="s">
        <v>959</v>
      </c>
      <c r="Z161" s="50" t="s">
        <v>285</v>
      </c>
      <c r="AA161" s="51" t="s">
        <v>285</v>
      </c>
      <c r="AB161" s="50" t="s">
        <v>285</v>
      </c>
      <c r="AC161" s="51" t="s">
        <v>285</v>
      </c>
      <c r="AD161" s="50" t="s">
        <v>285</v>
      </c>
      <c r="AE161" s="51" t="s">
        <v>285</v>
      </c>
      <c r="AF161" s="50" t="s">
        <v>285</v>
      </c>
      <c r="AG161" s="51" t="s">
        <v>285</v>
      </c>
    </row>
    <row r="162" spans="1:33" ht="6.75" customHeight="1" x14ac:dyDescent="0.25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976</v>
      </c>
      <c r="Y162" s="51" t="s">
        <v>959</v>
      </c>
      <c r="Z162" s="50" t="s">
        <v>285</v>
      </c>
      <c r="AA162" s="51" t="s">
        <v>285</v>
      </c>
      <c r="AB162" s="50" t="s">
        <v>285</v>
      </c>
      <c r="AC162" s="51" t="s">
        <v>285</v>
      </c>
      <c r="AD162" s="50" t="s">
        <v>285</v>
      </c>
      <c r="AE162" s="51" t="s">
        <v>285</v>
      </c>
      <c r="AF162" s="50" t="s">
        <v>285</v>
      </c>
      <c r="AG162" s="51" t="s">
        <v>285</v>
      </c>
    </row>
    <row r="163" spans="1:33" ht="6.75" customHeight="1" x14ac:dyDescent="0.25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976</v>
      </c>
      <c r="Y163" s="51" t="s">
        <v>959</v>
      </c>
      <c r="Z163" s="50" t="s">
        <v>285</v>
      </c>
      <c r="AA163" s="51" t="s">
        <v>285</v>
      </c>
      <c r="AB163" s="50" t="s">
        <v>285</v>
      </c>
      <c r="AC163" s="51" t="s">
        <v>285</v>
      </c>
      <c r="AD163" s="50" t="s">
        <v>285</v>
      </c>
      <c r="AE163" s="51" t="s">
        <v>285</v>
      </c>
      <c r="AF163" s="50" t="s">
        <v>285</v>
      </c>
      <c r="AG163" s="51" t="s">
        <v>285</v>
      </c>
    </row>
    <row r="164" spans="1:33" ht="6.75" customHeight="1" x14ac:dyDescent="0.25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976</v>
      </c>
      <c r="Y164" s="51" t="s">
        <v>959</v>
      </c>
      <c r="Z164" s="50" t="s">
        <v>285</v>
      </c>
      <c r="AA164" s="51" t="s">
        <v>285</v>
      </c>
      <c r="AB164" s="50" t="s">
        <v>285</v>
      </c>
      <c r="AC164" s="51" t="s">
        <v>285</v>
      </c>
      <c r="AD164" s="50" t="s">
        <v>285</v>
      </c>
      <c r="AE164" s="51" t="s">
        <v>285</v>
      </c>
      <c r="AF164" s="50" t="s">
        <v>285</v>
      </c>
      <c r="AG164" s="51" t="s">
        <v>285</v>
      </c>
    </row>
    <row r="165" spans="1:33" ht="6.75" customHeight="1" x14ac:dyDescent="0.25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976</v>
      </c>
      <c r="Y165" s="51" t="s">
        <v>959</v>
      </c>
      <c r="Z165" s="50" t="s">
        <v>285</v>
      </c>
      <c r="AA165" s="51" t="s">
        <v>285</v>
      </c>
      <c r="AB165" s="50" t="s">
        <v>285</v>
      </c>
      <c r="AC165" s="51" t="s">
        <v>285</v>
      </c>
      <c r="AD165" s="50" t="s">
        <v>285</v>
      </c>
      <c r="AE165" s="51" t="s">
        <v>285</v>
      </c>
      <c r="AF165" s="50" t="s">
        <v>285</v>
      </c>
      <c r="AG165" s="51" t="s">
        <v>285</v>
      </c>
    </row>
    <row r="166" spans="1:33" ht="6.75" customHeight="1" x14ac:dyDescent="0.25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976</v>
      </c>
      <c r="Y166" s="51" t="s">
        <v>959</v>
      </c>
      <c r="Z166" s="50" t="s">
        <v>285</v>
      </c>
      <c r="AA166" s="51" t="s">
        <v>285</v>
      </c>
      <c r="AB166" s="50" t="s">
        <v>285</v>
      </c>
      <c r="AC166" s="51" t="s">
        <v>285</v>
      </c>
      <c r="AD166" s="50" t="s">
        <v>285</v>
      </c>
      <c r="AE166" s="51" t="s">
        <v>285</v>
      </c>
      <c r="AF166" s="50" t="s">
        <v>285</v>
      </c>
      <c r="AG166" s="51" t="s">
        <v>285</v>
      </c>
    </row>
    <row r="167" spans="1:33" ht="6.75" customHeight="1" x14ac:dyDescent="0.25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976</v>
      </c>
      <c r="Y167" s="51" t="s">
        <v>959</v>
      </c>
      <c r="Z167" s="50" t="s">
        <v>285</v>
      </c>
      <c r="AA167" s="51" t="s">
        <v>285</v>
      </c>
      <c r="AB167" s="50" t="s">
        <v>285</v>
      </c>
      <c r="AC167" s="51" t="s">
        <v>285</v>
      </c>
      <c r="AD167" s="50" t="s">
        <v>285</v>
      </c>
      <c r="AE167" s="51" t="s">
        <v>285</v>
      </c>
      <c r="AF167" s="50" t="s">
        <v>285</v>
      </c>
      <c r="AG167" s="51" t="s">
        <v>285</v>
      </c>
    </row>
    <row r="168" spans="1:33" ht="6.75" customHeight="1" x14ac:dyDescent="0.25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976</v>
      </c>
      <c r="Y168" s="51" t="s">
        <v>959</v>
      </c>
      <c r="Z168" s="50" t="s">
        <v>285</v>
      </c>
      <c r="AA168" s="51" t="s">
        <v>285</v>
      </c>
      <c r="AB168" s="50" t="s">
        <v>285</v>
      </c>
      <c r="AC168" s="51" t="s">
        <v>285</v>
      </c>
      <c r="AD168" s="50" t="s">
        <v>285</v>
      </c>
      <c r="AE168" s="51" t="s">
        <v>285</v>
      </c>
      <c r="AF168" s="50" t="s">
        <v>285</v>
      </c>
      <c r="AG168" s="51" t="s">
        <v>285</v>
      </c>
    </row>
    <row r="169" spans="1:33" ht="6.75" customHeight="1" x14ac:dyDescent="0.25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976</v>
      </c>
      <c r="Y169" s="51" t="s">
        <v>959</v>
      </c>
      <c r="Z169" s="50" t="s">
        <v>285</v>
      </c>
      <c r="AA169" s="51" t="s">
        <v>285</v>
      </c>
      <c r="AB169" s="50" t="s">
        <v>285</v>
      </c>
      <c r="AC169" s="51" t="s">
        <v>285</v>
      </c>
      <c r="AD169" s="50" t="s">
        <v>285</v>
      </c>
      <c r="AE169" s="51" t="s">
        <v>285</v>
      </c>
      <c r="AF169" s="50" t="s">
        <v>285</v>
      </c>
      <c r="AG169" s="51" t="s">
        <v>285</v>
      </c>
    </row>
    <row r="170" spans="1:33" ht="6.75" customHeight="1" x14ac:dyDescent="0.25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976</v>
      </c>
      <c r="Y170" s="51" t="s">
        <v>959</v>
      </c>
      <c r="Z170" s="50" t="s">
        <v>285</v>
      </c>
      <c r="AA170" s="51" t="s">
        <v>285</v>
      </c>
      <c r="AB170" s="50" t="s">
        <v>285</v>
      </c>
      <c r="AC170" s="51" t="s">
        <v>285</v>
      </c>
      <c r="AD170" s="50" t="s">
        <v>285</v>
      </c>
      <c r="AE170" s="51" t="s">
        <v>285</v>
      </c>
      <c r="AF170" s="50" t="s">
        <v>285</v>
      </c>
      <c r="AG170" s="51" t="s">
        <v>285</v>
      </c>
    </row>
    <row r="171" spans="1:33" ht="6.75" customHeight="1" x14ac:dyDescent="0.25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976</v>
      </c>
      <c r="Y171" s="51" t="s">
        <v>959</v>
      </c>
      <c r="Z171" s="50" t="s">
        <v>285</v>
      </c>
      <c r="AA171" s="51" t="s">
        <v>285</v>
      </c>
      <c r="AB171" s="50" t="s">
        <v>285</v>
      </c>
      <c r="AC171" s="51" t="s">
        <v>285</v>
      </c>
      <c r="AD171" s="50" t="s">
        <v>285</v>
      </c>
      <c r="AE171" s="51" t="s">
        <v>285</v>
      </c>
      <c r="AF171" s="50" t="s">
        <v>285</v>
      </c>
      <c r="AG171" s="51" t="s">
        <v>285</v>
      </c>
    </row>
    <row r="172" spans="1:33" ht="6.75" customHeight="1" x14ac:dyDescent="0.25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976</v>
      </c>
      <c r="Y172" s="51" t="s">
        <v>959</v>
      </c>
      <c r="Z172" s="50" t="s">
        <v>285</v>
      </c>
      <c r="AA172" s="51" t="s">
        <v>285</v>
      </c>
      <c r="AB172" s="50" t="s">
        <v>285</v>
      </c>
      <c r="AC172" s="51" t="s">
        <v>285</v>
      </c>
      <c r="AD172" s="50" t="s">
        <v>285</v>
      </c>
      <c r="AE172" s="51" t="s">
        <v>285</v>
      </c>
      <c r="AF172" s="50" t="s">
        <v>285</v>
      </c>
      <c r="AG172" s="51" t="s">
        <v>285</v>
      </c>
    </row>
    <row r="173" spans="1:33" ht="6.75" customHeight="1" x14ac:dyDescent="0.25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976</v>
      </c>
      <c r="Y173" s="51" t="s">
        <v>959</v>
      </c>
      <c r="Z173" s="50" t="s">
        <v>285</v>
      </c>
      <c r="AA173" s="51" t="s">
        <v>285</v>
      </c>
      <c r="AB173" s="50" t="s">
        <v>285</v>
      </c>
      <c r="AC173" s="51" t="s">
        <v>285</v>
      </c>
      <c r="AD173" s="50" t="s">
        <v>285</v>
      </c>
      <c r="AE173" s="51" t="s">
        <v>285</v>
      </c>
      <c r="AF173" s="50" t="s">
        <v>285</v>
      </c>
      <c r="AG173" s="51" t="s">
        <v>285</v>
      </c>
    </row>
    <row r="174" spans="1:33" ht="6.75" customHeight="1" x14ac:dyDescent="0.25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976</v>
      </c>
      <c r="Y174" s="51" t="s">
        <v>959</v>
      </c>
      <c r="Z174" s="50" t="s">
        <v>285</v>
      </c>
      <c r="AA174" s="51" t="s">
        <v>285</v>
      </c>
      <c r="AB174" s="50" t="s">
        <v>285</v>
      </c>
      <c r="AC174" s="51" t="s">
        <v>285</v>
      </c>
      <c r="AD174" s="50" t="s">
        <v>285</v>
      </c>
      <c r="AE174" s="51" t="s">
        <v>285</v>
      </c>
      <c r="AF174" s="50" t="s">
        <v>285</v>
      </c>
      <c r="AG174" s="51" t="s">
        <v>285</v>
      </c>
    </row>
    <row r="175" spans="1:33" ht="6.75" customHeight="1" x14ac:dyDescent="0.25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976</v>
      </c>
      <c r="Y175" s="51" t="s">
        <v>959</v>
      </c>
      <c r="Z175" s="50" t="s">
        <v>285</v>
      </c>
      <c r="AA175" s="51" t="s">
        <v>285</v>
      </c>
      <c r="AB175" s="50" t="s">
        <v>285</v>
      </c>
      <c r="AC175" s="51" t="s">
        <v>285</v>
      </c>
      <c r="AD175" s="50" t="s">
        <v>285</v>
      </c>
      <c r="AE175" s="51" t="s">
        <v>285</v>
      </c>
      <c r="AF175" s="50" t="s">
        <v>285</v>
      </c>
      <c r="AG175" s="51" t="s">
        <v>285</v>
      </c>
    </row>
    <row r="176" spans="1:33" ht="6.75" customHeight="1" x14ac:dyDescent="0.25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976</v>
      </c>
      <c r="Y176" s="51" t="s">
        <v>959</v>
      </c>
      <c r="Z176" s="50" t="s">
        <v>285</v>
      </c>
      <c r="AA176" s="51" t="s">
        <v>285</v>
      </c>
      <c r="AB176" s="50" t="s">
        <v>285</v>
      </c>
      <c r="AC176" s="51" t="s">
        <v>285</v>
      </c>
      <c r="AD176" s="50" t="s">
        <v>285</v>
      </c>
      <c r="AE176" s="51" t="s">
        <v>285</v>
      </c>
      <c r="AF176" s="50" t="s">
        <v>285</v>
      </c>
      <c r="AG176" s="51" t="s">
        <v>285</v>
      </c>
    </row>
    <row r="177" spans="1:33" ht="6.75" customHeight="1" x14ac:dyDescent="0.25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976</v>
      </c>
      <c r="Y177" s="51" t="s">
        <v>959</v>
      </c>
      <c r="Z177" s="50" t="s">
        <v>285</v>
      </c>
      <c r="AA177" s="51" t="s">
        <v>285</v>
      </c>
      <c r="AB177" s="50" t="s">
        <v>285</v>
      </c>
      <c r="AC177" s="51" t="s">
        <v>285</v>
      </c>
      <c r="AD177" s="50" t="s">
        <v>285</v>
      </c>
      <c r="AE177" s="51" t="s">
        <v>285</v>
      </c>
      <c r="AF177" s="50" t="s">
        <v>285</v>
      </c>
      <c r="AG177" s="51" t="s">
        <v>285</v>
      </c>
    </row>
    <row r="178" spans="1:33" ht="6.75" customHeight="1" x14ac:dyDescent="0.25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976</v>
      </c>
      <c r="Y178" s="51" t="s">
        <v>959</v>
      </c>
      <c r="Z178" s="50" t="s">
        <v>285</v>
      </c>
      <c r="AA178" s="51" t="s">
        <v>285</v>
      </c>
      <c r="AB178" s="50" t="s">
        <v>285</v>
      </c>
      <c r="AC178" s="51" t="s">
        <v>285</v>
      </c>
      <c r="AD178" s="50" t="s">
        <v>285</v>
      </c>
      <c r="AE178" s="51" t="s">
        <v>285</v>
      </c>
      <c r="AF178" s="50" t="s">
        <v>285</v>
      </c>
      <c r="AG178" s="51" t="s">
        <v>285</v>
      </c>
    </row>
    <row r="179" spans="1:33" ht="6.75" customHeight="1" x14ac:dyDescent="0.25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976</v>
      </c>
      <c r="Y179" s="51" t="s">
        <v>959</v>
      </c>
      <c r="Z179" s="50" t="s">
        <v>285</v>
      </c>
      <c r="AA179" s="51" t="s">
        <v>285</v>
      </c>
      <c r="AB179" s="50" t="s">
        <v>285</v>
      </c>
      <c r="AC179" s="51" t="s">
        <v>285</v>
      </c>
      <c r="AD179" s="50" t="s">
        <v>285</v>
      </c>
      <c r="AE179" s="51" t="s">
        <v>285</v>
      </c>
      <c r="AF179" s="50" t="s">
        <v>285</v>
      </c>
      <c r="AG179" s="51" t="s">
        <v>285</v>
      </c>
    </row>
    <row r="180" spans="1:33" ht="6.75" customHeight="1" x14ac:dyDescent="0.25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976</v>
      </c>
      <c r="Y180" s="51" t="s">
        <v>959</v>
      </c>
      <c r="Z180" s="50" t="s">
        <v>285</v>
      </c>
      <c r="AA180" s="51" t="s">
        <v>285</v>
      </c>
      <c r="AB180" s="50" t="s">
        <v>285</v>
      </c>
      <c r="AC180" s="51" t="s">
        <v>285</v>
      </c>
      <c r="AD180" s="50" t="s">
        <v>285</v>
      </c>
      <c r="AE180" s="51" t="s">
        <v>285</v>
      </c>
      <c r="AF180" s="50" t="s">
        <v>285</v>
      </c>
      <c r="AG180" s="51" t="s">
        <v>285</v>
      </c>
    </row>
    <row r="181" spans="1:33" ht="6.75" customHeight="1" x14ac:dyDescent="0.25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976</v>
      </c>
      <c r="Y181" s="51" t="s">
        <v>959</v>
      </c>
      <c r="Z181" s="50" t="s">
        <v>285</v>
      </c>
      <c r="AA181" s="51" t="s">
        <v>285</v>
      </c>
      <c r="AB181" s="50" t="s">
        <v>285</v>
      </c>
      <c r="AC181" s="51" t="s">
        <v>285</v>
      </c>
      <c r="AD181" s="50" t="s">
        <v>285</v>
      </c>
      <c r="AE181" s="51" t="s">
        <v>285</v>
      </c>
      <c r="AF181" s="50" t="s">
        <v>285</v>
      </c>
      <c r="AG181" s="51" t="s">
        <v>285</v>
      </c>
    </row>
    <row r="182" spans="1:33" ht="6.75" customHeight="1" x14ac:dyDescent="0.25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976</v>
      </c>
      <c r="Y182" s="51" t="s">
        <v>959</v>
      </c>
      <c r="Z182" s="50" t="s">
        <v>285</v>
      </c>
      <c r="AA182" s="51" t="s">
        <v>285</v>
      </c>
      <c r="AB182" s="50" t="s">
        <v>285</v>
      </c>
      <c r="AC182" s="51" t="s">
        <v>285</v>
      </c>
      <c r="AD182" s="50" t="s">
        <v>285</v>
      </c>
      <c r="AE182" s="51" t="s">
        <v>285</v>
      </c>
      <c r="AF182" s="50" t="s">
        <v>285</v>
      </c>
      <c r="AG182" s="51" t="s">
        <v>285</v>
      </c>
    </row>
    <row r="183" spans="1:33" ht="6.75" customHeight="1" x14ac:dyDescent="0.25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976</v>
      </c>
      <c r="Y183" s="51" t="s">
        <v>959</v>
      </c>
      <c r="Z183" s="50" t="s">
        <v>285</v>
      </c>
      <c r="AA183" s="51" t="s">
        <v>285</v>
      </c>
      <c r="AB183" s="50" t="s">
        <v>285</v>
      </c>
      <c r="AC183" s="51" t="s">
        <v>285</v>
      </c>
      <c r="AD183" s="50" t="s">
        <v>285</v>
      </c>
      <c r="AE183" s="51" t="s">
        <v>285</v>
      </c>
      <c r="AF183" s="50" t="s">
        <v>285</v>
      </c>
      <c r="AG183" s="51" t="s">
        <v>285</v>
      </c>
    </row>
    <row r="184" spans="1:33" ht="6.75" customHeight="1" x14ac:dyDescent="0.25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976</v>
      </c>
      <c r="Y184" s="51" t="s">
        <v>959</v>
      </c>
      <c r="Z184" s="50" t="s">
        <v>285</v>
      </c>
      <c r="AA184" s="51" t="s">
        <v>285</v>
      </c>
      <c r="AB184" s="50" t="s">
        <v>285</v>
      </c>
      <c r="AC184" s="51" t="s">
        <v>285</v>
      </c>
      <c r="AD184" s="50" t="s">
        <v>285</v>
      </c>
      <c r="AE184" s="51" t="s">
        <v>285</v>
      </c>
      <c r="AF184" s="50" t="s">
        <v>285</v>
      </c>
      <c r="AG184" s="51" t="s">
        <v>285</v>
      </c>
    </row>
    <row r="185" spans="1:33" ht="6.75" customHeight="1" x14ac:dyDescent="0.25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976</v>
      </c>
      <c r="Y185" s="51" t="s">
        <v>959</v>
      </c>
      <c r="Z185" s="50" t="s">
        <v>285</v>
      </c>
      <c r="AA185" s="51" t="s">
        <v>285</v>
      </c>
      <c r="AB185" s="50" t="s">
        <v>285</v>
      </c>
      <c r="AC185" s="51" t="s">
        <v>285</v>
      </c>
      <c r="AD185" s="50" t="s">
        <v>285</v>
      </c>
      <c r="AE185" s="51" t="s">
        <v>285</v>
      </c>
      <c r="AF185" s="50" t="s">
        <v>285</v>
      </c>
      <c r="AG185" s="51" t="s">
        <v>285</v>
      </c>
    </row>
    <row r="186" spans="1:33" ht="6.75" customHeight="1" x14ac:dyDescent="0.25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976</v>
      </c>
      <c r="Y186" s="51" t="s">
        <v>959</v>
      </c>
      <c r="Z186" s="50" t="s">
        <v>285</v>
      </c>
      <c r="AA186" s="51" t="s">
        <v>285</v>
      </c>
      <c r="AB186" s="50" t="s">
        <v>285</v>
      </c>
      <c r="AC186" s="51" t="s">
        <v>285</v>
      </c>
      <c r="AD186" s="50" t="s">
        <v>285</v>
      </c>
      <c r="AE186" s="51" t="s">
        <v>285</v>
      </c>
      <c r="AF186" s="50" t="s">
        <v>285</v>
      </c>
      <c r="AG186" s="51" t="s">
        <v>285</v>
      </c>
    </row>
    <row r="187" spans="1:33" ht="6.75" customHeight="1" x14ac:dyDescent="0.25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976</v>
      </c>
      <c r="Y187" s="51" t="s">
        <v>959</v>
      </c>
      <c r="Z187" s="50" t="s">
        <v>285</v>
      </c>
      <c r="AA187" s="51" t="s">
        <v>285</v>
      </c>
      <c r="AB187" s="50" t="s">
        <v>285</v>
      </c>
      <c r="AC187" s="51" t="s">
        <v>285</v>
      </c>
      <c r="AD187" s="50" t="s">
        <v>285</v>
      </c>
      <c r="AE187" s="51" t="s">
        <v>285</v>
      </c>
      <c r="AF187" s="50" t="s">
        <v>285</v>
      </c>
      <c r="AG187" s="51" t="s">
        <v>285</v>
      </c>
    </row>
    <row r="188" spans="1:33" ht="6.75" customHeight="1" x14ac:dyDescent="0.25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976</v>
      </c>
      <c r="Y188" s="51" t="s">
        <v>959</v>
      </c>
      <c r="Z188" s="50" t="s">
        <v>285</v>
      </c>
      <c r="AA188" s="51" t="s">
        <v>285</v>
      </c>
      <c r="AB188" s="50" t="s">
        <v>285</v>
      </c>
      <c r="AC188" s="51" t="s">
        <v>285</v>
      </c>
      <c r="AD188" s="50" t="s">
        <v>285</v>
      </c>
      <c r="AE188" s="51" t="s">
        <v>285</v>
      </c>
      <c r="AF188" s="50" t="s">
        <v>285</v>
      </c>
      <c r="AG188" s="51" t="s">
        <v>285</v>
      </c>
    </row>
    <row r="189" spans="1:33" ht="6.75" customHeight="1" x14ac:dyDescent="0.25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976</v>
      </c>
      <c r="Y189" s="51" t="s">
        <v>959</v>
      </c>
      <c r="Z189" s="50" t="s">
        <v>285</v>
      </c>
      <c r="AA189" s="51" t="s">
        <v>285</v>
      </c>
      <c r="AB189" s="50" t="s">
        <v>285</v>
      </c>
      <c r="AC189" s="51" t="s">
        <v>285</v>
      </c>
      <c r="AD189" s="50" t="s">
        <v>285</v>
      </c>
      <c r="AE189" s="51" t="s">
        <v>285</v>
      </c>
      <c r="AF189" s="50" t="s">
        <v>285</v>
      </c>
      <c r="AG189" s="51" t="s">
        <v>285</v>
      </c>
    </row>
    <row r="190" spans="1:33" ht="6.75" customHeight="1" x14ac:dyDescent="0.25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976</v>
      </c>
      <c r="Y190" s="51" t="s">
        <v>959</v>
      </c>
      <c r="Z190" s="50" t="s">
        <v>285</v>
      </c>
      <c r="AA190" s="51" t="s">
        <v>285</v>
      </c>
      <c r="AB190" s="50" t="s">
        <v>285</v>
      </c>
      <c r="AC190" s="51" t="s">
        <v>285</v>
      </c>
      <c r="AD190" s="50" t="s">
        <v>285</v>
      </c>
      <c r="AE190" s="51" t="s">
        <v>285</v>
      </c>
      <c r="AF190" s="50" t="s">
        <v>285</v>
      </c>
      <c r="AG190" s="51" t="s">
        <v>285</v>
      </c>
    </row>
    <row r="191" spans="1:33" ht="6.75" customHeight="1" x14ac:dyDescent="0.25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976</v>
      </c>
      <c r="Y191" s="51" t="s">
        <v>959</v>
      </c>
      <c r="Z191" s="50" t="s">
        <v>285</v>
      </c>
      <c r="AA191" s="51" t="s">
        <v>285</v>
      </c>
      <c r="AB191" s="50" t="s">
        <v>285</v>
      </c>
      <c r="AC191" s="51" t="s">
        <v>285</v>
      </c>
      <c r="AD191" s="50" t="s">
        <v>285</v>
      </c>
      <c r="AE191" s="51" t="s">
        <v>285</v>
      </c>
      <c r="AF191" s="50" t="s">
        <v>285</v>
      </c>
      <c r="AG191" s="51" t="s">
        <v>285</v>
      </c>
    </row>
    <row r="192" spans="1:33" ht="6.75" customHeight="1" x14ac:dyDescent="0.25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976</v>
      </c>
      <c r="Y192" s="51" t="s">
        <v>959</v>
      </c>
      <c r="Z192" s="50" t="s">
        <v>285</v>
      </c>
      <c r="AA192" s="51" t="s">
        <v>285</v>
      </c>
      <c r="AB192" s="50" t="s">
        <v>285</v>
      </c>
      <c r="AC192" s="51" t="s">
        <v>285</v>
      </c>
      <c r="AD192" s="50" t="s">
        <v>285</v>
      </c>
      <c r="AE192" s="51" t="s">
        <v>285</v>
      </c>
      <c r="AF192" s="50" t="s">
        <v>285</v>
      </c>
      <c r="AG192" s="51" t="s">
        <v>285</v>
      </c>
    </row>
    <row r="193" spans="1:33" ht="6.75" customHeight="1" x14ac:dyDescent="0.25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976</v>
      </c>
      <c r="Y193" s="51" t="s">
        <v>959</v>
      </c>
      <c r="Z193" s="50" t="s">
        <v>285</v>
      </c>
      <c r="AA193" s="51" t="s">
        <v>285</v>
      </c>
      <c r="AB193" s="50" t="s">
        <v>285</v>
      </c>
      <c r="AC193" s="51" t="s">
        <v>285</v>
      </c>
      <c r="AD193" s="50" t="s">
        <v>285</v>
      </c>
      <c r="AE193" s="51" t="s">
        <v>285</v>
      </c>
      <c r="AF193" s="50" t="s">
        <v>285</v>
      </c>
      <c r="AG193" s="51" t="s">
        <v>285</v>
      </c>
    </row>
    <row r="194" spans="1:33" ht="6.75" customHeight="1" x14ac:dyDescent="0.25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976</v>
      </c>
      <c r="Y194" s="51" t="s">
        <v>959</v>
      </c>
      <c r="Z194" s="50" t="s">
        <v>285</v>
      </c>
      <c r="AA194" s="51" t="s">
        <v>285</v>
      </c>
      <c r="AB194" s="50" t="s">
        <v>285</v>
      </c>
      <c r="AC194" s="51" t="s">
        <v>285</v>
      </c>
      <c r="AD194" s="50" t="s">
        <v>285</v>
      </c>
      <c r="AE194" s="51" t="s">
        <v>285</v>
      </c>
      <c r="AF194" s="50" t="s">
        <v>285</v>
      </c>
      <c r="AG194" s="51" t="s">
        <v>285</v>
      </c>
    </row>
    <row r="195" spans="1:33" ht="6.75" customHeight="1" x14ac:dyDescent="0.25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976</v>
      </c>
      <c r="Y195" s="51" t="s">
        <v>959</v>
      </c>
      <c r="Z195" s="50" t="s">
        <v>285</v>
      </c>
      <c r="AA195" s="51" t="s">
        <v>285</v>
      </c>
      <c r="AB195" s="50" t="s">
        <v>285</v>
      </c>
      <c r="AC195" s="51" t="s">
        <v>285</v>
      </c>
      <c r="AD195" s="50" t="s">
        <v>285</v>
      </c>
      <c r="AE195" s="51" t="s">
        <v>285</v>
      </c>
      <c r="AF195" s="50" t="s">
        <v>285</v>
      </c>
      <c r="AG195" s="51" t="s">
        <v>285</v>
      </c>
    </row>
    <row r="196" spans="1:33" ht="6.75" customHeight="1" x14ac:dyDescent="0.25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976</v>
      </c>
      <c r="Y196" s="51" t="s">
        <v>959</v>
      </c>
      <c r="Z196" s="50" t="s">
        <v>285</v>
      </c>
      <c r="AA196" s="51" t="s">
        <v>285</v>
      </c>
      <c r="AB196" s="50" t="s">
        <v>285</v>
      </c>
      <c r="AC196" s="51" t="s">
        <v>285</v>
      </c>
      <c r="AD196" s="50" t="s">
        <v>285</v>
      </c>
      <c r="AE196" s="51" t="s">
        <v>285</v>
      </c>
      <c r="AF196" s="50" t="s">
        <v>285</v>
      </c>
      <c r="AG196" s="51" t="s">
        <v>285</v>
      </c>
    </row>
    <row r="197" spans="1:33" ht="6.75" customHeight="1" x14ac:dyDescent="0.25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976</v>
      </c>
      <c r="Y197" s="51" t="s">
        <v>959</v>
      </c>
      <c r="Z197" s="50" t="s">
        <v>285</v>
      </c>
      <c r="AA197" s="51" t="s">
        <v>285</v>
      </c>
      <c r="AB197" s="50" t="s">
        <v>285</v>
      </c>
      <c r="AC197" s="51" t="s">
        <v>285</v>
      </c>
      <c r="AD197" s="50" t="s">
        <v>285</v>
      </c>
      <c r="AE197" s="51" t="s">
        <v>285</v>
      </c>
      <c r="AF197" s="50" t="s">
        <v>285</v>
      </c>
      <c r="AG197" s="51" t="s">
        <v>285</v>
      </c>
    </row>
    <row r="198" spans="1:33" ht="6.75" customHeight="1" x14ac:dyDescent="0.25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976</v>
      </c>
      <c r="Y198" s="51" t="s">
        <v>959</v>
      </c>
      <c r="Z198" s="50" t="s">
        <v>285</v>
      </c>
      <c r="AA198" s="51" t="s">
        <v>285</v>
      </c>
      <c r="AB198" s="50" t="s">
        <v>285</v>
      </c>
      <c r="AC198" s="51" t="s">
        <v>285</v>
      </c>
      <c r="AD198" s="50" t="s">
        <v>285</v>
      </c>
      <c r="AE198" s="51" t="s">
        <v>285</v>
      </c>
      <c r="AF198" s="50" t="s">
        <v>285</v>
      </c>
      <c r="AG198" s="51" t="s">
        <v>285</v>
      </c>
    </row>
    <row r="199" spans="1:33" ht="6.75" customHeight="1" x14ac:dyDescent="0.25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976</v>
      </c>
      <c r="Y199" s="51" t="s">
        <v>959</v>
      </c>
      <c r="Z199" s="50" t="s">
        <v>285</v>
      </c>
      <c r="AA199" s="51" t="s">
        <v>285</v>
      </c>
      <c r="AB199" s="50" t="s">
        <v>285</v>
      </c>
      <c r="AC199" s="51" t="s">
        <v>285</v>
      </c>
      <c r="AD199" s="50" t="s">
        <v>285</v>
      </c>
      <c r="AE199" s="51" t="s">
        <v>285</v>
      </c>
      <c r="AF199" s="50" t="s">
        <v>285</v>
      </c>
      <c r="AG199" s="51" t="s">
        <v>285</v>
      </c>
    </row>
    <row r="200" spans="1:33" ht="6.75" customHeight="1" x14ac:dyDescent="0.25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976</v>
      </c>
      <c r="Y200" s="51" t="s">
        <v>959</v>
      </c>
      <c r="Z200" s="50" t="s">
        <v>285</v>
      </c>
      <c r="AA200" s="51" t="s">
        <v>285</v>
      </c>
      <c r="AB200" s="50" t="s">
        <v>285</v>
      </c>
      <c r="AC200" s="51" t="s">
        <v>285</v>
      </c>
      <c r="AD200" s="50" t="s">
        <v>285</v>
      </c>
      <c r="AE200" s="51" t="s">
        <v>285</v>
      </c>
      <c r="AF200" s="50" t="s">
        <v>285</v>
      </c>
      <c r="AG200" s="51" t="s">
        <v>285</v>
      </c>
    </row>
    <row r="201" spans="1:33" ht="6.75" customHeight="1" x14ac:dyDescent="0.25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976</v>
      </c>
      <c r="Y201" s="51" t="s">
        <v>959</v>
      </c>
      <c r="Z201" s="50" t="s">
        <v>285</v>
      </c>
      <c r="AA201" s="51" t="s">
        <v>285</v>
      </c>
      <c r="AB201" s="50" t="s">
        <v>285</v>
      </c>
      <c r="AC201" s="51" t="s">
        <v>285</v>
      </c>
      <c r="AD201" s="50" t="s">
        <v>285</v>
      </c>
      <c r="AE201" s="51" t="s">
        <v>285</v>
      </c>
      <c r="AF201" s="50" t="s">
        <v>285</v>
      </c>
      <c r="AG201" s="51" t="s">
        <v>285</v>
      </c>
    </row>
    <row r="202" spans="1:33" ht="6.75" customHeight="1" x14ac:dyDescent="0.25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976</v>
      </c>
      <c r="Y202" s="51" t="s">
        <v>959</v>
      </c>
      <c r="Z202" s="50" t="s">
        <v>285</v>
      </c>
      <c r="AA202" s="51" t="s">
        <v>285</v>
      </c>
      <c r="AB202" s="50" t="s">
        <v>285</v>
      </c>
      <c r="AC202" s="51" t="s">
        <v>285</v>
      </c>
      <c r="AD202" s="50" t="s">
        <v>285</v>
      </c>
      <c r="AE202" s="51" t="s">
        <v>285</v>
      </c>
      <c r="AF202" s="50" t="s">
        <v>285</v>
      </c>
      <c r="AG202" s="51" t="s">
        <v>285</v>
      </c>
    </row>
    <row r="203" spans="1:33" ht="6.75" customHeight="1" x14ac:dyDescent="0.25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976</v>
      </c>
      <c r="Y203" s="51" t="s">
        <v>959</v>
      </c>
      <c r="Z203" s="50" t="s">
        <v>285</v>
      </c>
      <c r="AA203" s="51" t="s">
        <v>285</v>
      </c>
      <c r="AB203" s="50" t="s">
        <v>285</v>
      </c>
      <c r="AC203" s="51" t="s">
        <v>285</v>
      </c>
      <c r="AD203" s="50" t="s">
        <v>285</v>
      </c>
      <c r="AE203" s="51" t="s">
        <v>285</v>
      </c>
      <c r="AF203" s="50" t="s">
        <v>285</v>
      </c>
      <c r="AG203" s="51" t="s">
        <v>285</v>
      </c>
    </row>
    <row r="204" spans="1:33" ht="6.75" customHeight="1" x14ac:dyDescent="0.25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976</v>
      </c>
      <c r="Y204" s="51" t="s">
        <v>959</v>
      </c>
      <c r="Z204" s="50" t="s">
        <v>285</v>
      </c>
      <c r="AA204" s="51" t="s">
        <v>285</v>
      </c>
      <c r="AB204" s="50" t="s">
        <v>285</v>
      </c>
      <c r="AC204" s="51" t="s">
        <v>285</v>
      </c>
      <c r="AD204" s="50" t="s">
        <v>285</v>
      </c>
      <c r="AE204" s="51" t="s">
        <v>285</v>
      </c>
      <c r="AF204" s="50" t="s">
        <v>285</v>
      </c>
      <c r="AG204" s="51" t="s">
        <v>285</v>
      </c>
    </row>
    <row r="205" spans="1:33" ht="6.75" customHeight="1" x14ac:dyDescent="0.25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976</v>
      </c>
      <c r="Y205" s="51" t="s">
        <v>959</v>
      </c>
      <c r="Z205" s="50" t="s">
        <v>285</v>
      </c>
      <c r="AA205" s="51" t="s">
        <v>285</v>
      </c>
      <c r="AB205" s="50" t="s">
        <v>285</v>
      </c>
      <c r="AC205" s="51" t="s">
        <v>285</v>
      </c>
      <c r="AD205" s="50" t="s">
        <v>285</v>
      </c>
      <c r="AE205" s="51" t="s">
        <v>285</v>
      </c>
      <c r="AF205" s="50" t="s">
        <v>285</v>
      </c>
      <c r="AG205" s="51" t="s">
        <v>285</v>
      </c>
    </row>
    <row r="206" spans="1:33" ht="6.75" customHeight="1" x14ac:dyDescent="0.25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976</v>
      </c>
      <c r="Y206" s="51" t="s">
        <v>959</v>
      </c>
      <c r="Z206" s="50" t="s">
        <v>285</v>
      </c>
      <c r="AA206" s="51" t="s">
        <v>285</v>
      </c>
      <c r="AB206" s="50" t="s">
        <v>285</v>
      </c>
      <c r="AC206" s="51" t="s">
        <v>285</v>
      </c>
      <c r="AD206" s="50" t="s">
        <v>285</v>
      </c>
      <c r="AE206" s="51" t="s">
        <v>285</v>
      </c>
      <c r="AF206" s="50" t="s">
        <v>285</v>
      </c>
      <c r="AG206" s="51" t="s">
        <v>285</v>
      </c>
    </row>
    <row r="207" spans="1:33" ht="6.75" customHeight="1" x14ac:dyDescent="0.25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976</v>
      </c>
      <c r="Y207" s="51" t="s">
        <v>959</v>
      </c>
      <c r="Z207" s="50" t="s">
        <v>285</v>
      </c>
      <c r="AA207" s="51" t="s">
        <v>285</v>
      </c>
      <c r="AB207" s="50" t="s">
        <v>285</v>
      </c>
      <c r="AC207" s="51" t="s">
        <v>285</v>
      </c>
      <c r="AD207" s="50" t="s">
        <v>285</v>
      </c>
      <c r="AE207" s="51" t="s">
        <v>285</v>
      </c>
      <c r="AF207" s="50" t="s">
        <v>285</v>
      </c>
      <c r="AG207" s="51" t="s">
        <v>285</v>
      </c>
    </row>
    <row r="208" spans="1:33" ht="6.75" customHeight="1" x14ac:dyDescent="0.25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976</v>
      </c>
      <c r="Y208" s="51" t="s">
        <v>959</v>
      </c>
      <c r="Z208" s="50" t="s">
        <v>285</v>
      </c>
      <c r="AA208" s="51" t="s">
        <v>285</v>
      </c>
      <c r="AB208" s="50" t="s">
        <v>285</v>
      </c>
      <c r="AC208" s="51" t="s">
        <v>285</v>
      </c>
      <c r="AD208" s="50" t="s">
        <v>285</v>
      </c>
      <c r="AE208" s="51" t="s">
        <v>285</v>
      </c>
      <c r="AF208" s="50" t="s">
        <v>285</v>
      </c>
      <c r="AG208" s="51" t="s">
        <v>285</v>
      </c>
    </row>
    <row r="209" spans="1:33" ht="6.75" customHeight="1" x14ac:dyDescent="0.25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976</v>
      </c>
      <c r="Y209" s="51" t="s">
        <v>959</v>
      </c>
      <c r="Z209" s="50" t="s">
        <v>285</v>
      </c>
      <c r="AA209" s="51" t="s">
        <v>285</v>
      </c>
      <c r="AB209" s="50" t="s">
        <v>285</v>
      </c>
      <c r="AC209" s="51" t="s">
        <v>285</v>
      </c>
      <c r="AD209" s="50" t="s">
        <v>285</v>
      </c>
      <c r="AE209" s="51" t="s">
        <v>285</v>
      </c>
      <c r="AF209" s="50" t="s">
        <v>285</v>
      </c>
      <c r="AG209" s="51" t="s">
        <v>285</v>
      </c>
    </row>
    <row r="210" spans="1:33" ht="6.75" customHeight="1" x14ac:dyDescent="0.25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976</v>
      </c>
      <c r="Y210" s="51" t="s">
        <v>959</v>
      </c>
      <c r="Z210" s="50" t="s">
        <v>285</v>
      </c>
      <c r="AA210" s="51" t="s">
        <v>285</v>
      </c>
      <c r="AB210" s="50" t="s">
        <v>285</v>
      </c>
      <c r="AC210" s="51" t="s">
        <v>285</v>
      </c>
      <c r="AD210" s="50" t="s">
        <v>285</v>
      </c>
      <c r="AE210" s="51" t="s">
        <v>285</v>
      </c>
      <c r="AF210" s="50" t="s">
        <v>285</v>
      </c>
      <c r="AG210" s="51" t="s">
        <v>285</v>
      </c>
    </row>
    <row r="211" spans="1:33" ht="6.75" customHeight="1" x14ac:dyDescent="0.25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976</v>
      </c>
      <c r="Y211" s="51" t="s">
        <v>959</v>
      </c>
      <c r="Z211" s="50" t="s">
        <v>285</v>
      </c>
      <c r="AA211" s="51" t="s">
        <v>285</v>
      </c>
      <c r="AB211" s="50" t="s">
        <v>285</v>
      </c>
      <c r="AC211" s="51" t="s">
        <v>285</v>
      </c>
      <c r="AD211" s="50" t="s">
        <v>285</v>
      </c>
      <c r="AE211" s="51" t="s">
        <v>285</v>
      </c>
      <c r="AF211" s="50" t="s">
        <v>285</v>
      </c>
      <c r="AG211" s="51" t="s">
        <v>285</v>
      </c>
    </row>
    <row r="212" spans="1:33" ht="6.75" customHeight="1" x14ac:dyDescent="0.25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976</v>
      </c>
      <c r="Y212" s="51" t="s">
        <v>959</v>
      </c>
      <c r="Z212" s="50" t="s">
        <v>285</v>
      </c>
      <c r="AA212" s="51" t="s">
        <v>285</v>
      </c>
      <c r="AB212" s="50" t="s">
        <v>285</v>
      </c>
      <c r="AC212" s="51" t="s">
        <v>285</v>
      </c>
      <c r="AD212" s="50" t="s">
        <v>285</v>
      </c>
      <c r="AE212" s="51" t="s">
        <v>285</v>
      </c>
      <c r="AF212" s="50" t="s">
        <v>285</v>
      </c>
      <c r="AG212" s="51" t="s">
        <v>285</v>
      </c>
    </row>
    <row r="213" spans="1:33" ht="6.75" customHeight="1" x14ac:dyDescent="0.25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976</v>
      </c>
      <c r="Y213" s="51" t="s">
        <v>959</v>
      </c>
      <c r="Z213" s="50" t="s">
        <v>285</v>
      </c>
      <c r="AA213" s="51" t="s">
        <v>285</v>
      </c>
      <c r="AB213" s="50" t="s">
        <v>285</v>
      </c>
      <c r="AC213" s="51" t="s">
        <v>285</v>
      </c>
      <c r="AD213" s="50" t="s">
        <v>285</v>
      </c>
      <c r="AE213" s="51" t="s">
        <v>285</v>
      </c>
      <c r="AF213" s="50" t="s">
        <v>285</v>
      </c>
      <c r="AG213" s="51" t="s">
        <v>285</v>
      </c>
    </row>
    <row r="214" spans="1:33" ht="6.75" customHeight="1" x14ac:dyDescent="0.25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976</v>
      </c>
      <c r="Y214" s="51" t="s">
        <v>959</v>
      </c>
      <c r="Z214" s="50" t="s">
        <v>285</v>
      </c>
      <c r="AA214" s="51" t="s">
        <v>285</v>
      </c>
      <c r="AB214" s="50" t="s">
        <v>285</v>
      </c>
      <c r="AC214" s="51" t="s">
        <v>285</v>
      </c>
      <c r="AD214" s="50" t="s">
        <v>285</v>
      </c>
      <c r="AE214" s="51" t="s">
        <v>285</v>
      </c>
      <c r="AF214" s="50" t="s">
        <v>285</v>
      </c>
      <c r="AG214" s="51" t="s">
        <v>285</v>
      </c>
    </row>
    <row r="215" spans="1:33" ht="6.75" customHeight="1" x14ac:dyDescent="0.25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976</v>
      </c>
      <c r="Y215" s="51" t="s">
        <v>959</v>
      </c>
      <c r="Z215" s="50" t="s">
        <v>285</v>
      </c>
      <c r="AA215" s="51" t="s">
        <v>285</v>
      </c>
      <c r="AB215" s="50" t="s">
        <v>285</v>
      </c>
      <c r="AC215" s="51" t="s">
        <v>285</v>
      </c>
      <c r="AD215" s="50" t="s">
        <v>285</v>
      </c>
      <c r="AE215" s="51" t="s">
        <v>285</v>
      </c>
      <c r="AF215" s="50" t="s">
        <v>285</v>
      </c>
      <c r="AG215" s="51" t="s">
        <v>285</v>
      </c>
    </row>
    <row r="216" spans="1:33" ht="6.75" customHeight="1" x14ac:dyDescent="0.25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976</v>
      </c>
      <c r="Y216" s="51" t="s">
        <v>959</v>
      </c>
      <c r="Z216" s="50" t="s">
        <v>285</v>
      </c>
      <c r="AA216" s="51" t="s">
        <v>285</v>
      </c>
      <c r="AB216" s="50" t="s">
        <v>285</v>
      </c>
      <c r="AC216" s="51" t="s">
        <v>285</v>
      </c>
      <c r="AD216" s="50" t="s">
        <v>285</v>
      </c>
      <c r="AE216" s="51" t="s">
        <v>285</v>
      </c>
      <c r="AF216" s="50" t="s">
        <v>285</v>
      </c>
      <c r="AG216" s="51" t="s">
        <v>285</v>
      </c>
    </row>
    <row r="217" spans="1:33" ht="6.75" customHeight="1" x14ac:dyDescent="0.25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976</v>
      </c>
      <c r="Y217" s="51" t="s">
        <v>959</v>
      </c>
      <c r="Z217" s="50" t="s">
        <v>285</v>
      </c>
      <c r="AA217" s="51" t="s">
        <v>285</v>
      </c>
      <c r="AB217" s="50" t="s">
        <v>285</v>
      </c>
      <c r="AC217" s="51" t="s">
        <v>285</v>
      </c>
      <c r="AD217" s="50" t="s">
        <v>285</v>
      </c>
      <c r="AE217" s="51" t="s">
        <v>285</v>
      </c>
      <c r="AF217" s="50" t="s">
        <v>285</v>
      </c>
      <c r="AG217" s="51" t="s">
        <v>285</v>
      </c>
    </row>
    <row r="218" spans="1:33" ht="6.75" customHeight="1" x14ac:dyDescent="0.25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976</v>
      </c>
      <c r="Y218" s="51" t="s">
        <v>959</v>
      </c>
      <c r="Z218" s="50" t="s">
        <v>285</v>
      </c>
      <c r="AA218" s="51" t="s">
        <v>285</v>
      </c>
      <c r="AB218" s="50" t="s">
        <v>285</v>
      </c>
      <c r="AC218" s="51" t="s">
        <v>285</v>
      </c>
      <c r="AD218" s="50" t="s">
        <v>285</v>
      </c>
      <c r="AE218" s="51" t="s">
        <v>285</v>
      </c>
      <c r="AF218" s="50" t="s">
        <v>285</v>
      </c>
      <c r="AG218" s="51" t="s">
        <v>285</v>
      </c>
    </row>
    <row r="219" spans="1:33" ht="6.75" customHeight="1" x14ac:dyDescent="0.25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976</v>
      </c>
      <c r="Y219" s="51" t="s">
        <v>959</v>
      </c>
      <c r="Z219" s="50" t="s">
        <v>285</v>
      </c>
      <c r="AA219" s="51" t="s">
        <v>285</v>
      </c>
      <c r="AB219" s="50" t="s">
        <v>285</v>
      </c>
      <c r="AC219" s="51" t="s">
        <v>285</v>
      </c>
      <c r="AD219" s="50" t="s">
        <v>285</v>
      </c>
      <c r="AE219" s="51" t="s">
        <v>285</v>
      </c>
      <c r="AF219" s="50" t="s">
        <v>285</v>
      </c>
      <c r="AG219" s="51" t="s">
        <v>285</v>
      </c>
    </row>
    <row r="220" spans="1:33" ht="6.75" customHeight="1" x14ac:dyDescent="0.25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976</v>
      </c>
      <c r="Y220" s="51" t="s">
        <v>959</v>
      </c>
      <c r="Z220" s="50" t="s">
        <v>285</v>
      </c>
      <c r="AA220" s="51" t="s">
        <v>285</v>
      </c>
      <c r="AB220" s="50" t="s">
        <v>285</v>
      </c>
      <c r="AC220" s="51" t="s">
        <v>285</v>
      </c>
      <c r="AD220" s="50" t="s">
        <v>285</v>
      </c>
      <c r="AE220" s="51" t="s">
        <v>285</v>
      </c>
      <c r="AF220" s="50" t="s">
        <v>285</v>
      </c>
      <c r="AG220" s="51" t="s">
        <v>285</v>
      </c>
    </row>
    <row r="221" spans="1:33" ht="6.75" customHeight="1" x14ac:dyDescent="0.25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976</v>
      </c>
      <c r="Y221" s="51" t="s">
        <v>959</v>
      </c>
      <c r="Z221" s="50" t="s">
        <v>285</v>
      </c>
      <c r="AA221" s="51" t="s">
        <v>285</v>
      </c>
      <c r="AB221" s="50" t="s">
        <v>285</v>
      </c>
      <c r="AC221" s="51" t="s">
        <v>285</v>
      </c>
      <c r="AD221" s="50" t="s">
        <v>285</v>
      </c>
      <c r="AE221" s="51" t="s">
        <v>285</v>
      </c>
      <c r="AF221" s="50" t="s">
        <v>285</v>
      </c>
      <c r="AG221" s="51" t="s">
        <v>285</v>
      </c>
    </row>
    <row r="222" spans="1:33" ht="6.75" customHeight="1" x14ac:dyDescent="0.25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976</v>
      </c>
      <c r="Y222" s="51" t="s">
        <v>959</v>
      </c>
      <c r="Z222" s="50" t="s">
        <v>285</v>
      </c>
      <c r="AA222" s="51" t="s">
        <v>285</v>
      </c>
      <c r="AB222" s="50" t="s">
        <v>285</v>
      </c>
      <c r="AC222" s="51" t="s">
        <v>285</v>
      </c>
      <c r="AD222" s="50" t="s">
        <v>285</v>
      </c>
      <c r="AE222" s="51" t="s">
        <v>285</v>
      </c>
      <c r="AF222" s="50" t="s">
        <v>285</v>
      </c>
      <c r="AG222" s="51" t="s">
        <v>285</v>
      </c>
    </row>
    <row r="223" spans="1:33" ht="6.75" customHeight="1" x14ac:dyDescent="0.25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976</v>
      </c>
      <c r="Y223" s="51" t="s">
        <v>959</v>
      </c>
      <c r="Z223" s="50" t="s">
        <v>285</v>
      </c>
      <c r="AA223" s="51" t="s">
        <v>285</v>
      </c>
      <c r="AB223" s="50" t="s">
        <v>285</v>
      </c>
      <c r="AC223" s="51" t="s">
        <v>285</v>
      </c>
      <c r="AD223" s="50" t="s">
        <v>285</v>
      </c>
      <c r="AE223" s="51" t="s">
        <v>285</v>
      </c>
      <c r="AF223" s="50" t="s">
        <v>285</v>
      </c>
      <c r="AG223" s="51" t="s">
        <v>285</v>
      </c>
    </row>
    <row r="224" spans="1:33" ht="6.75" customHeight="1" x14ac:dyDescent="0.25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976</v>
      </c>
      <c r="Y224" s="51" t="s">
        <v>959</v>
      </c>
      <c r="Z224" s="50" t="s">
        <v>285</v>
      </c>
      <c r="AA224" s="51" t="s">
        <v>285</v>
      </c>
      <c r="AB224" s="50" t="s">
        <v>285</v>
      </c>
      <c r="AC224" s="51" t="s">
        <v>285</v>
      </c>
      <c r="AD224" s="50" t="s">
        <v>285</v>
      </c>
      <c r="AE224" s="51" t="s">
        <v>285</v>
      </c>
      <c r="AF224" s="50" t="s">
        <v>285</v>
      </c>
      <c r="AG224" s="51" t="s">
        <v>285</v>
      </c>
    </row>
    <row r="225" spans="1:33" ht="6.75" customHeight="1" x14ac:dyDescent="0.25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976</v>
      </c>
      <c r="Y225" s="51" t="s">
        <v>959</v>
      </c>
      <c r="Z225" s="50" t="s">
        <v>285</v>
      </c>
      <c r="AA225" s="51" t="s">
        <v>285</v>
      </c>
      <c r="AB225" s="50" t="s">
        <v>285</v>
      </c>
      <c r="AC225" s="51" t="s">
        <v>285</v>
      </c>
      <c r="AD225" s="50" t="s">
        <v>285</v>
      </c>
      <c r="AE225" s="51" t="s">
        <v>285</v>
      </c>
      <c r="AF225" s="50" t="s">
        <v>285</v>
      </c>
      <c r="AG225" s="51" t="s">
        <v>285</v>
      </c>
    </row>
    <row r="226" spans="1:33" ht="6.75" customHeight="1" x14ac:dyDescent="0.25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976</v>
      </c>
      <c r="Y226" s="51" t="s">
        <v>959</v>
      </c>
      <c r="Z226" s="50" t="s">
        <v>285</v>
      </c>
      <c r="AA226" s="51" t="s">
        <v>285</v>
      </c>
      <c r="AB226" s="50" t="s">
        <v>285</v>
      </c>
      <c r="AC226" s="51" t="s">
        <v>285</v>
      </c>
      <c r="AD226" s="50" t="s">
        <v>285</v>
      </c>
      <c r="AE226" s="51" t="s">
        <v>285</v>
      </c>
      <c r="AF226" s="50" t="s">
        <v>285</v>
      </c>
      <c r="AG226" s="51" t="s">
        <v>285</v>
      </c>
    </row>
    <row r="227" spans="1:33" ht="6.75" customHeight="1" x14ac:dyDescent="0.25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976</v>
      </c>
      <c r="Y227" s="51" t="s">
        <v>959</v>
      </c>
      <c r="Z227" s="50" t="s">
        <v>285</v>
      </c>
      <c r="AA227" s="51" t="s">
        <v>285</v>
      </c>
      <c r="AB227" s="50" t="s">
        <v>285</v>
      </c>
      <c r="AC227" s="51" t="s">
        <v>285</v>
      </c>
      <c r="AD227" s="50" t="s">
        <v>285</v>
      </c>
      <c r="AE227" s="51" t="s">
        <v>285</v>
      </c>
      <c r="AF227" s="50" t="s">
        <v>285</v>
      </c>
      <c r="AG227" s="51" t="s">
        <v>285</v>
      </c>
    </row>
    <row r="228" spans="1:33" ht="6.75" customHeight="1" x14ac:dyDescent="0.25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976</v>
      </c>
      <c r="Y228" s="51" t="s">
        <v>959</v>
      </c>
      <c r="Z228" s="50" t="s">
        <v>285</v>
      </c>
      <c r="AA228" s="51" t="s">
        <v>285</v>
      </c>
      <c r="AB228" s="50" t="s">
        <v>285</v>
      </c>
      <c r="AC228" s="51" t="s">
        <v>285</v>
      </c>
      <c r="AD228" s="50" t="s">
        <v>285</v>
      </c>
      <c r="AE228" s="51" t="s">
        <v>285</v>
      </c>
      <c r="AF228" s="50" t="s">
        <v>285</v>
      </c>
      <c r="AG228" s="51" t="s">
        <v>285</v>
      </c>
    </row>
    <row r="229" spans="1:33" ht="6.75" customHeight="1" x14ac:dyDescent="0.25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976</v>
      </c>
      <c r="Y229" s="51" t="s">
        <v>959</v>
      </c>
      <c r="Z229" s="50" t="s">
        <v>285</v>
      </c>
      <c r="AA229" s="51" t="s">
        <v>285</v>
      </c>
      <c r="AB229" s="50" t="s">
        <v>285</v>
      </c>
      <c r="AC229" s="51" t="s">
        <v>285</v>
      </c>
      <c r="AD229" s="50" t="s">
        <v>285</v>
      </c>
      <c r="AE229" s="51" t="s">
        <v>285</v>
      </c>
      <c r="AF229" s="50" t="s">
        <v>285</v>
      </c>
      <c r="AG229" s="51" t="s">
        <v>285</v>
      </c>
    </row>
    <row r="230" spans="1:33" ht="6.75" customHeight="1" x14ac:dyDescent="0.25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976</v>
      </c>
      <c r="Y230" s="51" t="s">
        <v>959</v>
      </c>
      <c r="Z230" s="50" t="s">
        <v>285</v>
      </c>
      <c r="AA230" s="51" t="s">
        <v>285</v>
      </c>
      <c r="AB230" s="50" t="s">
        <v>285</v>
      </c>
      <c r="AC230" s="51" t="s">
        <v>285</v>
      </c>
      <c r="AD230" s="50" t="s">
        <v>285</v>
      </c>
      <c r="AE230" s="51" t="s">
        <v>285</v>
      </c>
      <c r="AF230" s="50" t="s">
        <v>285</v>
      </c>
      <c r="AG230" s="51" t="s">
        <v>285</v>
      </c>
    </row>
    <row r="231" spans="1:33" ht="6.75" customHeight="1" x14ac:dyDescent="0.25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976</v>
      </c>
      <c r="Y231" s="51" t="s">
        <v>959</v>
      </c>
      <c r="Z231" s="50" t="s">
        <v>285</v>
      </c>
      <c r="AA231" s="51" t="s">
        <v>285</v>
      </c>
      <c r="AB231" s="50" t="s">
        <v>285</v>
      </c>
      <c r="AC231" s="51" t="s">
        <v>285</v>
      </c>
      <c r="AD231" s="50" t="s">
        <v>285</v>
      </c>
      <c r="AE231" s="51" t="s">
        <v>285</v>
      </c>
      <c r="AF231" s="50" t="s">
        <v>285</v>
      </c>
      <c r="AG231" s="51" t="s">
        <v>285</v>
      </c>
    </row>
    <row r="232" spans="1:33" ht="6.75" customHeight="1" x14ac:dyDescent="0.25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976</v>
      </c>
      <c r="Y232" s="51" t="s">
        <v>959</v>
      </c>
      <c r="Z232" s="50" t="s">
        <v>285</v>
      </c>
      <c r="AA232" s="51" t="s">
        <v>285</v>
      </c>
      <c r="AB232" s="50" t="s">
        <v>285</v>
      </c>
      <c r="AC232" s="51" t="s">
        <v>285</v>
      </c>
      <c r="AD232" s="50" t="s">
        <v>285</v>
      </c>
      <c r="AE232" s="51" t="s">
        <v>285</v>
      </c>
      <c r="AF232" s="50" t="s">
        <v>285</v>
      </c>
      <c r="AG232" s="51" t="s">
        <v>285</v>
      </c>
    </row>
    <row r="233" spans="1:33" ht="6.75" customHeight="1" x14ac:dyDescent="0.25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976</v>
      </c>
      <c r="Y233" s="51" t="s">
        <v>959</v>
      </c>
      <c r="Z233" s="50" t="s">
        <v>285</v>
      </c>
      <c r="AA233" s="51" t="s">
        <v>285</v>
      </c>
      <c r="AB233" s="50" t="s">
        <v>285</v>
      </c>
      <c r="AC233" s="51" t="s">
        <v>285</v>
      </c>
      <c r="AD233" s="50" t="s">
        <v>285</v>
      </c>
      <c r="AE233" s="51" t="s">
        <v>285</v>
      </c>
      <c r="AF233" s="50" t="s">
        <v>285</v>
      </c>
      <c r="AG233" s="51" t="s">
        <v>285</v>
      </c>
    </row>
    <row r="234" spans="1:33" ht="6.75" customHeight="1" x14ac:dyDescent="0.25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976</v>
      </c>
      <c r="Y234" s="51" t="s">
        <v>959</v>
      </c>
      <c r="Z234" s="50" t="s">
        <v>285</v>
      </c>
      <c r="AA234" s="51" t="s">
        <v>285</v>
      </c>
      <c r="AB234" s="50" t="s">
        <v>285</v>
      </c>
      <c r="AC234" s="51" t="s">
        <v>285</v>
      </c>
      <c r="AD234" s="50" t="s">
        <v>285</v>
      </c>
      <c r="AE234" s="51" t="s">
        <v>285</v>
      </c>
      <c r="AF234" s="50" t="s">
        <v>285</v>
      </c>
      <c r="AG234" s="51" t="s">
        <v>285</v>
      </c>
    </row>
    <row r="235" spans="1:33" ht="6.75" customHeight="1" x14ac:dyDescent="0.25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976</v>
      </c>
      <c r="Y235" s="51" t="s">
        <v>959</v>
      </c>
      <c r="Z235" s="50" t="s">
        <v>285</v>
      </c>
      <c r="AA235" s="51" t="s">
        <v>285</v>
      </c>
      <c r="AB235" s="50" t="s">
        <v>285</v>
      </c>
      <c r="AC235" s="51" t="s">
        <v>285</v>
      </c>
      <c r="AD235" s="50" t="s">
        <v>285</v>
      </c>
      <c r="AE235" s="51" t="s">
        <v>285</v>
      </c>
      <c r="AF235" s="50" t="s">
        <v>285</v>
      </c>
      <c r="AG235" s="51" t="s">
        <v>285</v>
      </c>
    </row>
    <row r="236" spans="1:33" ht="6.75" customHeight="1" x14ac:dyDescent="0.25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976</v>
      </c>
      <c r="Y236" s="51" t="s">
        <v>959</v>
      </c>
      <c r="Z236" s="50" t="s">
        <v>285</v>
      </c>
      <c r="AA236" s="51" t="s">
        <v>285</v>
      </c>
      <c r="AB236" s="50" t="s">
        <v>285</v>
      </c>
      <c r="AC236" s="51" t="s">
        <v>285</v>
      </c>
      <c r="AD236" s="50" t="s">
        <v>285</v>
      </c>
      <c r="AE236" s="51" t="s">
        <v>285</v>
      </c>
      <c r="AF236" s="50" t="s">
        <v>285</v>
      </c>
      <c r="AG236" s="51" t="s">
        <v>285</v>
      </c>
    </row>
    <row r="237" spans="1:33" ht="6.75" customHeight="1" x14ac:dyDescent="0.25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976</v>
      </c>
      <c r="Y237" s="51" t="s">
        <v>959</v>
      </c>
      <c r="Z237" s="50" t="s">
        <v>285</v>
      </c>
      <c r="AA237" s="51" t="s">
        <v>285</v>
      </c>
      <c r="AB237" s="50" t="s">
        <v>285</v>
      </c>
      <c r="AC237" s="51" t="s">
        <v>285</v>
      </c>
      <c r="AD237" s="50" t="s">
        <v>285</v>
      </c>
      <c r="AE237" s="51" t="s">
        <v>285</v>
      </c>
      <c r="AF237" s="50" t="s">
        <v>285</v>
      </c>
      <c r="AG237" s="51" t="s">
        <v>285</v>
      </c>
    </row>
    <row r="238" spans="1:33" ht="6.75" customHeight="1" x14ac:dyDescent="0.25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976</v>
      </c>
      <c r="Y238" s="51" t="s">
        <v>959</v>
      </c>
      <c r="Z238" s="50" t="s">
        <v>285</v>
      </c>
      <c r="AA238" s="51" t="s">
        <v>285</v>
      </c>
      <c r="AB238" s="50" t="s">
        <v>285</v>
      </c>
      <c r="AC238" s="51" t="s">
        <v>285</v>
      </c>
      <c r="AD238" s="50" t="s">
        <v>285</v>
      </c>
      <c r="AE238" s="51" t="s">
        <v>285</v>
      </c>
      <c r="AF238" s="50" t="s">
        <v>285</v>
      </c>
      <c r="AG238" s="51" t="s">
        <v>285</v>
      </c>
    </row>
    <row r="239" spans="1:33" ht="6.75" customHeight="1" x14ac:dyDescent="0.25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976</v>
      </c>
      <c r="Y239" s="51" t="s">
        <v>959</v>
      </c>
      <c r="Z239" s="50" t="s">
        <v>285</v>
      </c>
      <c r="AA239" s="51" t="s">
        <v>285</v>
      </c>
      <c r="AB239" s="50" t="s">
        <v>285</v>
      </c>
      <c r="AC239" s="51" t="s">
        <v>285</v>
      </c>
      <c r="AD239" s="50" t="s">
        <v>285</v>
      </c>
      <c r="AE239" s="51" t="s">
        <v>285</v>
      </c>
      <c r="AF239" s="50" t="s">
        <v>285</v>
      </c>
      <c r="AG239" s="51" t="s">
        <v>285</v>
      </c>
    </row>
    <row r="240" spans="1:33" ht="6.75" customHeight="1" x14ac:dyDescent="0.25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976</v>
      </c>
      <c r="Y240" s="51" t="s">
        <v>959</v>
      </c>
      <c r="Z240" s="50" t="s">
        <v>285</v>
      </c>
      <c r="AA240" s="51" t="s">
        <v>285</v>
      </c>
      <c r="AB240" s="50" t="s">
        <v>285</v>
      </c>
      <c r="AC240" s="51" t="s">
        <v>285</v>
      </c>
      <c r="AD240" s="50" t="s">
        <v>285</v>
      </c>
      <c r="AE240" s="51" t="s">
        <v>285</v>
      </c>
      <c r="AF240" s="50" t="s">
        <v>285</v>
      </c>
      <c r="AG240" s="51" t="s">
        <v>285</v>
      </c>
    </row>
    <row r="241" spans="1:33" ht="6.75" customHeight="1" x14ac:dyDescent="0.25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976</v>
      </c>
      <c r="Y241" s="51" t="s">
        <v>959</v>
      </c>
      <c r="Z241" s="50" t="s">
        <v>285</v>
      </c>
      <c r="AA241" s="51" t="s">
        <v>285</v>
      </c>
      <c r="AB241" s="50" t="s">
        <v>285</v>
      </c>
      <c r="AC241" s="51" t="s">
        <v>285</v>
      </c>
      <c r="AD241" s="50" t="s">
        <v>285</v>
      </c>
      <c r="AE241" s="51" t="s">
        <v>285</v>
      </c>
      <c r="AF241" s="50" t="s">
        <v>285</v>
      </c>
      <c r="AG241" s="51" t="s">
        <v>285</v>
      </c>
    </row>
    <row r="242" spans="1:33" ht="6.75" customHeight="1" x14ac:dyDescent="0.25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976</v>
      </c>
      <c r="Y242" s="51" t="s">
        <v>959</v>
      </c>
      <c r="Z242" s="50" t="s">
        <v>285</v>
      </c>
      <c r="AA242" s="51" t="s">
        <v>285</v>
      </c>
      <c r="AB242" s="50" t="s">
        <v>285</v>
      </c>
      <c r="AC242" s="51" t="s">
        <v>285</v>
      </c>
      <c r="AD242" s="50" t="s">
        <v>285</v>
      </c>
      <c r="AE242" s="51" t="s">
        <v>285</v>
      </c>
      <c r="AF242" s="50" t="s">
        <v>285</v>
      </c>
      <c r="AG242" s="51" t="s">
        <v>285</v>
      </c>
    </row>
    <row r="243" spans="1:33" ht="6.75" customHeight="1" x14ac:dyDescent="0.25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976</v>
      </c>
      <c r="Y243" s="51" t="s">
        <v>959</v>
      </c>
      <c r="Z243" s="50" t="s">
        <v>285</v>
      </c>
      <c r="AA243" s="51" t="s">
        <v>285</v>
      </c>
      <c r="AB243" s="50" t="s">
        <v>285</v>
      </c>
      <c r="AC243" s="51" t="s">
        <v>285</v>
      </c>
      <c r="AD243" s="50" t="s">
        <v>285</v>
      </c>
      <c r="AE243" s="51" t="s">
        <v>285</v>
      </c>
      <c r="AF243" s="50" t="s">
        <v>285</v>
      </c>
      <c r="AG243" s="51" t="s">
        <v>285</v>
      </c>
    </row>
    <row r="244" spans="1:33" ht="6.75" customHeight="1" x14ac:dyDescent="0.25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976</v>
      </c>
      <c r="Y244" s="51" t="s">
        <v>959</v>
      </c>
      <c r="Z244" s="50" t="s">
        <v>285</v>
      </c>
      <c r="AA244" s="51" t="s">
        <v>285</v>
      </c>
      <c r="AB244" s="50" t="s">
        <v>285</v>
      </c>
      <c r="AC244" s="51" t="s">
        <v>285</v>
      </c>
      <c r="AD244" s="50" t="s">
        <v>285</v>
      </c>
      <c r="AE244" s="51" t="s">
        <v>285</v>
      </c>
      <c r="AF244" s="50" t="s">
        <v>285</v>
      </c>
      <c r="AG244" s="51" t="s">
        <v>285</v>
      </c>
    </row>
    <row r="245" spans="1:33" ht="6.75" customHeight="1" x14ac:dyDescent="0.25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976</v>
      </c>
      <c r="Y245" s="51" t="s">
        <v>959</v>
      </c>
      <c r="Z245" s="50" t="s">
        <v>285</v>
      </c>
      <c r="AA245" s="51" t="s">
        <v>285</v>
      </c>
      <c r="AB245" s="50" t="s">
        <v>285</v>
      </c>
      <c r="AC245" s="51" t="s">
        <v>285</v>
      </c>
      <c r="AD245" s="50" t="s">
        <v>285</v>
      </c>
      <c r="AE245" s="51" t="s">
        <v>285</v>
      </c>
      <c r="AF245" s="50" t="s">
        <v>285</v>
      </c>
      <c r="AG245" s="51" t="s">
        <v>285</v>
      </c>
    </row>
    <row r="246" spans="1:33" ht="6.75" customHeight="1" x14ac:dyDescent="0.25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976</v>
      </c>
      <c r="Y246" s="51" t="s">
        <v>959</v>
      </c>
      <c r="Z246" s="50" t="s">
        <v>285</v>
      </c>
      <c r="AA246" s="51" t="s">
        <v>285</v>
      </c>
      <c r="AB246" s="50" t="s">
        <v>285</v>
      </c>
      <c r="AC246" s="51" t="s">
        <v>285</v>
      </c>
      <c r="AD246" s="50" t="s">
        <v>285</v>
      </c>
      <c r="AE246" s="51" t="s">
        <v>285</v>
      </c>
      <c r="AF246" s="50" t="s">
        <v>285</v>
      </c>
      <c r="AG246" s="51" t="s">
        <v>285</v>
      </c>
    </row>
    <row r="247" spans="1:33" ht="6.75" customHeight="1" x14ac:dyDescent="0.25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976</v>
      </c>
      <c r="Y247" s="51" t="s">
        <v>959</v>
      </c>
      <c r="Z247" s="50" t="s">
        <v>285</v>
      </c>
      <c r="AA247" s="51" t="s">
        <v>285</v>
      </c>
      <c r="AB247" s="50" t="s">
        <v>285</v>
      </c>
      <c r="AC247" s="51" t="s">
        <v>285</v>
      </c>
      <c r="AD247" s="50" t="s">
        <v>285</v>
      </c>
      <c r="AE247" s="51" t="s">
        <v>285</v>
      </c>
      <c r="AF247" s="50" t="s">
        <v>285</v>
      </c>
      <c r="AG247" s="51" t="s">
        <v>285</v>
      </c>
    </row>
    <row r="248" spans="1:33" ht="6.75" customHeight="1" x14ac:dyDescent="0.25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976</v>
      </c>
      <c r="Y248" s="51" t="s">
        <v>959</v>
      </c>
      <c r="Z248" s="50" t="s">
        <v>285</v>
      </c>
      <c r="AA248" s="51" t="s">
        <v>285</v>
      </c>
      <c r="AB248" s="50" t="s">
        <v>285</v>
      </c>
      <c r="AC248" s="51" t="s">
        <v>285</v>
      </c>
      <c r="AD248" s="50" t="s">
        <v>285</v>
      </c>
      <c r="AE248" s="51" t="s">
        <v>285</v>
      </c>
      <c r="AF248" s="50" t="s">
        <v>285</v>
      </c>
      <c r="AG248" s="51" t="s">
        <v>285</v>
      </c>
    </row>
    <row r="249" spans="1:33" ht="6.75" customHeight="1" x14ac:dyDescent="0.25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976</v>
      </c>
      <c r="Y249" s="51" t="s">
        <v>959</v>
      </c>
      <c r="Z249" s="50" t="s">
        <v>285</v>
      </c>
      <c r="AA249" s="51" t="s">
        <v>285</v>
      </c>
      <c r="AB249" s="50" t="s">
        <v>285</v>
      </c>
      <c r="AC249" s="51" t="s">
        <v>285</v>
      </c>
      <c r="AD249" s="50" t="s">
        <v>285</v>
      </c>
      <c r="AE249" s="51" t="s">
        <v>285</v>
      </c>
      <c r="AF249" s="50" t="s">
        <v>285</v>
      </c>
      <c r="AG249" s="51" t="s">
        <v>285</v>
      </c>
    </row>
    <row r="250" spans="1:33" ht="6.75" customHeight="1" x14ac:dyDescent="0.25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976</v>
      </c>
      <c r="Y250" s="51" t="s">
        <v>959</v>
      </c>
      <c r="Z250" s="50" t="s">
        <v>285</v>
      </c>
      <c r="AA250" s="51" t="s">
        <v>285</v>
      </c>
      <c r="AB250" s="50" t="s">
        <v>285</v>
      </c>
      <c r="AC250" s="51" t="s">
        <v>285</v>
      </c>
      <c r="AD250" s="50" t="s">
        <v>285</v>
      </c>
      <c r="AE250" s="51" t="s">
        <v>285</v>
      </c>
      <c r="AF250" s="50" t="s">
        <v>285</v>
      </c>
      <c r="AG250" s="51" t="s">
        <v>285</v>
      </c>
    </row>
    <row r="251" spans="1:33" ht="6.75" customHeight="1" x14ac:dyDescent="0.25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976</v>
      </c>
      <c r="Y251" s="51" t="s">
        <v>959</v>
      </c>
      <c r="Z251" s="50" t="s">
        <v>285</v>
      </c>
      <c r="AA251" s="51" t="s">
        <v>285</v>
      </c>
      <c r="AB251" s="50" t="s">
        <v>285</v>
      </c>
      <c r="AC251" s="51" t="s">
        <v>285</v>
      </c>
      <c r="AD251" s="50" t="s">
        <v>285</v>
      </c>
      <c r="AE251" s="51" t="s">
        <v>285</v>
      </c>
      <c r="AF251" s="50" t="s">
        <v>285</v>
      </c>
      <c r="AG251" s="51" t="s">
        <v>285</v>
      </c>
    </row>
    <row r="252" spans="1:33" ht="6.75" customHeight="1" x14ac:dyDescent="0.25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976</v>
      </c>
      <c r="Y252" s="51" t="s">
        <v>959</v>
      </c>
      <c r="Z252" s="50" t="s">
        <v>285</v>
      </c>
      <c r="AA252" s="51" t="s">
        <v>285</v>
      </c>
      <c r="AB252" s="50" t="s">
        <v>285</v>
      </c>
      <c r="AC252" s="51" t="s">
        <v>285</v>
      </c>
      <c r="AD252" s="50" t="s">
        <v>285</v>
      </c>
      <c r="AE252" s="51" t="s">
        <v>285</v>
      </c>
      <c r="AF252" s="50" t="s">
        <v>285</v>
      </c>
      <c r="AG252" s="51" t="s">
        <v>285</v>
      </c>
    </row>
    <row r="253" spans="1:33" ht="6.75" customHeight="1" x14ac:dyDescent="0.25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976</v>
      </c>
      <c r="Y253" s="51" t="s">
        <v>959</v>
      </c>
      <c r="Z253" s="50" t="s">
        <v>285</v>
      </c>
      <c r="AA253" s="51" t="s">
        <v>285</v>
      </c>
      <c r="AB253" s="50" t="s">
        <v>285</v>
      </c>
      <c r="AC253" s="51" t="s">
        <v>285</v>
      </c>
      <c r="AD253" s="50" t="s">
        <v>285</v>
      </c>
      <c r="AE253" s="51" t="s">
        <v>285</v>
      </c>
      <c r="AF253" s="50" t="s">
        <v>285</v>
      </c>
      <c r="AG253" s="51" t="s">
        <v>285</v>
      </c>
    </row>
    <row r="254" spans="1:33" ht="6.75" customHeight="1" x14ac:dyDescent="0.25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976</v>
      </c>
      <c r="Y254" s="51" t="s">
        <v>959</v>
      </c>
      <c r="Z254" s="50" t="s">
        <v>285</v>
      </c>
      <c r="AA254" s="51" t="s">
        <v>285</v>
      </c>
      <c r="AB254" s="50" t="s">
        <v>285</v>
      </c>
      <c r="AC254" s="51" t="s">
        <v>285</v>
      </c>
      <c r="AD254" s="50" t="s">
        <v>285</v>
      </c>
      <c r="AE254" s="51" t="s">
        <v>285</v>
      </c>
      <c r="AF254" s="50" t="s">
        <v>285</v>
      </c>
      <c r="AG254" s="51" t="s">
        <v>285</v>
      </c>
    </row>
    <row r="255" spans="1:33" ht="6.75" customHeight="1" x14ac:dyDescent="0.25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976</v>
      </c>
      <c r="Y255" s="51" t="s">
        <v>959</v>
      </c>
      <c r="Z255" s="50" t="s">
        <v>285</v>
      </c>
      <c r="AA255" s="51" t="s">
        <v>285</v>
      </c>
      <c r="AB255" s="50" t="s">
        <v>285</v>
      </c>
      <c r="AC255" s="51" t="s">
        <v>285</v>
      </c>
      <c r="AD255" s="50" t="s">
        <v>285</v>
      </c>
      <c r="AE255" s="51" t="s">
        <v>285</v>
      </c>
      <c r="AF255" s="50" t="s">
        <v>285</v>
      </c>
      <c r="AG255" s="51" t="s">
        <v>285</v>
      </c>
    </row>
    <row r="256" spans="1:33" ht="6.75" customHeight="1" x14ac:dyDescent="0.25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976</v>
      </c>
      <c r="Y256" s="51" t="s">
        <v>959</v>
      </c>
      <c r="Z256" s="50" t="s">
        <v>285</v>
      </c>
      <c r="AA256" s="51" t="s">
        <v>285</v>
      </c>
      <c r="AB256" s="50" t="s">
        <v>285</v>
      </c>
      <c r="AC256" s="51" t="s">
        <v>285</v>
      </c>
      <c r="AD256" s="50" t="s">
        <v>285</v>
      </c>
      <c r="AE256" s="51" t="s">
        <v>285</v>
      </c>
      <c r="AF256" s="50" t="s">
        <v>285</v>
      </c>
      <c r="AG256" s="51" t="s">
        <v>285</v>
      </c>
    </row>
    <row r="257" spans="1:33" ht="6.75" customHeight="1" x14ac:dyDescent="0.25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976</v>
      </c>
      <c r="Y257" s="51" t="s">
        <v>959</v>
      </c>
      <c r="Z257" s="50" t="s">
        <v>285</v>
      </c>
      <c r="AA257" s="51" t="s">
        <v>285</v>
      </c>
      <c r="AB257" s="50" t="s">
        <v>285</v>
      </c>
      <c r="AC257" s="51" t="s">
        <v>285</v>
      </c>
      <c r="AD257" s="50" t="s">
        <v>285</v>
      </c>
      <c r="AE257" s="51" t="s">
        <v>285</v>
      </c>
      <c r="AF257" s="50" t="s">
        <v>285</v>
      </c>
      <c r="AG257" s="51" t="s">
        <v>285</v>
      </c>
    </row>
    <row r="258" spans="1:33" ht="6.75" customHeight="1" x14ac:dyDescent="0.25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976</v>
      </c>
      <c r="Y258" s="51" t="s">
        <v>959</v>
      </c>
      <c r="Z258" s="50" t="s">
        <v>285</v>
      </c>
      <c r="AA258" s="51" t="s">
        <v>285</v>
      </c>
      <c r="AB258" s="50" t="s">
        <v>285</v>
      </c>
      <c r="AC258" s="51" t="s">
        <v>285</v>
      </c>
      <c r="AD258" s="50" t="s">
        <v>285</v>
      </c>
      <c r="AE258" s="51" t="s">
        <v>285</v>
      </c>
      <c r="AF258" s="50" t="s">
        <v>285</v>
      </c>
      <c r="AG258" s="51" t="s">
        <v>285</v>
      </c>
    </row>
    <row r="259" spans="1:33" ht="6.75" customHeight="1" x14ac:dyDescent="0.25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976</v>
      </c>
      <c r="Y259" s="51" t="s">
        <v>959</v>
      </c>
      <c r="Z259" s="50" t="s">
        <v>285</v>
      </c>
      <c r="AA259" s="51" t="s">
        <v>285</v>
      </c>
      <c r="AB259" s="50" t="s">
        <v>285</v>
      </c>
      <c r="AC259" s="51" t="s">
        <v>285</v>
      </c>
      <c r="AD259" s="50" t="s">
        <v>285</v>
      </c>
      <c r="AE259" s="51" t="s">
        <v>285</v>
      </c>
      <c r="AF259" s="50" t="s">
        <v>285</v>
      </c>
      <c r="AG259" s="51" t="s">
        <v>285</v>
      </c>
    </row>
    <row r="260" spans="1:33" ht="6.75" customHeight="1" x14ac:dyDescent="0.25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976</v>
      </c>
      <c r="Y260" s="51" t="s">
        <v>959</v>
      </c>
      <c r="Z260" s="50" t="s">
        <v>285</v>
      </c>
      <c r="AA260" s="51" t="s">
        <v>285</v>
      </c>
      <c r="AB260" s="50" t="s">
        <v>285</v>
      </c>
      <c r="AC260" s="51" t="s">
        <v>285</v>
      </c>
      <c r="AD260" s="50" t="s">
        <v>285</v>
      </c>
      <c r="AE260" s="51" t="s">
        <v>285</v>
      </c>
      <c r="AF260" s="50" t="s">
        <v>285</v>
      </c>
      <c r="AG260" s="51" t="s">
        <v>285</v>
      </c>
    </row>
    <row r="261" spans="1:33" ht="6.75" customHeight="1" x14ac:dyDescent="0.25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976</v>
      </c>
      <c r="Y261" s="51" t="s">
        <v>959</v>
      </c>
      <c r="Z261" s="50" t="s">
        <v>285</v>
      </c>
      <c r="AA261" s="51" t="s">
        <v>285</v>
      </c>
      <c r="AB261" s="50" t="s">
        <v>285</v>
      </c>
      <c r="AC261" s="51" t="s">
        <v>285</v>
      </c>
      <c r="AD261" s="50" t="s">
        <v>285</v>
      </c>
      <c r="AE261" s="51" t="s">
        <v>285</v>
      </c>
      <c r="AF261" s="50" t="s">
        <v>285</v>
      </c>
      <c r="AG261" s="51" t="s">
        <v>285</v>
      </c>
    </row>
    <row r="262" spans="1:33" ht="6.75" customHeight="1" x14ac:dyDescent="0.25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976</v>
      </c>
      <c r="Y262" s="51" t="s">
        <v>959</v>
      </c>
      <c r="Z262" s="50" t="s">
        <v>285</v>
      </c>
      <c r="AA262" s="51" t="s">
        <v>285</v>
      </c>
      <c r="AB262" s="50" t="s">
        <v>285</v>
      </c>
      <c r="AC262" s="51" t="s">
        <v>285</v>
      </c>
      <c r="AD262" s="50" t="s">
        <v>285</v>
      </c>
      <c r="AE262" s="51" t="s">
        <v>285</v>
      </c>
      <c r="AF262" s="50" t="s">
        <v>285</v>
      </c>
      <c r="AG262" s="51" t="s">
        <v>285</v>
      </c>
    </row>
    <row r="263" spans="1:33" ht="6.75" customHeight="1" x14ac:dyDescent="0.25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976</v>
      </c>
      <c r="Y263" s="51" t="s">
        <v>959</v>
      </c>
      <c r="Z263" s="50" t="s">
        <v>285</v>
      </c>
      <c r="AA263" s="51" t="s">
        <v>285</v>
      </c>
      <c r="AB263" s="50" t="s">
        <v>285</v>
      </c>
      <c r="AC263" s="51" t="s">
        <v>285</v>
      </c>
      <c r="AD263" s="50" t="s">
        <v>285</v>
      </c>
      <c r="AE263" s="51" t="s">
        <v>285</v>
      </c>
      <c r="AF263" s="50" t="s">
        <v>285</v>
      </c>
      <c r="AG263" s="51" t="s">
        <v>285</v>
      </c>
    </row>
    <row r="264" spans="1:33" ht="6.75" customHeight="1" x14ac:dyDescent="0.25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976</v>
      </c>
      <c r="Y264" s="51" t="s">
        <v>959</v>
      </c>
      <c r="Z264" s="50" t="s">
        <v>285</v>
      </c>
      <c r="AA264" s="51" t="s">
        <v>285</v>
      </c>
      <c r="AB264" s="50" t="s">
        <v>285</v>
      </c>
      <c r="AC264" s="51" t="s">
        <v>285</v>
      </c>
      <c r="AD264" s="50" t="s">
        <v>285</v>
      </c>
      <c r="AE264" s="51" t="s">
        <v>285</v>
      </c>
      <c r="AF264" s="50" t="s">
        <v>285</v>
      </c>
      <c r="AG264" s="51" t="s">
        <v>285</v>
      </c>
    </row>
    <row r="265" spans="1:33" ht="6.75" customHeight="1" x14ac:dyDescent="0.25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976</v>
      </c>
      <c r="Y265" s="51" t="s">
        <v>959</v>
      </c>
      <c r="Z265" s="50" t="s">
        <v>285</v>
      </c>
      <c r="AA265" s="51" t="s">
        <v>285</v>
      </c>
      <c r="AB265" s="50" t="s">
        <v>285</v>
      </c>
      <c r="AC265" s="51" t="s">
        <v>285</v>
      </c>
      <c r="AD265" s="50" t="s">
        <v>285</v>
      </c>
      <c r="AE265" s="51" t="s">
        <v>285</v>
      </c>
      <c r="AF265" s="50" t="s">
        <v>285</v>
      </c>
      <c r="AG265" s="51" t="s">
        <v>285</v>
      </c>
    </row>
    <row r="266" spans="1:33" ht="6.75" customHeight="1" x14ac:dyDescent="0.25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976</v>
      </c>
      <c r="Y266" s="51" t="s">
        <v>959</v>
      </c>
      <c r="Z266" s="50" t="s">
        <v>285</v>
      </c>
      <c r="AA266" s="51" t="s">
        <v>285</v>
      </c>
      <c r="AB266" s="50" t="s">
        <v>285</v>
      </c>
      <c r="AC266" s="51" t="s">
        <v>285</v>
      </c>
      <c r="AD266" s="50" t="s">
        <v>285</v>
      </c>
      <c r="AE266" s="51" t="s">
        <v>285</v>
      </c>
      <c r="AF266" s="50" t="s">
        <v>285</v>
      </c>
      <c r="AG266" s="51" t="s">
        <v>285</v>
      </c>
    </row>
    <row r="267" spans="1:33" ht="6.75" customHeight="1" x14ac:dyDescent="0.25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976</v>
      </c>
      <c r="Y267" s="51" t="s">
        <v>959</v>
      </c>
      <c r="Z267" s="50" t="s">
        <v>285</v>
      </c>
      <c r="AA267" s="51" t="s">
        <v>285</v>
      </c>
      <c r="AB267" s="50" t="s">
        <v>285</v>
      </c>
      <c r="AC267" s="51" t="s">
        <v>285</v>
      </c>
      <c r="AD267" s="50" t="s">
        <v>285</v>
      </c>
      <c r="AE267" s="51" t="s">
        <v>285</v>
      </c>
      <c r="AF267" s="50" t="s">
        <v>285</v>
      </c>
      <c r="AG267" s="51" t="s">
        <v>285</v>
      </c>
    </row>
    <row r="268" spans="1:33" ht="6.75" customHeight="1" x14ac:dyDescent="0.25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976</v>
      </c>
      <c r="Y268" s="51" t="s">
        <v>959</v>
      </c>
      <c r="Z268" s="50" t="s">
        <v>285</v>
      </c>
      <c r="AA268" s="51" t="s">
        <v>285</v>
      </c>
      <c r="AB268" s="50" t="s">
        <v>285</v>
      </c>
      <c r="AC268" s="51" t="s">
        <v>285</v>
      </c>
      <c r="AD268" s="50" t="s">
        <v>285</v>
      </c>
      <c r="AE268" s="51" t="s">
        <v>285</v>
      </c>
      <c r="AF268" s="50" t="s">
        <v>285</v>
      </c>
      <c r="AG268" s="51" t="s">
        <v>285</v>
      </c>
    </row>
    <row r="269" spans="1:33" ht="6.75" customHeight="1" x14ac:dyDescent="0.25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976</v>
      </c>
      <c r="Y269" s="51" t="s">
        <v>959</v>
      </c>
      <c r="Z269" s="50" t="s">
        <v>285</v>
      </c>
      <c r="AA269" s="51" t="s">
        <v>285</v>
      </c>
      <c r="AB269" s="50" t="s">
        <v>285</v>
      </c>
      <c r="AC269" s="51" t="s">
        <v>285</v>
      </c>
      <c r="AD269" s="50" t="s">
        <v>285</v>
      </c>
      <c r="AE269" s="51" t="s">
        <v>285</v>
      </c>
      <c r="AF269" s="50" t="s">
        <v>285</v>
      </c>
      <c r="AG269" s="51" t="s">
        <v>285</v>
      </c>
    </row>
    <row r="270" spans="1:33" ht="6.75" customHeight="1" x14ac:dyDescent="0.25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976</v>
      </c>
      <c r="Y270" s="51" t="s">
        <v>959</v>
      </c>
      <c r="Z270" s="50" t="s">
        <v>285</v>
      </c>
      <c r="AA270" s="51" t="s">
        <v>285</v>
      </c>
      <c r="AB270" s="50" t="s">
        <v>285</v>
      </c>
      <c r="AC270" s="51" t="s">
        <v>285</v>
      </c>
      <c r="AD270" s="50" t="s">
        <v>285</v>
      </c>
      <c r="AE270" s="51" t="s">
        <v>285</v>
      </c>
      <c r="AF270" s="50" t="s">
        <v>285</v>
      </c>
      <c r="AG270" s="51" t="s">
        <v>285</v>
      </c>
    </row>
    <row r="271" spans="1:33" ht="6.75" customHeight="1" x14ac:dyDescent="0.25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976</v>
      </c>
      <c r="Y271" s="51" t="s">
        <v>959</v>
      </c>
      <c r="Z271" s="50" t="s">
        <v>285</v>
      </c>
      <c r="AA271" s="51" t="s">
        <v>285</v>
      </c>
      <c r="AB271" s="50" t="s">
        <v>285</v>
      </c>
      <c r="AC271" s="51" t="s">
        <v>285</v>
      </c>
      <c r="AD271" s="50" t="s">
        <v>285</v>
      </c>
      <c r="AE271" s="51" t="s">
        <v>285</v>
      </c>
      <c r="AF271" s="50" t="s">
        <v>285</v>
      </c>
      <c r="AG271" s="51" t="s">
        <v>285</v>
      </c>
    </row>
    <row r="272" spans="1:33" ht="6.75" customHeight="1" x14ac:dyDescent="0.25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976</v>
      </c>
      <c r="Y272" s="51" t="s">
        <v>959</v>
      </c>
      <c r="Z272" s="50" t="s">
        <v>285</v>
      </c>
      <c r="AA272" s="51" t="s">
        <v>285</v>
      </c>
      <c r="AB272" s="50" t="s">
        <v>285</v>
      </c>
      <c r="AC272" s="51" t="s">
        <v>285</v>
      </c>
      <c r="AD272" s="50" t="s">
        <v>285</v>
      </c>
      <c r="AE272" s="51" t="s">
        <v>285</v>
      </c>
      <c r="AF272" s="50" t="s">
        <v>285</v>
      </c>
      <c r="AG272" s="51" t="s">
        <v>285</v>
      </c>
    </row>
    <row r="273" spans="1:33" ht="6.75" customHeight="1" x14ac:dyDescent="0.25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976</v>
      </c>
      <c r="Y273" s="51" t="s">
        <v>959</v>
      </c>
      <c r="Z273" s="50" t="s">
        <v>285</v>
      </c>
      <c r="AA273" s="51" t="s">
        <v>285</v>
      </c>
      <c r="AB273" s="50" t="s">
        <v>285</v>
      </c>
      <c r="AC273" s="51" t="s">
        <v>285</v>
      </c>
      <c r="AD273" s="50" t="s">
        <v>285</v>
      </c>
      <c r="AE273" s="51" t="s">
        <v>285</v>
      </c>
      <c r="AF273" s="50" t="s">
        <v>285</v>
      </c>
      <c r="AG273" s="51" t="s">
        <v>285</v>
      </c>
    </row>
    <row r="274" spans="1:33" ht="6.75" customHeight="1" x14ac:dyDescent="0.25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976</v>
      </c>
      <c r="Y274" s="51" t="s">
        <v>959</v>
      </c>
      <c r="Z274" s="50" t="s">
        <v>285</v>
      </c>
      <c r="AA274" s="51" t="s">
        <v>285</v>
      </c>
      <c r="AB274" s="50" t="s">
        <v>285</v>
      </c>
      <c r="AC274" s="51" t="s">
        <v>285</v>
      </c>
      <c r="AD274" s="50" t="s">
        <v>285</v>
      </c>
      <c r="AE274" s="51" t="s">
        <v>285</v>
      </c>
      <c r="AF274" s="50" t="s">
        <v>285</v>
      </c>
      <c r="AG274" s="51" t="s">
        <v>285</v>
      </c>
    </row>
    <row r="275" spans="1:33" ht="6.75" customHeight="1" x14ac:dyDescent="0.25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976</v>
      </c>
      <c r="Y275" s="51" t="s">
        <v>959</v>
      </c>
      <c r="Z275" s="50" t="s">
        <v>285</v>
      </c>
      <c r="AA275" s="51" t="s">
        <v>285</v>
      </c>
      <c r="AB275" s="50" t="s">
        <v>285</v>
      </c>
      <c r="AC275" s="51" t="s">
        <v>285</v>
      </c>
      <c r="AD275" s="50" t="s">
        <v>285</v>
      </c>
      <c r="AE275" s="51" t="s">
        <v>285</v>
      </c>
      <c r="AF275" s="50" t="s">
        <v>285</v>
      </c>
      <c r="AG275" s="51" t="s">
        <v>285</v>
      </c>
    </row>
    <row r="276" spans="1:33" ht="6.75" customHeight="1" x14ac:dyDescent="0.25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976</v>
      </c>
      <c r="Y276" s="51" t="s">
        <v>959</v>
      </c>
      <c r="Z276" s="50" t="s">
        <v>285</v>
      </c>
      <c r="AA276" s="51" t="s">
        <v>285</v>
      </c>
      <c r="AB276" s="50" t="s">
        <v>285</v>
      </c>
      <c r="AC276" s="51" t="s">
        <v>285</v>
      </c>
      <c r="AD276" s="50" t="s">
        <v>285</v>
      </c>
      <c r="AE276" s="51" t="s">
        <v>285</v>
      </c>
      <c r="AF276" s="50" t="s">
        <v>285</v>
      </c>
      <c r="AG276" s="51" t="s">
        <v>285</v>
      </c>
    </row>
    <row r="277" spans="1:33" ht="6.75" customHeight="1" x14ac:dyDescent="0.25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976</v>
      </c>
      <c r="Y277" s="51" t="s">
        <v>959</v>
      </c>
      <c r="Z277" s="50" t="s">
        <v>285</v>
      </c>
      <c r="AA277" s="51" t="s">
        <v>285</v>
      </c>
      <c r="AB277" s="50" t="s">
        <v>285</v>
      </c>
      <c r="AC277" s="51" t="s">
        <v>285</v>
      </c>
      <c r="AD277" s="50" t="s">
        <v>285</v>
      </c>
      <c r="AE277" s="51" t="s">
        <v>285</v>
      </c>
      <c r="AF277" s="50" t="s">
        <v>285</v>
      </c>
      <c r="AG277" s="51" t="s">
        <v>285</v>
      </c>
    </row>
    <row r="278" spans="1:33" ht="6.75" customHeight="1" x14ac:dyDescent="0.25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976</v>
      </c>
      <c r="Y278" s="51" t="s">
        <v>959</v>
      </c>
      <c r="Z278" s="50" t="s">
        <v>285</v>
      </c>
      <c r="AA278" s="51" t="s">
        <v>285</v>
      </c>
      <c r="AB278" s="50" t="s">
        <v>285</v>
      </c>
      <c r="AC278" s="51" t="s">
        <v>285</v>
      </c>
      <c r="AD278" s="50" t="s">
        <v>285</v>
      </c>
      <c r="AE278" s="51" t="s">
        <v>285</v>
      </c>
      <c r="AF278" s="50" t="s">
        <v>285</v>
      </c>
      <c r="AG278" s="51" t="s">
        <v>285</v>
      </c>
    </row>
    <row r="279" spans="1:33" ht="6.75" customHeight="1" x14ac:dyDescent="0.25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976</v>
      </c>
      <c r="Y279" s="51" t="s">
        <v>959</v>
      </c>
      <c r="Z279" s="50" t="s">
        <v>285</v>
      </c>
      <c r="AA279" s="51" t="s">
        <v>285</v>
      </c>
      <c r="AB279" s="50" t="s">
        <v>285</v>
      </c>
      <c r="AC279" s="51" t="s">
        <v>285</v>
      </c>
      <c r="AD279" s="50" t="s">
        <v>285</v>
      </c>
      <c r="AE279" s="51" t="s">
        <v>285</v>
      </c>
      <c r="AF279" s="50" t="s">
        <v>285</v>
      </c>
      <c r="AG279" s="51" t="s">
        <v>285</v>
      </c>
    </row>
    <row r="280" spans="1:33" ht="6.75" customHeight="1" x14ac:dyDescent="0.25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976</v>
      </c>
      <c r="Y280" s="51" t="s">
        <v>959</v>
      </c>
      <c r="Z280" s="50" t="s">
        <v>285</v>
      </c>
      <c r="AA280" s="51" t="s">
        <v>285</v>
      </c>
      <c r="AB280" s="50" t="s">
        <v>285</v>
      </c>
      <c r="AC280" s="51" t="s">
        <v>285</v>
      </c>
      <c r="AD280" s="50" t="s">
        <v>285</v>
      </c>
      <c r="AE280" s="51" t="s">
        <v>285</v>
      </c>
      <c r="AF280" s="50" t="s">
        <v>285</v>
      </c>
      <c r="AG280" s="51" t="s">
        <v>285</v>
      </c>
    </row>
    <row r="281" spans="1:33" ht="6.75" customHeight="1" x14ac:dyDescent="0.25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976</v>
      </c>
      <c r="Y281" s="51" t="s">
        <v>959</v>
      </c>
      <c r="Z281" s="50" t="s">
        <v>285</v>
      </c>
      <c r="AA281" s="51" t="s">
        <v>285</v>
      </c>
      <c r="AB281" s="50" t="s">
        <v>285</v>
      </c>
      <c r="AC281" s="51" t="s">
        <v>285</v>
      </c>
      <c r="AD281" s="50" t="s">
        <v>285</v>
      </c>
      <c r="AE281" s="51" t="s">
        <v>285</v>
      </c>
      <c r="AF281" s="50" t="s">
        <v>285</v>
      </c>
      <c r="AG281" s="51" t="s">
        <v>285</v>
      </c>
    </row>
    <row r="282" spans="1:33" ht="6.75" customHeight="1" x14ac:dyDescent="0.25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976</v>
      </c>
      <c r="Y282" s="51" t="s">
        <v>959</v>
      </c>
      <c r="Z282" s="50" t="s">
        <v>285</v>
      </c>
      <c r="AA282" s="51" t="s">
        <v>285</v>
      </c>
      <c r="AB282" s="50" t="s">
        <v>285</v>
      </c>
      <c r="AC282" s="51" t="s">
        <v>285</v>
      </c>
      <c r="AD282" s="50" t="s">
        <v>285</v>
      </c>
      <c r="AE282" s="51" t="s">
        <v>285</v>
      </c>
      <c r="AF282" s="50" t="s">
        <v>285</v>
      </c>
      <c r="AG282" s="51" t="s">
        <v>285</v>
      </c>
    </row>
    <row r="283" spans="1:33" ht="6.75" customHeight="1" x14ac:dyDescent="0.25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976</v>
      </c>
      <c r="Y283" s="51" t="s">
        <v>959</v>
      </c>
      <c r="Z283" s="50" t="s">
        <v>285</v>
      </c>
      <c r="AA283" s="51" t="s">
        <v>285</v>
      </c>
      <c r="AB283" s="50" t="s">
        <v>285</v>
      </c>
      <c r="AC283" s="51" t="s">
        <v>285</v>
      </c>
      <c r="AD283" s="50" t="s">
        <v>285</v>
      </c>
      <c r="AE283" s="51" t="s">
        <v>285</v>
      </c>
      <c r="AF283" s="50" t="s">
        <v>285</v>
      </c>
      <c r="AG283" s="51" t="s">
        <v>285</v>
      </c>
    </row>
    <row r="284" spans="1:33" ht="6.75" customHeight="1" x14ac:dyDescent="0.25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976</v>
      </c>
      <c r="Y284" s="51" t="s">
        <v>959</v>
      </c>
      <c r="Z284" s="50" t="s">
        <v>285</v>
      </c>
      <c r="AA284" s="51" t="s">
        <v>285</v>
      </c>
      <c r="AB284" s="50" t="s">
        <v>285</v>
      </c>
      <c r="AC284" s="51" t="s">
        <v>285</v>
      </c>
      <c r="AD284" s="50" t="s">
        <v>285</v>
      </c>
      <c r="AE284" s="51" t="s">
        <v>285</v>
      </c>
      <c r="AF284" s="50" t="s">
        <v>285</v>
      </c>
      <c r="AG284" s="51" t="s">
        <v>285</v>
      </c>
    </row>
    <row r="285" spans="1:33" ht="6.75" customHeight="1" x14ac:dyDescent="0.25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976</v>
      </c>
      <c r="Y285" s="51" t="s">
        <v>959</v>
      </c>
      <c r="Z285" s="50" t="s">
        <v>285</v>
      </c>
      <c r="AA285" s="51" t="s">
        <v>285</v>
      </c>
      <c r="AB285" s="50" t="s">
        <v>285</v>
      </c>
      <c r="AC285" s="51" t="s">
        <v>285</v>
      </c>
      <c r="AD285" s="50" t="s">
        <v>285</v>
      </c>
      <c r="AE285" s="51" t="s">
        <v>285</v>
      </c>
      <c r="AF285" s="50" t="s">
        <v>285</v>
      </c>
      <c r="AG285" s="51" t="s">
        <v>285</v>
      </c>
    </row>
    <row r="286" spans="1:33" ht="6.75" customHeight="1" x14ac:dyDescent="0.25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976</v>
      </c>
      <c r="Y286" s="51" t="s">
        <v>959</v>
      </c>
      <c r="Z286" s="50" t="s">
        <v>285</v>
      </c>
      <c r="AA286" s="51" t="s">
        <v>285</v>
      </c>
      <c r="AB286" s="50" t="s">
        <v>285</v>
      </c>
      <c r="AC286" s="51" t="s">
        <v>285</v>
      </c>
      <c r="AD286" s="50" t="s">
        <v>285</v>
      </c>
      <c r="AE286" s="51" t="s">
        <v>285</v>
      </c>
      <c r="AF286" s="50" t="s">
        <v>285</v>
      </c>
      <c r="AG286" s="51" t="s">
        <v>285</v>
      </c>
    </row>
    <row r="287" spans="1:33" ht="6.75" customHeight="1" x14ac:dyDescent="0.25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976</v>
      </c>
      <c r="Y287" s="51" t="s">
        <v>959</v>
      </c>
      <c r="Z287" s="50" t="s">
        <v>285</v>
      </c>
      <c r="AA287" s="51" t="s">
        <v>285</v>
      </c>
      <c r="AB287" s="50" t="s">
        <v>285</v>
      </c>
      <c r="AC287" s="51" t="s">
        <v>285</v>
      </c>
      <c r="AD287" s="50" t="s">
        <v>285</v>
      </c>
      <c r="AE287" s="51" t="s">
        <v>285</v>
      </c>
      <c r="AF287" s="50" t="s">
        <v>285</v>
      </c>
      <c r="AG287" s="51" t="s">
        <v>285</v>
      </c>
    </row>
    <row r="288" spans="1:33" ht="6.75" customHeight="1" x14ac:dyDescent="0.25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976</v>
      </c>
      <c r="Y288" s="51" t="s">
        <v>959</v>
      </c>
      <c r="Z288" s="50" t="s">
        <v>285</v>
      </c>
      <c r="AA288" s="51" t="s">
        <v>285</v>
      </c>
      <c r="AB288" s="50" t="s">
        <v>285</v>
      </c>
      <c r="AC288" s="51" t="s">
        <v>285</v>
      </c>
      <c r="AD288" s="50" t="s">
        <v>285</v>
      </c>
      <c r="AE288" s="51" t="s">
        <v>285</v>
      </c>
      <c r="AF288" s="50" t="s">
        <v>285</v>
      </c>
      <c r="AG288" s="51" t="s">
        <v>285</v>
      </c>
    </row>
    <row r="289" spans="1:33" ht="6.75" customHeight="1" x14ac:dyDescent="0.25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976</v>
      </c>
      <c r="Y289" s="51" t="s">
        <v>959</v>
      </c>
      <c r="Z289" s="50" t="s">
        <v>285</v>
      </c>
      <c r="AA289" s="51" t="s">
        <v>285</v>
      </c>
      <c r="AB289" s="50" t="s">
        <v>285</v>
      </c>
      <c r="AC289" s="51" t="s">
        <v>285</v>
      </c>
      <c r="AD289" s="50" t="s">
        <v>285</v>
      </c>
      <c r="AE289" s="51" t="s">
        <v>285</v>
      </c>
      <c r="AF289" s="50" t="s">
        <v>285</v>
      </c>
      <c r="AG289" s="51" t="s">
        <v>285</v>
      </c>
    </row>
    <row r="290" spans="1:33" ht="6.75" customHeight="1" x14ac:dyDescent="0.25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976</v>
      </c>
      <c r="Y290" s="51" t="s">
        <v>959</v>
      </c>
      <c r="Z290" s="50" t="s">
        <v>285</v>
      </c>
      <c r="AA290" s="51" t="s">
        <v>285</v>
      </c>
      <c r="AB290" s="50" t="s">
        <v>285</v>
      </c>
      <c r="AC290" s="51" t="s">
        <v>285</v>
      </c>
      <c r="AD290" s="50" t="s">
        <v>285</v>
      </c>
      <c r="AE290" s="51" t="s">
        <v>285</v>
      </c>
      <c r="AF290" s="50" t="s">
        <v>285</v>
      </c>
      <c r="AG290" s="51" t="s">
        <v>285</v>
      </c>
    </row>
    <row r="291" spans="1:33" ht="6.75" customHeight="1" x14ac:dyDescent="0.25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976</v>
      </c>
      <c r="Y291" s="51" t="s">
        <v>959</v>
      </c>
      <c r="Z291" s="50" t="s">
        <v>285</v>
      </c>
      <c r="AA291" s="51" t="s">
        <v>285</v>
      </c>
      <c r="AB291" s="50" t="s">
        <v>285</v>
      </c>
      <c r="AC291" s="51" t="s">
        <v>285</v>
      </c>
      <c r="AD291" s="50" t="s">
        <v>285</v>
      </c>
      <c r="AE291" s="51" t="s">
        <v>285</v>
      </c>
      <c r="AF291" s="50" t="s">
        <v>285</v>
      </c>
      <c r="AG291" s="51" t="s">
        <v>285</v>
      </c>
    </row>
    <row r="292" spans="1:33" ht="6.75" customHeight="1" x14ac:dyDescent="0.25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976</v>
      </c>
      <c r="Y292" s="51" t="s">
        <v>959</v>
      </c>
      <c r="Z292" s="50" t="s">
        <v>285</v>
      </c>
      <c r="AA292" s="51" t="s">
        <v>285</v>
      </c>
      <c r="AB292" s="50" t="s">
        <v>285</v>
      </c>
      <c r="AC292" s="51" t="s">
        <v>285</v>
      </c>
      <c r="AD292" s="50" t="s">
        <v>285</v>
      </c>
      <c r="AE292" s="51" t="s">
        <v>285</v>
      </c>
      <c r="AF292" s="50" t="s">
        <v>285</v>
      </c>
      <c r="AG292" s="51" t="s">
        <v>285</v>
      </c>
    </row>
    <row r="293" spans="1:33" ht="6.75" customHeight="1" x14ac:dyDescent="0.25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976</v>
      </c>
      <c r="Y293" s="51" t="s">
        <v>959</v>
      </c>
      <c r="Z293" s="50" t="s">
        <v>285</v>
      </c>
      <c r="AA293" s="51" t="s">
        <v>285</v>
      </c>
      <c r="AB293" s="50" t="s">
        <v>285</v>
      </c>
      <c r="AC293" s="51" t="s">
        <v>285</v>
      </c>
      <c r="AD293" s="50" t="s">
        <v>285</v>
      </c>
      <c r="AE293" s="51" t="s">
        <v>285</v>
      </c>
      <c r="AF293" s="50" t="s">
        <v>285</v>
      </c>
      <c r="AG293" s="51" t="s">
        <v>285</v>
      </c>
    </row>
    <row r="294" spans="1:33" ht="6.75" customHeight="1" x14ac:dyDescent="0.25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976</v>
      </c>
      <c r="Y294" s="51" t="s">
        <v>959</v>
      </c>
      <c r="Z294" s="50" t="s">
        <v>285</v>
      </c>
      <c r="AA294" s="51" t="s">
        <v>285</v>
      </c>
      <c r="AB294" s="50" t="s">
        <v>285</v>
      </c>
      <c r="AC294" s="51" t="s">
        <v>285</v>
      </c>
      <c r="AD294" s="50" t="s">
        <v>285</v>
      </c>
      <c r="AE294" s="51" t="s">
        <v>285</v>
      </c>
      <c r="AF294" s="50" t="s">
        <v>285</v>
      </c>
      <c r="AG294" s="51" t="s">
        <v>285</v>
      </c>
    </row>
    <row r="295" spans="1:33" ht="6.75" customHeight="1" x14ac:dyDescent="0.25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976</v>
      </c>
      <c r="Y295" s="51" t="s">
        <v>959</v>
      </c>
      <c r="Z295" s="50" t="s">
        <v>285</v>
      </c>
      <c r="AA295" s="51" t="s">
        <v>285</v>
      </c>
      <c r="AB295" s="50" t="s">
        <v>285</v>
      </c>
      <c r="AC295" s="51" t="s">
        <v>285</v>
      </c>
      <c r="AD295" s="50" t="s">
        <v>285</v>
      </c>
      <c r="AE295" s="51" t="s">
        <v>285</v>
      </c>
      <c r="AF295" s="50" t="s">
        <v>285</v>
      </c>
      <c r="AG295" s="51" t="s">
        <v>285</v>
      </c>
    </row>
    <row r="296" spans="1:33" ht="6.75" customHeight="1" x14ac:dyDescent="0.25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976</v>
      </c>
      <c r="Y296" s="51" t="s">
        <v>959</v>
      </c>
      <c r="Z296" s="50" t="s">
        <v>285</v>
      </c>
      <c r="AA296" s="51" t="s">
        <v>285</v>
      </c>
      <c r="AB296" s="50" t="s">
        <v>285</v>
      </c>
      <c r="AC296" s="51" t="s">
        <v>285</v>
      </c>
      <c r="AD296" s="50" t="s">
        <v>285</v>
      </c>
      <c r="AE296" s="51" t="s">
        <v>285</v>
      </c>
      <c r="AF296" s="50" t="s">
        <v>285</v>
      </c>
      <c r="AG296" s="51" t="s">
        <v>285</v>
      </c>
    </row>
    <row r="297" spans="1:33" ht="6.75" customHeight="1" x14ac:dyDescent="0.25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976</v>
      </c>
      <c r="Y297" s="51" t="s">
        <v>959</v>
      </c>
      <c r="Z297" s="50" t="s">
        <v>285</v>
      </c>
      <c r="AA297" s="51" t="s">
        <v>285</v>
      </c>
      <c r="AB297" s="50" t="s">
        <v>285</v>
      </c>
      <c r="AC297" s="51" t="s">
        <v>285</v>
      </c>
      <c r="AD297" s="50" t="s">
        <v>285</v>
      </c>
      <c r="AE297" s="51" t="s">
        <v>285</v>
      </c>
      <c r="AF297" s="50" t="s">
        <v>285</v>
      </c>
      <c r="AG297" s="51" t="s">
        <v>285</v>
      </c>
    </row>
    <row r="298" spans="1:33" ht="6.75" customHeight="1" x14ac:dyDescent="0.25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976</v>
      </c>
      <c r="Y298" s="51" t="s">
        <v>959</v>
      </c>
      <c r="Z298" s="50" t="s">
        <v>285</v>
      </c>
      <c r="AA298" s="51" t="s">
        <v>285</v>
      </c>
      <c r="AB298" s="50" t="s">
        <v>285</v>
      </c>
      <c r="AC298" s="51" t="s">
        <v>285</v>
      </c>
      <c r="AD298" s="50" t="s">
        <v>285</v>
      </c>
      <c r="AE298" s="51" t="s">
        <v>285</v>
      </c>
      <c r="AF298" s="50" t="s">
        <v>285</v>
      </c>
      <c r="AG298" s="51" t="s">
        <v>285</v>
      </c>
    </row>
    <row r="299" spans="1:33" ht="6.75" customHeight="1" x14ac:dyDescent="0.25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976</v>
      </c>
      <c r="Y299" s="51" t="s">
        <v>959</v>
      </c>
      <c r="Z299" s="50" t="s">
        <v>285</v>
      </c>
      <c r="AA299" s="51" t="s">
        <v>285</v>
      </c>
      <c r="AB299" s="50" t="s">
        <v>285</v>
      </c>
      <c r="AC299" s="51" t="s">
        <v>285</v>
      </c>
      <c r="AD299" s="50" t="s">
        <v>285</v>
      </c>
      <c r="AE299" s="51" t="s">
        <v>285</v>
      </c>
      <c r="AF299" s="50" t="s">
        <v>285</v>
      </c>
      <c r="AG299" s="51" t="s">
        <v>285</v>
      </c>
    </row>
    <row r="300" spans="1:33" ht="6.75" customHeight="1" x14ac:dyDescent="0.25">
      <c r="A300" s="2">
        <v>300</v>
      </c>
      <c r="B300" s="3" t="s">
        <v>955</v>
      </c>
      <c r="C300" s="28" t="s">
        <v>968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969</v>
      </c>
      <c r="L300" s="32" t="s">
        <v>653</v>
      </c>
      <c r="M300" s="33" t="s">
        <v>961</v>
      </c>
      <c r="N300" s="35" t="s">
        <v>251</v>
      </c>
      <c r="O300" s="33" t="s">
        <v>964</v>
      </c>
      <c r="P300" s="69" t="str">
        <f t="shared" ref="P300:P304" si="0">IF(Q300="null", "null", "método.revit")</f>
        <v>método.revit</v>
      </c>
      <c r="Q300" s="70" t="s">
        <v>980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5">
      <c r="A301" s="2">
        <v>301</v>
      </c>
      <c r="B301" s="3" t="s">
        <v>956</v>
      </c>
      <c r="C301" s="28" t="s">
        <v>968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969</v>
      </c>
      <c r="L301" s="32" t="s">
        <v>653</v>
      </c>
      <c r="M301" s="33" t="s">
        <v>960</v>
      </c>
      <c r="N301" s="35" t="s">
        <v>251</v>
      </c>
      <c r="O301" s="33" t="s">
        <v>965</v>
      </c>
      <c r="P301" s="69" t="str">
        <f t="shared" si="0"/>
        <v>método.revit</v>
      </c>
      <c r="Q301" s="70" t="s">
        <v>981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5">
      <c r="A302" s="2">
        <v>302</v>
      </c>
      <c r="B302" s="3" t="s">
        <v>958</v>
      </c>
      <c r="C302" s="28" t="s">
        <v>968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969</v>
      </c>
      <c r="L302" s="32" t="s">
        <v>653</v>
      </c>
      <c r="M302" s="33" t="s">
        <v>962</v>
      </c>
      <c r="N302" s="35" t="s">
        <v>251</v>
      </c>
      <c r="O302" s="33" t="s">
        <v>966</v>
      </c>
      <c r="P302" s="69" t="str">
        <f t="shared" si="0"/>
        <v>método.revit</v>
      </c>
      <c r="Q302" s="70" t="s">
        <v>977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5">
      <c r="A303" s="2">
        <v>303</v>
      </c>
      <c r="B303" s="3" t="s">
        <v>957</v>
      </c>
      <c r="C303" s="28" t="s">
        <v>968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969</v>
      </c>
      <c r="L303" s="32" t="s">
        <v>653</v>
      </c>
      <c r="M303" s="33" t="s">
        <v>963</v>
      </c>
      <c r="N303" s="35" t="s">
        <v>251</v>
      </c>
      <c r="O303" s="33" t="s">
        <v>967</v>
      </c>
      <c r="P303" s="69" t="str">
        <f t="shared" si="0"/>
        <v>método.revit</v>
      </c>
      <c r="Q303" s="70" t="s">
        <v>978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5">
      <c r="A304" s="2">
        <v>304</v>
      </c>
      <c r="B304" s="3" t="s">
        <v>959</v>
      </c>
      <c r="C304" s="28" t="s">
        <v>968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969</v>
      </c>
      <c r="L304" s="32" t="s">
        <v>653</v>
      </c>
      <c r="M304" s="33" t="s">
        <v>850</v>
      </c>
      <c r="N304" s="35" t="s">
        <v>251</v>
      </c>
      <c r="O304" s="33" t="s">
        <v>954</v>
      </c>
      <c r="P304" s="69" t="str">
        <f t="shared" si="0"/>
        <v>método.revit</v>
      </c>
      <c r="Q304" s="70" t="s">
        <v>979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13" priority="29"/>
    <cfRule type="duplicateValues" dxfId="12" priority="30"/>
  </conditionalFormatting>
  <conditionalFormatting sqref="B300:B304">
    <cfRule type="duplicateValues" dxfId="11" priority="12"/>
    <cfRule type="duplicateValues" dxfId="10" priority="13"/>
  </conditionalFormatting>
  <conditionalFormatting sqref="I5">
    <cfRule type="cellIs" dxfId="9" priority="32" operator="equal">
      <formula>"null"</formula>
    </cfRule>
  </conditionalFormatting>
  <conditionalFormatting sqref="P2:W5">
    <cfRule type="cellIs" dxfId="8" priority="28" operator="equal">
      <formula>"null"</formula>
    </cfRule>
  </conditionalFormatting>
  <conditionalFormatting sqref="R300:W304">
    <cfRule type="cellIs" dxfId="7" priority="11" operator="equal">
      <formula>"null"</formula>
    </cfRule>
  </conditionalFormatting>
  <conditionalFormatting sqref="X1:Y1048576">
    <cfRule type="cellIs" dxfId="6" priority="1" operator="equal">
      <formula>"null"</formula>
    </cfRule>
  </conditionalFormatting>
  <conditionalFormatting sqref="Z1">
    <cfRule type="cellIs" dxfId="5" priority="9" operator="equal">
      <formula>"null"</formula>
    </cfRule>
  </conditionalFormatting>
  <conditionalFormatting sqref="Z1:AG1">
    <cfRule type="cellIs" dxfId="4" priority="10" operator="equal">
      <formula>"null"</formula>
    </cfRule>
  </conditionalFormatting>
  <conditionalFormatting sqref="Z2:AG304">
    <cfRule type="cellIs" dxfId="3" priority="2" operator="equal">
      <formula>"null"</formula>
    </cfRule>
  </conditionalFormatting>
  <conditionalFormatting sqref="AB1">
    <cfRule type="cellIs" dxfId="2" priority="8" operator="equal">
      <formula>"null"</formula>
    </cfRule>
  </conditionalFormatting>
  <conditionalFormatting sqref="AD1">
    <cfRule type="cellIs" dxfId="1" priority="7" operator="equal">
      <formula>"null"</formula>
    </cfRule>
  </conditionalFormatting>
  <conditionalFormatting sqref="AF1">
    <cfRule type="cellIs" dxfId="0" priority="6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2026-08-30T16:30:03Z</dcterms:modified>
</cp:coreProperties>
</file>