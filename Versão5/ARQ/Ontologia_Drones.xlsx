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ARQ\"/>
    </mc:Choice>
  </mc:AlternateContent>
  <xr:revisionPtr revIDLastSave="0" documentId="13_ncr:1_{992AFFD0-1846-4C2C-A889-50F8F0133D38}" xr6:coauthVersionLast="47" xr6:coauthVersionMax="47" xr10:uidLastSave="{00000000-0000-0000-0000-000000000000}"/>
  <bookViews>
    <workbookView xWindow="-120" yWindow="-120" windowWidth="24240" windowHeight="13290" tabRatio="527" activeTab="1" xr2:uid="{6AA21774-678E-47D1-B8DD-6444A2CEB00E}"/>
  </bookViews>
  <sheets>
    <sheet name="Projeto" sheetId="31" r:id="rId1"/>
    <sheet name="Classes" sheetId="39" r:id="rId2"/>
    <sheet name="Disjunt" sheetId="36" r:id="rId3"/>
    <sheet name="Interop" sheetId="37" r:id="rId4"/>
    <sheet name="FatosIn" sheetId="4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39" l="1"/>
  <c r="X15" i="39"/>
  <c r="X16" i="39"/>
  <c r="X17" i="39"/>
  <c r="X18" i="39"/>
  <c r="X19" i="39"/>
  <c r="X11" i="39" l="1"/>
  <c r="X12" i="39"/>
  <c r="X13" i="39"/>
  <c r="X2" i="39" l="1"/>
  <c r="V3" i="39"/>
  <c r="V4" i="39"/>
  <c r="V5" i="39"/>
  <c r="V6" i="39"/>
  <c r="V7" i="39"/>
  <c r="V8" i="39"/>
  <c r="V9" i="39"/>
  <c r="V10" i="39"/>
  <c r="V11" i="39"/>
  <c r="V12" i="39"/>
  <c r="V13" i="39"/>
  <c r="V14" i="39"/>
  <c r="U3" i="39"/>
  <c r="U4" i="39"/>
  <c r="U5" i="39"/>
  <c r="U6" i="39"/>
  <c r="U7" i="39"/>
  <c r="U8" i="39"/>
  <c r="U9" i="39"/>
  <c r="U10" i="39"/>
  <c r="U11" i="39"/>
  <c r="U12" i="39"/>
  <c r="U13" i="39"/>
  <c r="U14" i="39"/>
  <c r="T3" i="39"/>
  <c r="T4" i="39"/>
  <c r="T5" i="39"/>
  <c r="T6" i="39"/>
  <c r="T7" i="39"/>
  <c r="T8" i="39"/>
  <c r="T9" i="39"/>
  <c r="T10" i="39"/>
  <c r="T11" i="39"/>
  <c r="T12" i="39"/>
  <c r="T13" i="39"/>
  <c r="T14" i="39"/>
  <c r="O3" i="39"/>
  <c r="O4" i="39"/>
  <c r="O5" i="39"/>
  <c r="O6" i="39"/>
  <c r="O7" i="39"/>
  <c r="O8" i="39"/>
  <c r="O9" i="39"/>
  <c r="O10" i="39"/>
  <c r="O11" i="39"/>
  <c r="O12" i="39"/>
  <c r="O13" i="39"/>
  <c r="O14" i="39"/>
  <c r="N3" i="39"/>
  <c r="N4" i="39"/>
  <c r="N5" i="39"/>
  <c r="N6" i="39"/>
  <c r="N7" i="39"/>
  <c r="N8" i="39"/>
  <c r="N9" i="39"/>
  <c r="N10" i="39"/>
  <c r="N11" i="39"/>
  <c r="N12" i="39"/>
  <c r="N13" i="39"/>
  <c r="N14" i="39"/>
  <c r="M3" i="39"/>
  <c r="M4" i="39"/>
  <c r="M5" i="39"/>
  <c r="M6" i="39"/>
  <c r="M7" i="39"/>
  <c r="M8" i="39"/>
  <c r="M9" i="39"/>
  <c r="M10" i="39"/>
  <c r="M11" i="39"/>
  <c r="M12" i="39"/>
  <c r="M13" i="39"/>
  <c r="M14" i="39"/>
  <c r="L3" i="39"/>
  <c r="L4" i="39"/>
  <c r="L5" i="39"/>
  <c r="L6" i="39"/>
  <c r="L7" i="39"/>
  <c r="L8" i="39"/>
  <c r="L9" i="39"/>
  <c r="L10" i="39"/>
  <c r="L11" i="39"/>
  <c r="L12" i="39"/>
  <c r="L13" i="39"/>
  <c r="L14" i="39"/>
  <c r="T2" i="39"/>
  <c r="U2" i="39"/>
  <c r="V2" i="39"/>
  <c r="X3" i="39"/>
  <c r="X4" i="39"/>
  <c r="X5" i="39"/>
  <c r="X6" i="39"/>
  <c r="X7" i="39"/>
  <c r="X8" i="39"/>
  <c r="X9" i="39"/>
  <c r="X10" i="39"/>
  <c r="O2" i="39"/>
  <c r="N2" i="39"/>
  <c r="M2" i="39"/>
  <c r="L2" i="39"/>
  <c r="B24" i="31" l="1"/>
  <c r="B23" i="31" l="1"/>
  <c r="B18" i="31" l="1"/>
  <c r="B6" i="31" l="1"/>
  <c r="B5" i="31"/>
</calcChain>
</file>

<file path=xl/sharedStrings.xml><?xml version="1.0" encoding="utf-8"?>
<sst xmlns="http://schemas.openxmlformats.org/spreadsheetml/2006/main" count="1311" uniqueCount="267">
  <si>
    <t>Edição</t>
  </si>
  <si>
    <t>ISBN</t>
  </si>
  <si>
    <t>Valor</t>
  </si>
  <si>
    <t>Chave</t>
  </si>
  <si>
    <t>URI</t>
  </si>
  <si>
    <t>Autor</t>
  </si>
  <si>
    <t>RaizProp</t>
  </si>
  <si>
    <t>RaizClass</t>
  </si>
  <si>
    <t>RaizData</t>
  </si>
  <si>
    <t>null</t>
  </si>
  <si>
    <t>Observações</t>
  </si>
  <si>
    <t>Cidade</t>
  </si>
  <si>
    <t>-</t>
  </si>
  <si>
    <t>Classe</t>
  </si>
  <si>
    <t>OntologiaPrefixo</t>
  </si>
  <si>
    <t>OntologiaTema</t>
  </si>
  <si>
    <t>BIM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</si>
  <si>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</si>
  <si>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</si>
  <si>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</si>
  <si>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</si>
  <si>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</si>
  <si>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</si>
  <si>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</si>
  <si>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</si>
  <si>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Advertência1</t>
  </si>
  <si>
    <t>Prédio</t>
  </si>
  <si>
    <t>https://github.com/JLMenegotto/RepoOnto#</t>
  </si>
  <si>
    <t>Explicação</t>
  </si>
  <si>
    <t>Explicación</t>
  </si>
  <si>
    <t>0</t>
  </si>
  <si>
    <t>Natureza</t>
  </si>
  <si>
    <t>Disciplina</t>
  </si>
  <si>
    <t>Tema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</si>
  <si>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</si>
  <si>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</si>
  <si>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</si>
  <si>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</si>
  <si>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</si>
  <si>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</si>
  <si>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</si>
  <si>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</si>
  <si>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</si>
  <si>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</si>
  <si>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</si>
  <si>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</si>
  <si>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</si>
  <si>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</si>
  <si>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</si>
  <si>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</si>
  <si>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</si>
  <si>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</si>
  <si>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</si>
  <si>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</si>
  <si>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Key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</si>
  <si>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</si>
  <si>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</si>
  <si>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</si>
  <si>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</si>
  <si>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</si>
  <si>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</si>
  <si>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</si>
  <si>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</si>
  <si>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</si>
  <si>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</si>
  <si>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</si>
  <si>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</si>
  <si>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</si>
  <si>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</si>
  <si>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</si>
  <si>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</si>
  <si>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Interop</t>
  </si>
  <si>
    <t>Especie</t>
  </si>
  <si>
    <t>Equivalente a</t>
  </si>
  <si>
    <t>bim:</t>
  </si>
  <si>
    <t>Manutenção</t>
  </si>
  <si>
    <t>Voo.Autônomo</t>
  </si>
  <si>
    <t>Voo.Manual</t>
  </si>
  <si>
    <t>De.Campo</t>
  </si>
  <si>
    <t>Vistoria realizada em campo.</t>
  </si>
  <si>
    <t>Drone</t>
  </si>
  <si>
    <t>Voo manual de realizado com drone.</t>
  </si>
  <si>
    <t>Voo autônomo realizado com drone.</t>
  </si>
  <si>
    <t>Data</t>
  </si>
  <si>
    <t>Voo.Plano</t>
  </si>
  <si>
    <t>Plano de voo autônomo.</t>
  </si>
  <si>
    <t>Drones</t>
  </si>
  <si>
    <t>Classes e indivíduos de voos de manutenção com drones.</t>
  </si>
  <si>
    <t>Formalizar dados para realização de voos com drones.</t>
  </si>
  <si>
    <t>Manutenção predial</t>
  </si>
  <si>
    <t>CategoriaRvt</t>
  </si>
  <si>
    <t>ClasseIfc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</si>
  <si>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</si>
  <si>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</si>
  <si>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</si>
  <si>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</si>
  <si>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</si>
  <si>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</si>
  <si>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</si>
  <si>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Projeto</t>
  </si>
  <si>
    <t>[ 2Q.18.18 ]</t>
  </si>
  <si>
    <t>[ OST_Entourage ]</t>
  </si>
  <si>
    <t>[ IfcVehicle ]</t>
  </si>
  <si>
    <t>Drone.LIDAR</t>
  </si>
  <si>
    <t>Vistorias</t>
  </si>
  <si>
    <t>É uma aeronave tipo drone ou UAS padrão.</t>
  </si>
  <si>
    <t>De.Manutenção</t>
  </si>
  <si>
    <t>N°</t>
  </si>
  <si>
    <t>Indivíduo</t>
  </si>
  <si>
    <t>Fato</t>
  </si>
  <si>
    <t>Val</t>
  </si>
  <si>
    <t>url</t>
  </si>
  <si>
    <t>"http://ufrj//ct//vistorias//predio//"</t>
  </si>
  <si>
    <t>descrição</t>
  </si>
  <si>
    <t>é.data</t>
  </si>
  <si>
    <t>Data01</t>
  </si>
  <si>
    <t>é.pertencente.a</t>
  </si>
  <si>
    <t>categoria.revit</t>
  </si>
  <si>
    <t>classe.ifc</t>
  </si>
  <si>
    <t>código.abnt</t>
  </si>
  <si>
    <t>Data02</t>
  </si>
  <si>
    <t>BancoIma01</t>
  </si>
  <si>
    <t>"banco01"</t>
  </si>
  <si>
    <t>"É o banco de imagens de voo de manutenção predial"</t>
  </si>
  <si>
    <t>BancoIma02</t>
  </si>
  <si>
    <t>"banco02"</t>
  </si>
  <si>
    <t>DJI001</t>
  </si>
  <si>
    <t>modelo</t>
  </si>
  <si>
    <t>"Mavic 2 Pro"</t>
  </si>
  <si>
    <t>"É aparelho de drone modelo Mavic 2"</t>
  </si>
  <si>
    <t>"[ OST_Entourage ]"</t>
  </si>
  <si>
    <t>"[ IfcVehicle ]"</t>
  </si>
  <si>
    <t>"[ 2Q.18.18 ]"</t>
  </si>
  <si>
    <t>Plano_A</t>
  </si>
  <si>
    <t>é.drone</t>
  </si>
  <si>
    <t>"É um plano de voo de drone autônomo sobre o CT da UFRJ"</t>
  </si>
  <si>
    <t>Plano_B</t>
  </si>
  <si>
    <t>"É data de um voo de vistoria"</t>
  </si>
  <si>
    <t>data</t>
  </si>
  <si>
    <t>"09/08/2024"</t>
  </si>
  <si>
    <t>"30/03/2026"</t>
  </si>
  <si>
    <t>Voo1</t>
  </si>
  <si>
    <t>é.realizado.com</t>
  </si>
  <si>
    <t>é.plano.de.voo</t>
  </si>
  <si>
    <t>"É um voo de drone autônomo realizado sobre o CT da UFRJ"</t>
  </si>
  <si>
    <t>arquivo.kml</t>
  </si>
  <si>
    <t>"VG_CT_Principal_2024_CT_Eixos_E1_E1_2024_08_08_08_14.kml"</t>
  </si>
  <si>
    <t>Voo2</t>
  </si>
  <si>
    <t>"VG_CT_Principal_2024_CT_Telhado_A_A_2024_08_08_08_18.kml"</t>
  </si>
  <si>
    <t>Ope_CT_01</t>
  </si>
  <si>
    <t>Manutenção_01</t>
  </si>
  <si>
    <t>Manutenção_02</t>
  </si>
  <si>
    <t>"[ 0P.30.10.27 ]"</t>
  </si>
  <si>
    <t>"[ 5I.80.90.26.16 ]"</t>
  </si>
  <si>
    <t>Imagem.WayPoint</t>
  </si>
  <si>
    <t>Imagem fotográfica correspondente a um WayPoint.</t>
  </si>
  <si>
    <t>[ 5I.80.90.10.16 ]</t>
  </si>
  <si>
    <t>Foto.01.01</t>
  </si>
  <si>
    <t>Foto.01.02</t>
  </si>
  <si>
    <t>Foto.01.03</t>
  </si>
  <si>
    <t>Foto.01.04</t>
  </si>
  <si>
    <t>Foto.01.05</t>
  </si>
  <si>
    <t>Foto.01.06</t>
  </si>
  <si>
    <t>Foto.01.07</t>
  </si>
  <si>
    <t>Foto.01.08</t>
  </si>
  <si>
    <t>Foto.02.01</t>
  </si>
  <si>
    <t>Foto.02.02</t>
  </si>
  <si>
    <t>Foto.02.03</t>
  </si>
  <si>
    <t>Foto.02.04</t>
  </si>
  <si>
    <t>Foto.02.05</t>
  </si>
  <si>
    <t>Foto.02.06</t>
  </si>
  <si>
    <t>Foto.02.07</t>
  </si>
  <si>
    <t>Foto.02.08</t>
  </si>
  <si>
    <t>"É uma fotografia tomada na manutenção 2"</t>
  </si>
  <si>
    <t>"É uma fotografia tomada na manutenção 1"</t>
  </si>
  <si>
    <t>Imagem.Banco</t>
  </si>
  <si>
    <t>Imagens</t>
  </si>
  <si>
    <t>Banco de Imagens fotográficas correspondente a um Voo de Manutenção realizado.</t>
  </si>
  <si>
    <t>[ 5I.80.90.26.16 ]</t>
  </si>
  <si>
    <t>"[ 5I.80.90.10.16 ]"</t>
  </si>
  <si>
    <t>Video gravado durante um voo.</t>
  </si>
  <si>
    <t>É uma aeronave tipo drone ou UAS com dispositivo LIDAR (Light Detection and Ranging) incorporado.</t>
  </si>
  <si>
    <t>Vídeo.Voo</t>
  </si>
  <si>
    <t>Voo.Preditivo</t>
  </si>
  <si>
    <t>Voo.Corretivo</t>
  </si>
  <si>
    <t>Voo.Preventivo</t>
  </si>
  <si>
    <t xml:space="preserve">Voo de drone planejado para tomar ações corretivas de patologias. </t>
  </si>
  <si>
    <t xml:space="preserve">Voo de drone planejado para tomar ações de conservação dos sistemas prediais. </t>
  </si>
  <si>
    <t>"[ 5I.80.90.26.12 ]"</t>
  </si>
  <si>
    <t>Voo de drone planejado para prever futuras manutenções ou patologias.</t>
  </si>
  <si>
    <t>Conceitos</t>
  </si>
  <si>
    <t>Eventos</t>
  </si>
  <si>
    <t>Calendários</t>
  </si>
  <si>
    <t>Uma data no calendário para um evento que aconteceu ou acontecerá.</t>
  </si>
  <si>
    <t>Una fecha de calendario para un evento que sucedió o sucederá.</t>
  </si>
  <si>
    <t>"Operação de manutenção preventiva do Predio 01"</t>
  </si>
  <si>
    <t>De.Operação</t>
  </si>
  <si>
    <t>De.Tempo</t>
  </si>
  <si>
    <t>Preventivas</t>
  </si>
  <si>
    <t>Corretivas</t>
  </si>
  <si>
    <t>Preditivas</t>
  </si>
  <si>
    <t>Diagnósticas</t>
  </si>
  <si>
    <t>A calendar date for an event that happened or will happen.</t>
  </si>
  <si>
    <t>It is a standard drone-type aircraft or UAS.</t>
  </si>
  <si>
    <t>It is a drone-type aircraft or UAS with a built-in LIDAR (Light Detection and Ranging) device.</t>
  </si>
  <si>
    <t>Autonomous flight plan.</t>
  </si>
  <si>
    <t>Autonomous flight carried out with a drone.</t>
  </si>
  <si>
    <t>Manual flight carried out with drone.</t>
  </si>
  <si>
    <t>Inspection carried out in the field.</t>
  </si>
  <si>
    <t>Photographic Image Bank corresponding to a Maintenance Flight performed.</t>
  </si>
  <si>
    <t>Photographic image corresponding to a WayPoint.</t>
  </si>
  <si>
    <t>Video recorded during a flight.</t>
  </si>
  <si>
    <t>Drone flight planned to take conservation actions of building systems.</t>
  </si>
  <si>
    <t>Drone flight planned to take corrective actions for pathologies.</t>
  </si>
  <si>
    <t>Planned drone flight to predict future maintenance or pathologies.</t>
  </si>
  <si>
    <t>Es una aeronave estándar de tipo dron o UAS.</t>
  </si>
  <si>
    <t>Es una aeronave tipo dron o UAS con un dispositivo LIDAR (Detección y Alcance de Luz) incorporado.</t>
  </si>
  <si>
    <t>Plan de vuelo autónomo.</t>
  </si>
  <si>
    <t>Vuelo autónomo realizado con un dron.</t>
  </si>
  <si>
    <t>El vuelo manual se realiza con dron.</t>
  </si>
  <si>
    <t>Inspección realizada en el terreno.</t>
  </si>
  <si>
    <t>Banco de Imágenes Fotográficas correspondiente a un vuelo de mantenimiento realizado.</t>
  </si>
  <si>
    <t>Imagen fotográfica correspondiente a un WayPoint.</t>
  </si>
  <si>
    <t>Vídeo grabado durante un vuelo.</t>
  </si>
  <si>
    <t>El vuelo con drones planeó realizar acciones de conservación de los sistemas del edificio.</t>
  </si>
  <si>
    <t>El vuelo de drones planeó tomar medidas correctivas para patologías.</t>
  </si>
  <si>
    <t>Vuelo planificado con dron para predecir el mantenimiento futuro o patologías.</t>
  </si>
  <si>
    <t>Parâmetro Rvt</t>
  </si>
  <si>
    <t>Código ABNT</t>
  </si>
  <si>
    <t>Atributo Ifc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</si>
  <si>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</si>
  <si>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</si>
  <si>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</si>
  <si>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</si>
  <si>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</si>
  <si>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</si>
  <si>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</si>
  <si>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</si>
  <si>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</si>
  <si>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</si>
  <si>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</si>
  <si>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</si>
  <si>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</si>
  <si>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</si>
  <si>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</si>
  <si>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</si>
  <si>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</si>
  <si>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</si>
  <si>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</si>
  <si>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</si>
  <si>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</si>
  <si>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</si>
  <si>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</si>
  <si>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</si>
  <si>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</si>
  <si>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</si>
  <si>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</si>
  <si>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</si>
  <si>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</si>
  <si>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</si>
  <si>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</si>
  <si>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</si>
  <si>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API.Macros.Visuais</t>
  </si>
  <si>
    <t>API.Método.Visual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</si>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</sst>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6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7" fillId="0" borderId="0" xfId="0" applyFont="1"/>
    <xf numFmtId="0" fontId="7" fillId="7" borderId="1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vertical="center"/>
    </xf>
    <xf numFmtId="0" fontId="7" fillId="17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2" fillId="20" borderId="1" xfId="0" quotePrefix="1" applyFont="1" applyFill="1" applyBorder="1" applyAlignment="1">
      <alignment vertical="center"/>
    </xf>
    <xf numFmtId="0" fontId="7" fillId="20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2" fontId="7" fillId="20" borderId="1" xfId="0" applyNumberFormat="1" applyFont="1" applyFill="1" applyBorder="1" applyAlignment="1">
      <alignment horizontal="left" vertical="center"/>
    </xf>
    <xf numFmtId="14" fontId="7" fillId="20" borderId="1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3" fillId="2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vertical="center"/>
    </xf>
    <xf numFmtId="0" fontId="7" fillId="22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3" borderId="1" xfId="0" applyFont="1" applyFill="1" applyBorder="1" applyAlignment="1">
      <alignment horizontal="left" vertical="center"/>
    </xf>
    <xf numFmtId="0" fontId="7" fillId="23" borderId="3" xfId="0" applyFont="1" applyFill="1" applyBorder="1" applyAlignment="1">
      <alignment vertical="center"/>
    </xf>
    <xf numFmtId="0" fontId="7" fillId="23" borderId="3" xfId="0" applyFont="1" applyFill="1" applyBorder="1" applyAlignment="1">
      <alignment horizontal="left" vertical="center"/>
    </xf>
    <xf numFmtId="0" fontId="2" fillId="23" borderId="3" xfId="0" applyFont="1" applyFill="1" applyBorder="1" applyAlignment="1">
      <alignment vertical="center"/>
    </xf>
    <xf numFmtId="0" fontId="2" fillId="23" borderId="1" xfId="0" applyFont="1" applyFill="1" applyBorder="1" applyAlignment="1">
      <alignment horizontal="left" vertical="center"/>
    </xf>
    <xf numFmtId="0" fontId="7" fillId="23" borderId="1" xfId="0" applyFont="1" applyFill="1" applyBorder="1" applyAlignment="1">
      <alignment horizontal="left" vertical="center"/>
    </xf>
  </cellXfs>
  <cellStyles count="1">
    <cellStyle name="Normal" xfId="0" builtinId="0"/>
  </cellStyles>
  <dxfs count="19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24F-B8C4-4B86-9028-743FC73CDDB0}">
  <sheetPr codeName="Planilha1"/>
  <dimension ref="A1:C24"/>
  <sheetViews>
    <sheetView zoomScale="205" zoomScaleNormal="205" workbookViewId="0">
      <pane ySplit="1" topLeftCell="A2" activePane="bottomLeft" state="frozen"/>
      <selection pane="bottomLeft" activeCell="E13" sqref="E13"/>
    </sheetView>
  </sheetViews>
  <sheetFormatPr defaultColWidth="9.140625" defaultRowHeight="10.5" customHeight="1" x14ac:dyDescent="0.15"/>
  <cols>
    <col min="1" max="1" width="10.42578125" style="13" bestFit="1" customWidth="1"/>
    <col min="2" max="2" width="25.28515625" style="13" customWidth="1"/>
    <col min="3" max="3" width="3.42578125" style="28" bestFit="1" customWidth="1"/>
    <col min="4" max="16384" width="9.140625" style="13"/>
  </cols>
  <sheetData>
    <row r="1" spans="1:3" s="10" customFormat="1" ht="21.75" customHeight="1" x14ac:dyDescent="0.25">
      <c r="A1" s="1" t="s">
        <v>3</v>
      </c>
      <c r="B1" s="1" t="s">
        <v>2</v>
      </c>
      <c r="C1" s="26" t="s">
        <v>95</v>
      </c>
    </row>
    <row r="2" spans="1:3" ht="9" customHeight="1" x14ac:dyDescent="0.15">
      <c r="A2" s="2" t="s">
        <v>14</v>
      </c>
      <c r="B2" s="2" t="s">
        <v>74</v>
      </c>
      <c r="C2" s="27" t="s">
        <v>96</v>
      </c>
    </row>
    <row r="3" spans="1:3" ht="9" customHeight="1" x14ac:dyDescent="0.15">
      <c r="A3" s="2" t="s">
        <v>15</v>
      </c>
      <c r="B3" s="3" t="s">
        <v>86</v>
      </c>
      <c r="C3" s="27" t="s">
        <v>96</v>
      </c>
    </row>
    <row r="4" spans="1:3" ht="9" customHeight="1" x14ac:dyDescent="0.15">
      <c r="A4" s="2" t="s">
        <v>7</v>
      </c>
      <c r="B4" s="2" t="s">
        <v>16</v>
      </c>
      <c r="C4" s="27" t="s">
        <v>96</v>
      </c>
    </row>
    <row r="5" spans="1:3" ht="9" customHeight="1" x14ac:dyDescent="0.15">
      <c r="A5" s="2" t="s">
        <v>6</v>
      </c>
      <c r="B5" s="2" t="str">
        <f>_xlfn.CONCAT(B4,"Prop")</f>
        <v>BIMProp</v>
      </c>
      <c r="C5" s="27" t="s">
        <v>96</v>
      </c>
    </row>
    <row r="6" spans="1:3" ht="9" customHeight="1" x14ac:dyDescent="0.15">
      <c r="A6" s="2" t="s">
        <v>8</v>
      </c>
      <c r="B6" s="2" t="str">
        <f>_xlfn.CONCAT(B4,"Data")</f>
        <v>BIMData</v>
      </c>
      <c r="C6" s="27" t="s">
        <v>96</v>
      </c>
    </row>
    <row r="7" spans="1:3" ht="9" customHeight="1" x14ac:dyDescent="0.15">
      <c r="A7" s="2" t="s">
        <v>4</v>
      </c>
      <c r="B7" s="2" t="s">
        <v>27</v>
      </c>
      <c r="C7" s="27" t="s">
        <v>96</v>
      </c>
    </row>
    <row r="8" spans="1:3" s="25" customFormat="1" ht="8.25" customHeight="1" x14ac:dyDescent="0.25">
      <c r="A8" s="2" t="s">
        <v>5</v>
      </c>
      <c r="B8" s="2" t="s">
        <v>93</v>
      </c>
      <c r="C8" s="27" t="s">
        <v>96</v>
      </c>
    </row>
    <row r="9" spans="1:3" ht="9" customHeight="1" x14ac:dyDescent="0.15">
      <c r="A9" s="2" t="s">
        <v>17</v>
      </c>
      <c r="B9" s="2" t="s">
        <v>18</v>
      </c>
      <c r="C9" s="27" t="s">
        <v>96</v>
      </c>
    </row>
    <row r="10" spans="1:3" ht="9" customHeight="1" x14ac:dyDescent="0.15">
      <c r="A10" s="2" t="s">
        <v>19</v>
      </c>
      <c r="B10" s="2" t="s">
        <v>12</v>
      </c>
      <c r="C10" s="27" t="s">
        <v>96</v>
      </c>
    </row>
    <row r="11" spans="1:3" ht="9" customHeight="1" x14ac:dyDescent="0.15">
      <c r="A11" s="2" t="s">
        <v>0</v>
      </c>
      <c r="B11" s="2" t="s">
        <v>12</v>
      </c>
      <c r="C11" s="27" t="s">
        <v>96</v>
      </c>
    </row>
    <row r="12" spans="1:3" ht="9" customHeight="1" x14ac:dyDescent="0.15">
      <c r="A12" s="2" t="s">
        <v>1</v>
      </c>
      <c r="B12" s="2" t="s">
        <v>12</v>
      </c>
      <c r="C12" s="27" t="s">
        <v>96</v>
      </c>
    </row>
    <row r="13" spans="1:3" ht="9" customHeight="1" x14ac:dyDescent="0.15">
      <c r="A13" s="2" t="s">
        <v>20</v>
      </c>
      <c r="B13" s="2" t="s">
        <v>12</v>
      </c>
      <c r="C13" s="27" t="s">
        <v>96</v>
      </c>
    </row>
    <row r="14" spans="1:3" ht="9" customHeight="1" x14ac:dyDescent="0.15">
      <c r="A14" s="2" t="s">
        <v>21</v>
      </c>
      <c r="B14" s="2" t="s">
        <v>12</v>
      </c>
      <c r="C14" s="27" t="s">
        <v>96</v>
      </c>
    </row>
    <row r="15" spans="1:3" ht="9" customHeight="1" x14ac:dyDescent="0.15">
      <c r="A15" s="2" t="s">
        <v>22</v>
      </c>
      <c r="B15" s="2" t="s">
        <v>12</v>
      </c>
      <c r="C15" s="27" t="s">
        <v>96</v>
      </c>
    </row>
    <row r="16" spans="1:3" ht="9" customHeight="1" x14ac:dyDescent="0.15">
      <c r="A16" s="2" t="s">
        <v>23</v>
      </c>
      <c r="B16" s="2" t="s">
        <v>12</v>
      </c>
      <c r="C16" s="27" t="s">
        <v>96</v>
      </c>
    </row>
    <row r="17" spans="1:3" ht="9" customHeight="1" x14ac:dyDescent="0.15">
      <c r="A17" s="2" t="s">
        <v>10</v>
      </c>
      <c r="B17" s="4" t="s">
        <v>87</v>
      </c>
      <c r="C17" s="27" t="s">
        <v>96</v>
      </c>
    </row>
    <row r="18" spans="1:3" ht="9" customHeight="1" x14ac:dyDescent="0.15">
      <c r="A18" s="2" t="s">
        <v>24</v>
      </c>
      <c r="B18" s="5">
        <f ca="1">NOW()</f>
        <v>46273.517005208334</v>
      </c>
      <c r="C18" s="27" t="s">
        <v>96</v>
      </c>
    </row>
    <row r="19" spans="1:3" ht="9" customHeight="1" x14ac:dyDescent="0.15">
      <c r="A19" s="2" t="s">
        <v>25</v>
      </c>
      <c r="B19" s="2" t="s">
        <v>12</v>
      </c>
      <c r="C19" s="27" t="s">
        <v>96</v>
      </c>
    </row>
    <row r="20" spans="1:3" ht="9" customHeight="1" x14ac:dyDescent="0.15">
      <c r="A20" s="2" t="s">
        <v>26</v>
      </c>
      <c r="B20" s="2" t="s">
        <v>12</v>
      </c>
      <c r="C20" s="27" t="s">
        <v>96</v>
      </c>
    </row>
    <row r="21" spans="1:3" ht="9" customHeight="1" x14ac:dyDescent="0.15">
      <c r="A21" s="2" t="s">
        <v>11</v>
      </c>
      <c r="B21" s="2" t="s">
        <v>12</v>
      </c>
      <c r="C21" s="27" t="s">
        <v>96</v>
      </c>
    </row>
    <row r="22" spans="1:3" ht="10.5" customHeight="1" x14ac:dyDescent="0.15">
      <c r="A22" s="4" t="s">
        <v>28</v>
      </c>
      <c r="B22" s="6" t="s">
        <v>88</v>
      </c>
      <c r="C22" s="27" t="s">
        <v>96</v>
      </c>
    </row>
    <row r="23" spans="1:3" ht="10.5" customHeight="1" x14ac:dyDescent="0.15">
      <c r="A23" s="4" t="s">
        <v>29</v>
      </c>
      <c r="B23" s="6" t="str">
        <f>_xlfn.TRANSLATE(B22,"pt","es")</f>
        <v>Formalizar los datos de los vuelos de drones.</v>
      </c>
      <c r="C23" s="27" t="s">
        <v>97</v>
      </c>
    </row>
    <row r="24" spans="1:3" s="25" customFormat="1" ht="9.75" customHeight="1" x14ac:dyDescent="0.25">
      <c r="A24" s="4" t="s">
        <v>94</v>
      </c>
      <c r="B24" s="6" t="str">
        <f>_xlfn.TRANSLATE(B22,"pt","en")</f>
        <v>Formalize data for drone flights.</v>
      </c>
      <c r="C24" s="27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B721-29D9-4DD8-81B8-03CCB3CE3CCF}">
  <sheetPr codeName="Planilha2"/>
  <dimension ref="A1:AD19"/>
  <sheetViews>
    <sheetView tabSelected="1" zoomScale="205" zoomScaleNormal="205" workbookViewId="0">
      <pane ySplit="1" topLeftCell="A2" activePane="bottomLeft" state="frozen"/>
      <selection pane="bottomLeft" activeCell="W15" sqref="W15"/>
    </sheetView>
  </sheetViews>
  <sheetFormatPr defaultColWidth="9.140625" defaultRowHeight="8.4499999999999993" customHeight="1" x14ac:dyDescent="0.25"/>
  <cols>
    <col min="1" max="1" width="2.42578125" bestFit="1" customWidth="1"/>
    <col min="2" max="2" width="6.28515625" style="31" bestFit="1" customWidth="1"/>
    <col min="3" max="3" width="7.140625" style="31" customWidth="1"/>
    <col min="4" max="4" width="8.85546875" style="31" customWidth="1"/>
    <col min="5" max="6" width="8.42578125" style="31" customWidth="1"/>
    <col min="7" max="11" width="10.140625" style="31" bestFit="1" customWidth="1"/>
    <col min="12" max="12" width="9" style="31" bestFit="1" customWidth="1"/>
    <col min="13" max="13" width="7.7109375" style="31" bestFit="1" customWidth="1"/>
    <col min="14" max="14" width="7.140625" style="31" bestFit="1" customWidth="1"/>
    <col min="15" max="15" width="10.140625" style="31" bestFit="1" customWidth="1"/>
    <col min="16" max="16" width="43.42578125" style="31" customWidth="1"/>
    <col min="17" max="17" width="42.42578125" style="31" customWidth="1"/>
    <col min="18" max="18" width="37.85546875" style="31" customWidth="1"/>
    <col min="19" max="19" width="4.28515625" style="65" bestFit="1" customWidth="1"/>
    <col min="20" max="20" width="9" style="31" bestFit="1" customWidth="1"/>
    <col min="21" max="21" width="9.28515625" style="31" customWidth="1"/>
    <col min="22" max="22" width="9.5703125" style="31" bestFit="1" customWidth="1"/>
    <col min="23" max="23" width="11.140625" style="31" bestFit="1" customWidth="1"/>
    <col min="24" max="24" width="7.28515625" style="31" bestFit="1" customWidth="1"/>
    <col min="25" max="25" width="10.7109375" style="31" bestFit="1" customWidth="1"/>
    <col min="26" max="26" width="7.7109375" style="31" bestFit="1" customWidth="1"/>
    <col min="27" max="27" width="7.42578125" style="31" bestFit="1" customWidth="1"/>
    <col min="28" max="28" width="9" style="31" bestFit="1" customWidth="1"/>
    <col min="29" max="29" width="9.85546875" style="31" bestFit="1" customWidth="1"/>
    <col min="30" max="30" width="9" style="31" bestFit="1" customWidth="1"/>
    <col min="31" max="16384" width="9.140625" style="31"/>
  </cols>
  <sheetData>
    <row r="1" spans="1:30" ht="40.15" customHeight="1" x14ac:dyDescent="0.25">
      <c r="A1" s="18" t="s">
        <v>30</v>
      </c>
      <c r="B1" s="33" t="s">
        <v>55</v>
      </c>
      <c r="C1" s="33" t="s">
        <v>56</v>
      </c>
      <c r="D1" s="33" t="s">
        <v>57</v>
      </c>
      <c r="E1" s="33" t="s">
        <v>58</v>
      </c>
      <c r="F1" s="33" t="s">
        <v>59</v>
      </c>
      <c r="G1" s="20" t="s">
        <v>60</v>
      </c>
      <c r="H1" s="20" t="s">
        <v>61</v>
      </c>
      <c r="I1" s="20" t="s">
        <v>62</v>
      </c>
      <c r="J1" s="20" t="s">
        <v>63</v>
      </c>
      <c r="K1" s="20" t="s">
        <v>64</v>
      </c>
      <c r="L1" s="19" t="s">
        <v>65</v>
      </c>
      <c r="M1" s="19" t="s">
        <v>66</v>
      </c>
      <c r="N1" s="19" t="s">
        <v>67</v>
      </c>
      <c r="O1" s="19" t="s">
        <v>68</v>
      </c>
      <c r="P1" s="19" t="s">
        <v>69</v>
      </c>
      <c r="Q1" s="19" t="s">
        <v>70</v>
      </c>
      <c r="R1" s="23" t="s">
        <v>92</v>
      </c>
      <c r="S1" s="64" t="s">
        <v>71</v>
      </c>
      <c r="T1" s="19" t="s">
        <v>31</v>
      </c>
      <c r="U1" s="19" t="s">
        <v>72</v>
      </c>
      <c r="V1" s="19" t="s">
        <v>33</v>
      </c>
      <c r="W1" s="19" t="s">
        <v>32</v>
      </c>
      <c r="X1" s="29" t="s">
        <v>54</v>
      </c>
      <c r="Y1" s="19" t="s">
        <v>90</v>
      </c>
      <c r="Z1" s="19" t="s">
        <v>227</v>
      </c>
      <c r="AA1" s="19" t="s">
        <v>91</v>
      </c>
      <c r="AB1" s="19" t="s">
        <v>229</v>
      </c>
      <c r="AC1" s="19" t="s">
        <v>228</v>
      </c>
      <c r="AD1" s="19" t="s">
        <v>250</v>
      </c>
    </row>
    <row r="2" spans="1:30" customFormat="1" ht="6" customHeight="1" x14ac:dyDescent="0.25">
      <c r="A2" s="35">
        <v>2</v>
      </c>
      <c r="B2" s="66" t="s">
        <v>190</v>
      </c>
      <c r="C2" s="67" t="s">
        <v>197</v>
      </c>
      <c r="D2" s="67" t="s">
        <v>191</v>
      </c>
      <c r="E2" s="68" t="s">
        <v>192</v>
      </c>
      <c r="F2" s="69" t="s">
        <v>83</v>
      </c>
      <c r="G2" s="57" t="s">
        <v>9</v>
      </c>
      <c r="H2" s="57" t="s">
        <v>9</v>
      </c>
      <c r="I2" s="57" t="s">
        <v>9</v>
      </c>
      <c r="J2" s="57" t="s">
        <v>9</v>
      </c>
      <c r="K2" s="57" t="s">
        <v>9</v>
      </c>
      <c r="L2" s="58" t="str">
        <f t="shared" ref="L2:L14" si="0">_xlfn.CONCAT(C2)</f>
        <v>De.Tempo</v>
      </c>
      <c r="M2" s="58" t="str">
        <f t="shared" ref="M2:O14" si="1">_xlfn.CONCAT("", D2)</f>
        <v>Eventos</v>
      </c>
      <c r="N2" s="58" t="str">
        <f t="shared" si="1"/>
        <v>Calendários</v>
      </c>
      <c r="O2" s="58" t="str">
        <f t="shared" si="1"/>
        <v>Data</v>
      </c>
      <c r="P2" s="58" t="s">
        <v>193</v>
      </c>
      <c r="Q2" s="58" t="s">
        <v>194</v>
      </c>
      <c r="R2" s="24" t="s">
        <v>202</v>
      </c>
      <c r="S2" s="62" t="s">
        <v>9</v>
      </c>
      <c r="T2" s="24" t="str">
        <f t="shared" ref="T2:V17" si="2">SUBSTITUTE(C2, ".", " ")</f>
        <v>De Tempo</v>
      </c>
      <c r="U2" s="24" t="str">
        <f t="shared" si="2"/>
        <v>Eventos</v>
      </c>
      <c r="V2" s="24" t="str">
        <f t="shared" si="2"/>
        <v>Calendários</v>
      </c>
      <c r="W2" s="34" t="s">
        <v>89</v>
      </c>
      <c r="X2" s="30" t="str">
        <f>CONCATENATE("Key-UAS-",A2)</f>
        <v>Key-UAS-2</v>
      </c>
      <c r="Y2" s="24" t="s">
        <v>9</v>
      </c>
      <c r="Z2" s="61" t="s">
        <v>9</v>
      </c>
      <c r="AA2" s="24" t="s">
        <v>9</v>
      </c>
      <c r="AB2" s="61" t="s">
        <v>9</v>
      </c>
      <c r="AC2" s="24" t="s">
        <v>9</v>
      </c>
      <c r="AD2" s="61" t="s">
        <v>9</v>
      </c>
    </row>
    <row r="3" spans="1:30" ht="6.75" customHeight="1" x14ac:dyDescent="0.25">
      <c r="A3" s="35">
        <v>3</v>
      </c>
      <c r="B3" s="66" t="s">
        <v>190</v>
      </c>
      <c r="C3" s="70" t="s">
        <v>196</v>
      </c>
      <c r="D3" s="70" t="s">
        <v>75</v>
      </c>
      <c r="E3" s="70" t="s">
        <v>104</v>
      </c>
      <c r="F3" s="70" t="s">
        <v>80</v>
      </c>
      <c r="G3" s="32" t="s">
        <v>9</v>
      </c>
      <c r="H3" s="32" t="s">
        <v>9</v>
      </c>
      <c r="I3" s="32" t="s">
        <v>9</v>
      </c>
      <c r="J3" s="32" t="s">
        <v>9</v>
      </c>
      <c r="K3" s="32" t="s">
        <v>9</v>
      </c>
      <c r="L3" s="58" t="str">
        <f t="shared" si="0"/>
        <v>De.Operação</v>
      </c>
      <c r="M3" s="58" t="str">
        <f t="shared" si="1"/>
        <v>Manutenção</v>
      </c>
      <c r="N3" s="58" t="str">
        <f t="shared" si="1"/>
        <v>Vistorias</v>
      </c>
      <c r="O3" s="58" t="str">
        <f t="shared" si="1"/>
        <v>Drone</v>
      </c>
      <c r="P3" s="34" t="s">
        <v>105</v>
      </c>
      <c r="Q3" s="24" t="s">
        <v>215</v>
      </c>
      <c r="R3" s="24" t="s">
        <v>203</v>
      </c>
      <c r="S3" s="62" t="s">
        <v>9</v>
      </c>
      <c r="T3" s="24" t="str">
        <f t="shared" si="2"/>
        <v>De Operação</v>
      </c>
      <c r="U3" s="24" t="str">
        <f t="shared" si="2"/>
        <v>Manutenção</v>
      </c>
      <c r="V3" s="24" t="str">
        <f t="shared" si="2"/>
        <v>Vistorias</v>
      </c>
      <c r="W3" s="34" t="s">
        <v>89</v>
      </c>
      <c r="X3" s="30" t="str">
        <f t="shared" ref="X3:X19" si="3">CONCATENATE("Key-UAS-",A3)</f>
        <v>Key-UAS-3</v>
      </c>
      <c r="Y3" s="24" t="s">
        <v>101</v>
      </c>
      <c r="Z3" s="61" t="s">
        <v>9</v>
      </c>
      <c r="AA3" s="24" t="s">
        <v>102</v>
      </c>
      <c r="AB3" s="61" t="s">
        <v>9</v>
      </c>
      <c r="AC3" s="24" t="s">
        <v>100</v>
      </c>
      <c r="AD3" s="61" t="s">
        <v>9</v>
      </c>
    </row>
    <row r="4" spans="1:30" ht="6.75" customHeight="1" x14ac:dyDescent="0.25">
      <c r="A4" s="35">
        <v>4</v>
      </c>
      <c r="B4" s="66" t="s">
        <v>190</v>
      </c>
      <c r="C4" s="70" t="s">
        <v>196</v>
      </c>
      <c r="D4" s="70" t="s">
        <v>75</v>
      </c>
      <c r="E4" s="70" t="s">
        <v>104</v>
      </c>
      <c r="F4" s="70" t="s">
        <v>103</v>
      </c>
      <c r="G4" s="32" t="s">
        <v>9</v>
      </c>
      <c r="H4" s="32" t="s">
        <v>9</v>
      </c>
      <c r="I4" s="32" t="s">
        <v>9</v>
      </c>
      <c r="J4" s="32" t="s">
        <v>9</v>
      </c>
      <c r="K4" s="32" t="s">
        <v>9</v>
      </c>
      <c r="L4" s="58" t="str">
        <f t="shared" si="0"/>
        <v>De.Operação</v>
      </c>
      <c r="M4" s="58" t="str">
        <f t="shared" si="1"/>
        <v>Manutenção</v>
      </c>
      <c r="N4" s="58" t="str">
        <f t="shared" si="1"/>
        <v>Vistorias</v>
      </c>
      <c r="O4" s="58" t="str">
        <f t="shared" si="1"/>
        <v>Drone.LIDAR</v>
      </c>
      <c r="P4" s="34" t="s">
        <v>181</v>
      </c>
      <c r="Q4" s="24" t="s">
        <v>216</v>
      </c>
      <c r="R4" s="24" t="s">
        <v>204</v>
      </c>
      <c r="S4" s="62" t="s">
        <v>9</v>
      </c>
      <c r="T4" s="24" t="str">
        <f t="shared" si="2"/>
        <v>De Operação</v>
      </c>
      <c r="U4" s="24" t="str">
        <f t="shared" si="2"/>
        <v>Manutenção</v>
      </c>
      <c r="V4" s="24" t="str">
        <f t="shared" si="2"/>
        <v>Vistorias</v>
      </c>
      <c r="W4" s="34" t="s">
        <v>89</v>
      </c>
      <c r="X4" s="30" t="str">
        <f t="shared" si="3"/>
        <v>Key-UAS-4</v>
      </c>
      <c r="Y4" s="24" t="s">
        <v>101</v>
      </c>
      <c r="Z4" s="61" t="s">
        <v>9</v>
      </c>
      <c r="AA4" s="24" t="s">
        <v>102</v>
      </c>
      <c r="AB4" s="61" t="s">
        <v>9</v>
      </c>
      <c r="AC4" s="24" t="s">
        <v>100</v>
      </c>
      <c r="AD4" s="61" t="s">
        <v>9</v>
      </c>
    </row>
    <row r="5" spans="1:30" ht="6.75" customHeight="1" x14ac:dyDescent="0.25">
      <c r="A5" s="35">
        <v>5</v>
      </c>
      <c r="B5" s="66" t="s">
        <v>190</v>
      </c>
      <c r="C5" s="70" t="s">
        <v>196</v>
      </c>
      <c r="D5" s="70" t="s">
        <v>75</v>
      </c>
      <c r="E5" s="70" t="s">
        <v>104</v>
      </c>
      <c r="F5" s="70" t="s">
        <v>84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58" t="str">
        <f t="shared" si="0"/>
        <v>De.Operação</v>
      </c>
      <c r="M5" s="58" t="str">
        <f t="shared" si="1"/>
        <v>Manutenção</v>
      </c>
      <c r="N5" s="58" t="str">
        <f t="shared" si="1"/>
        <v>Vistorias</v>
      </c>
      <c r="O5" s="58" t="str">
        <f t="shared" si="1"/>
        <v>Voo.Plano</v>
      </c>
      <c r="P5" s="34" t="s">
        <v>85</v>
      </c>
      <c r="Q5" s="24" t="s">
        <v>217</v>
      </c>
      <c r="R5" s="24" t="s">
        <v>205</v>
      </c>
      <c r="S5" s="62" t="s">
        <v>9</v>
      </c>
      <c r="T5" s="24" t="str">
        <f t="shared" si="2"/>
        <v>De Operação</v>
      </c>
      <c r="U5" s="24" t="str">
        <f t="shared" si="2"/>
        <v>Manutenção</v>
      </c>
      <c r="V5" s="24" t="str">
        <f t="shared" si="2"/>
        <v>Vistorias</v>
      </c>
      <c r="W5" s="34" t="s">
        <v>89</v>
      </c>
      <c r="X5" s="30" t="str">
        <f t="shared" si="3"/>
        <v>Key-UAS-5</v>
      </c>
      <c r="Y5" s="24" t="s">
        <v>9</v>
      </c>
      <c r="Z5" s="61" t="s">
        <v>9</v>
      </c>
      <c r="AA5" s="24" t="s">
        <v>9</v>
      </c>
      <c r="AB5" s="61" t="s">
        <v>9</v>
      </c>
      <c r="AC5" s="24" t="s">
        <v>9</v>
      </c>
      <c r="AD5" s="61" t="s">
        <v>9</v>
      </c>
    </row>
    <row r="6" spans="1:30" ht="6.75" customHeight="1" x14ac:dyDescent="0.25">
      <c r="A6" s="35">
        <v>6</v>
      </c>
      <c r="B6" s="66" t="s">
        <v>190</v>
      </c>
      <c r="C6" s="70" t="s">
        <v>196</v>
      </c>
      <c r="D6" s="70" t="s">
        <v>75</v>
      </c>
      <c r="E6" s="70" t="s">
        <v>104</v>
      </c>
      <c r="F6" s="70" t="s">
        <v>76</v>
      </c>
      <c r="G6" s="32" t="s">
        <v>9</v>
      </c>
      <c r="H6" s="32" t="s">
        <v>9</v>
      </c>
      <c r="I6" s="32" t="s">
        <v>9</v>
      </c>
      <c r="J6" s="32" t="s">
        <v>9</v>
      </c>
      <c r="K6" s="32" t="s">
        <v>9</v>
      </c>
      <c r="L6" s="58" t="str">
        <f t="shared" si="0"/>
        <v>De.Operação</v>
      </c>
      <c r="M6" s="58" t="str">
        <f t="shared" si="1"/>
        <v>Manutenção</v>
      </c>
      <c r="N6" s="58" t="str">
        <f t="shared" si="1"/>
        <v>Vistorias</v>
      </c>
      <c r="O6" s="58" t="str">
        <f t="shared" si="1"/>
        <v>Voo.Autônomo</v>
      </c>
      <c r="P6" s="34" t="s">
        <v>82</v>
      </c>
      <c r="Q6" s="24" t="s">
        <v>218</v>
      </c>
      <c r="R6" s="24" t="s">
        <v>206</v>
      </c>
      <c r="S6" s="62" t="s">
        <v>9</v>
      </c>
      <c r="T6" s="24" t="str">
        <f t="shared" si="2"/>
        <v>De Operação</v>
      </c>
      <c r="U6" s="24" t="str">
        <f t="shared" si="2"/>
        <v>Manutenção</v>
      </c>
      <c r="V6" s="24" t="str">
        <f t="shared" si="2"/>
        <v>Vistorias</v>
      </c>
      <c r="W6" s="34" t="s">
        <v>89</v>
      </c>
      <c r="X6" s="30" t="str">
        <f t="shared" si="3"/>
        <v>Key-UAS-6</v>
      </c>
      <c r="Y6" s="24" t="s">
        <v>9</v>
      </c>
      <c r="Z6" s="61" t="s">
        <v>9</v>
      </c>
      <c r="AA6" s="24" t="s">
        <v>9</v>
      </c>
      <c r="AB6" s="61" t="s">
        <v>9</v>
      </c>
      <c r="AC6" s="24" t="s">
        <v>9</v>
      </c>
      <c r="AD6" s="61" t="s">
        <v>9</v>
      </c>
    </row>
    <row r="7" spans="1:30" ht="6.75" customHeight="1" x14ac:dyDescent="0.25">
      <c r="A7" s="35">
        <v>7</v>
      </c>
      <c r="B7" s="66" t="s">
        <v>190</v>
      </c>
      <c r="C7" s="70" t="s">
        <v>196</v>
      </c>
      <c r="D7" s="70" t="s">
        <v>75</v>
      </c>
      <c r="E7" s="70" t="s">
        <v>104</v>
      </c>
      <c r="F7" s="70" t="s">
        <v>77</v>
      </c>
      <c r="G7" s="32" t="s">
        <v>9</v>
      </c>
      <c r="H7" s="32" t="s">
        <v>9</v>
      </c>
      <c r="I7" s="32" t="s">
        <v>9</v>
      </c>
      <c r="J7" s="32" t="s">
        <v>9</v>
      </c>
      <c r="K7" s="32" t="s">
        <v>9</v>
      </c>
      <c r="L7" s="58" t="str">
        <f t="shared" si="0"/>
        <v>De.Operação</v>
      </c>
      <c r="M7" s="58" t="str">
        <f t="shared" si="1"/>
        <v>Manutenção</v>
      </c>
      <c r="N7" s="58" t="str">
        <f t="shared" si="1"/>
        <v>Vistorias</v>
      </c>
      <c r="O7" s="58" t="str">
        <f t="shared" si="1"/>
        <v>Voo.Manual</v>
      </c>
      <c r="P7" s="34" t="s">
        <v>81</v>
      </c>
      <c r="Q7" s="24" t="s">
        <v>219</v>
      </c>
      <c r="R7" s="24" t="s">
        <v>207</v>
      </c>
      <c r="S7" s="62" t="s">
        <v>9</v>
      </c>
      <c r="T7" s="24" t="str">
        <f t="shared" si="2"/>
        <v>De Operação</v>
      </c>
      <c r="U7" s="24" t="str">
        <f t="shared" si="2"/>
        <v>Manutenção</v>
      </c>
      <c r="V7" s="24" t="str">
        <f t="shared" si="2"/>
        <v>Vistorias</v>
      </c>
      <c r="W7" s="34" t="s">
        <v>89</v>
      </c>
      <c r="X7" s="30" t="str">
        <f t="shared" si="3"/>
        <v>Key-UAS-7</v>
      </c>
      <c r="Y7" s="24" t="s">
        <v>9</v>
      </c>
      <c r="Z7" s="61" t="s">
        <v>9</v>
      </c>
      <c r="AA7" s="24" t="s">
        <v>9</v>
      </c>
      <c r="AB7" s="61" t="s">
        <v>9</v>
      </c>
      <c r="AC7" s="24" t="s">
        <v>9</v>
      </c>
      <c r="AD7" s="61" t="s">
        <v>9</v>
      </c>
    </row>
    <row r="8" spans="1:30" ht="6.75" customHeight="1" x14ac:dyDescent="0.25">
      <c r="A8" s="35">
        <v>8</v>
      </c>
      <c r="B8" s="66" t="s">
        <v>190</v>
      </c>
      <c r="C8" s="70" t="s">
        <v>196</v>
      </c>
      <c r="D8" s="70" t="s">
        <v>75</v>
      </c>
      <c r="E8" s="70" t="s">
        <v>104</v>
      </c>
      <c r="F8" s="70" t="s">
        <v>78</v>
      </c>
      <c r="G8" s="32" t="s">
        <v>9</v>
      </c>
      <c r="H8" s="32" t="s">
        <v>9</v>
      </c>
      <c r="I8" s="32" t="s">
        <v>9</v>
      </c>
      <c r="J8" s="32" t="s">
        <v>9</v>
      </c>
      <c r="K8" s="32" t="s">
        <v>9</v>
      </c>
      <c r="L8" s="58" t="str">
        <f t="shared" si="0"/>
        <v>De.Operação</v>
      </c>
      <c r="M8" s="58" t="str">
        <f t="shared" si="1"/>
        <v>Manutenção</v>
      </c>
      <c r="N8" s="58" t="str">
        <f t="shared" si="1"/>
        <v>Vistorias</v>
      </c>
      <c r="O8" s="58" t="str">
        <f t="shared" si="1"/>
        <v>De.Campo</v>
      </c>
      <c r="P8" s="34" t="s">
        <v>79</v>
      </c>
      <c r="Q8" s="24" t="s">
        <v>220</v>
      </c>
      <c r="R8" s="24" t="s">
        <v>208</v>
      </c>
      <c r="S8" s="62" t="s">
        <v>9</v>
      </c>
      <c r="T8" s="24" t="str">
        <f t="shared" si="2"/>
        <v>De Operação</v>
      </c>
      <c r="U8" s="24" t="str">
        <f t="shared" si="2"/>
        <v>Manutenção</v>
      </c>
      <c r="V8" s="24" t="str">
        <f t="shared" si="2"/>
        <v>Vistorias</v>
      </c>
      <c r="W8" s="34" t="s">
        <v>89</v>
      </c>
      <c r="X8" s="30" t="str">
        <f t="shared" si="3"/>
        <v>Key-UAS-8</v>
      </c>
      <c r="Y8" s="24" t="s">
        <v>9</v>
      </c>
      <c r="Z8" s="61" t="s">
        <v>9</v>
      </c>
      <c r="AA8" s="24" t="s">
        <v>9</v>
      </c>
      <c r="AB8" s="61" t="s">
        <v>9</v>
      </c>
      <c r="AC8" s="24" t="s">
        <v>9</v>
      </c>
      <c r="AD8" s="61" t="s">
        <v>9</v>
      </c>
    </row>
    <row r="9" spans="1:30" ht="6.75" customHeight="1" x14ac:dyDescent="0.25">
      <c r="A9" s="35">
        <v>9</v>
      </c>
      <c r="B9" s="66" t="s">
        <v>190</v>
      </c>
      <c r="C9" s="70" t="s">
        <v>196</v>
      </c>
      <c r="D9" s="70" t="s">
        <v>75</v>
      </c>
      <c r="E9" s="70" t="s">
        <v>176</v>
      </c>
      <c r="F9" s="70" t="s">
        <v>175</v>
      </c>
      <c r="G9" s="32" t="s">
        <v>9</v>
      </c>
      <c r="H9" s="32" t="s">
        <v>9</v>
      </c>
      <c r="I9" s="32" t="s">
        <v>9</v>
      </c>
      <c r="J9" s="32" t="s">
        <v>9</v>
      </c>
      <c r="K9" s="32" t="s">
        <v>9</v>
      </c>
      <c r="L9" s="58" t="str">
        <f t="shared" si="0"/>
        <v>De.Operação</v>
      </c>
      <c r="M9" s="58" t="str">
        <f t="shared" si="1"/>
        <v>Manutenção</v>
      </c>
      <c r="N9" s="58" t="str">
        <f t="shared" si="1"/>
        <v>Imagens</v>
      </c>
      <c r="O9" s="58" t="str">
        <f t="shared" si="1"/>
        <v>Imagem.Banco</v>
      </c>
      <c r="P9" s="34" t="s">
        <v>177</v>
      </c>
      <c r="Q9" s="24" t="s">
        <v>221</v>
      </c>
      <c r="R9" s="24" t="s">
        <v>209</v>
      </c>
      <c r="S9" s="62" t="s">
        <v>9</v>
      </c>
      <c r="T9" s="24" t="str">
        <f t="shared" si="2"/>
        <v>De Operação</v>
      </c>
      <c r="U9" s="24" t="str">
        <f t="shared" si="2"/>
        <v>Manutenção</v>
      </c>
      <c r="V9" s="24" t="str">
        <f t="shared" si="2"/>
        <v>Imagens</v>
      </c>
      <c r="W9" s="34" t="s">
        <v>89</v>
      </c>
      <c r="X9" s="30" t="str">
        <f t="shared" si="3"/>
        <v>Key-UAS-9</v>
      </c>
      <c r="Y9" s="24" t="s">
        <v>9</v>
      </c>
      <c r="Z9" s="61" t="s">
        <v>9</v>
      </c>
      <c r="AA9" s="24" t="s">
        <v>9</v>
      </c>
      <c r="AB9" s="61" t="s">
        <v>9</v>
      </c>
      <c r="AC9" s="24" t="s">
        <v>178</v>
      </c>
      <c r="AD9" s="61" t="s">
        <v>9</v>
      </c>
    </row>
    <row r="10" spans="1:30" ht="6.75" customHeight="1" x14ac:dyDescent="0.25">
      <c r="A10" s="35">
        <v>10</v>
      </c>
      <c r="B10" s="66" t="s">
        <v>190</v>
      </c>
      <c r="C10" s="70" t="s">
        <v>196</v>
      </c>
      <c r="D10" s="70" t="s">
        <v>75</v>
      </c>
      <c r="E10" s="70" t="s">
        <v>176</v>
      </c>
      <c r="F10" s="70" t="s">
        <v>154</v>
      </c>
      <c r="G10" s="32" t="s">
        <v>9</v>
      </c>
      <c r="H10" s="32" t="s">
        <v>9</v>
      </c>
      <c r="I10" s="32" t="s">
        <v>9</v>
      </c>
      <c r="J10" s="32" t="s">
        <v>9</v>
      </c>
      <c r="K10" s="32" t="s">
        <v>9</v>
      </c>
      <c r="L10" s="58" t="str">
        <f t="shared" si="0"/>
        <v>De.Operação</v>
      </c>
      <c r="M10" s="58" t="str">
        <f t="shared" si="1"/>
        <v>Manutenção</v>
      </c>
      <c r="N10" s="58" t="str">
        <f t="shared" si="1"/>
        <v>Imagens</v>
      </c>
      <c r="O10" s="58" t="str">
        <f t="shared" si="1"/>
        <v>Imagem.WayPoint</v>
      </c>
      <c r="P10" s="34" t="s">
        <v>155</v>
      </c>
      <c r="Q10" s="24" t="s">
        <v>222</v>
      </c>
      <c r="R10" s="24" t="s">
        <v>210</v>
      </c>
      <c r="S10" s="62" t="s">
        <v>9</v>
      </c>
      <c r="T10" s="24" t="str">
        <f t="shared" si="2"/>
        <v>De Operação</v>
      </c>
      <c r="U10" s="24" t="str">
        <f t="shared" si="2"/>
        <v>Manutenção</v>
      </c>
      <c r="V10" s="24" t="str">
        <f t="shared" si="2"/>
        <v>Imagens</v>
      </c>
      <c r="W10" s="34" t="s">
        <v>89</v>
      </c>
      <c r="X10" s="30" t="str">
        <f t="shared" si="3"/>
        <v>Key-UAS-10</v>
      </c>
      <c r="Y10" s="24" t="s">
        <v>9</v>
      </c>
      <c r="Z10" s="61" t="s">
        <v>9</v>
      </c>
      <c r="AA10" s="24" t="s">
        <v>9</v>
      </c>
      <c r="AB10" s="61" t="s">
        <v>9</v>
      </c>
      <c r="AC10" s="24" t="s">
        <v>156</v>
      </c>
      <c r="AD10" s="61" t="s">
        <v>9</v>
      </c>
    </row>
    <row r="11" spans="1:30" ht="6.75" customHeight="1" x14ac:dyDescent="0.25">
      <c r="A11" s="35">
        <v>11</v>
      </c>
      <c r="B11" s="66" t="s">
        <v>190</v>
      </c>
      <c r="C11" s="70" t="s">
        <v>196</v>
      </c>
      <c r="D11" s="70" t="s">
        <v>75</v>
      </c>
      <c r="E11" s="70" t="s">
        <v>176</v>
      </c>
      <c r="F11" s="70" t="s">
        <v>182</v>
      </c>
      <c r="G11" s="32" t="s">
        <v>9</v>
      </c>
      <c r="H11" s="32" t="s">
        <v>9</v>
      </c>
      <c r="I11" s="32" t="s">
        <v>9</v>
      </c>
      <c r="J11" s="32" t="s">
        <v>9</v>
      </c>
      <c r="K11" s="32" t="s">
        <v>9</v>
      </c>
      <c r="L11" s="58" t="str">
        <f t="shared" si="0"/>
        <v>De.Operação</v>
      </c>
      <c r="M11" s="58" t="str">
        <f t="shared" si="1"/>
        <v>Manutenção</v>
      </c>
      <c r="N11" s="58" t="str">
        <f t="shared" si="1"/>
        <v>Imagens</v>
      </c>
      <c r="O11" s="58" t="str">
        <f t="shared" si="1"/>
        <v>Vídeo.Voo</v>
      </c>
      <c r="P11" s="34" t="s">
        <v>180</v>
      </c>
      <c r="Q11" s="24" t="s">
        <v>223</v>
      </c>
      <c r="R11" s="24" t="s">
        <v>211</v>
      </c>
      <c r="S11" s="62" t="s">
        <v>9</v>
      </c>
      <c r="T11" s="24" t="str">
        <f t="shared" si="2"/>
        <v>De Operação</v>
      </c>
      <c r="U11" s="24" t="str">
        <f t="shared" si="2"/>
        <v>Manutenção</v>
      </c>
      <c r="V11" s="24" t="str">
        <f t="shared" si="2"/>
        <v>Imagens</v>
      </c>
      <c r="W11" s="34" t="s">
        <v>89</v>
      </c>
      <c r="X11" s="30" t="str">
        <f t="shared" si="3"/>
        <v>Key-UAS-11</v>
      </c>
      <c r="Y11" s="24" t="s">
        <v>9</v>
      </c>
      <c r="Z11" s="61" t="s">
        <v>9</v>
      </c>
      <c r="AA11" s="24" t="s">
        <v>9</v>
      </c>
      <c r="AB11" s="61" t="s">
        <v>9</v>
      </c>
      <c r="AC11" s="24" t="s">
        <v>178</v>
      </c>
      <c r="AD11" s="61" t="s">
        <v>9</v>
      </c>
    </row>
    <row r="12" spans="1:30" ht="6.75" customHeight="1" x14ac:dyDescent="0.25">
      <c r="A12" s="35">
        <v>12</v>
      </c>
      <c r="B12" s="66" t="s">
        <v>99</v>
      </c>
      <c r="C12" s="71" t="s">
        <v>106</v>
      </c>
      <c r="D12" s="71" t="s">
        <v>201</v>
      </c>
      <c r="E12" s="71" t="s">
        <v>198</v>
      </c>
      <c r="F12" s="70" t="s">
        <v>185</v>
      </c>
      <c r="G12" s="32" t="s">
        <v>9</v>
      </c>
      <c r="H12" s="32" t="s">
        <v>9</v>
      </c>
      <c r="I12" s="32" t="s">
        <v>9</v>
      </c>
      <c r="J12" s="32" t="s">
        <v>9</v>
      </c>
      <c r="K12" s="32" t="s">
        <v>9</v>
      </c>
      <c r="L12" s="58" t="str">
        <f t="shared" si="0"/>
        <v>De.Manutenção</v>
      </c>
      <c r="M12" s="58" t="str">
        <f t="shared" si="1"/>
        <v>Diagnósticas</v>
      </c>
      <c r="N12" s="58" t="str">
        <f t="shared" si="1"/>
        <v>Preventivas</v>
      </c>
      <c r="O12" s="58" t="str">
        <f t="shared" si="1"/>
        <v>Voo.Preventivo</v>
      </c>
      <c r="P12" s="34" t="s">
        <v>187</v>
      </c>
      <c r="Q12" s="24" t="s">
        <v>224</v>
      </c>
      <c r="R12" s="24" t="s">
        <v>212</v>
      </c>
      <c r="S12" s="62" t="s">
        <v>9</v>
      </c>
      <c r="T12" s="24" t="str">
        <f t="shared" si="2"/>
        <v>De Manutenção</v>
      </c>
      <c r="U12" s="24" t="str">
        <f t="shared" si="2"/>
        <v>Diagnósticas</v>
      </c>
      <c r="V12" s="24" t="str">
        <f t="shared" si="2"/>
        <v>Preventivas</v>
      </c>
      <c r="W12" s="34" t="s">
        <v>89</v>
      </c>
      <c r="X12" s="30" t="str">
        <f t="shared" si="3"/>
        <v>Key-UAS-12</v>
      </c>
      <c r="Y12" s="24" t="s">
        <v>9</v>
      </c>
      <c r="Z12" s="61" t="s">
        <v>9</v>
      </c>
      <c r="AA12" s="24" t="s">
        <v>9</v>
      </c>
      <c r="AB12" s="61" t="s">
        <v>9</v>
      </c>
      <c r="AC12" s="24" t="s">
        <v>9</v>
      </c>
      <c r="AD12" s="61" t="s">
        <v>9</v>
      </c>
    </row>
    <row r="13" spans="1:30" ht="6.75" customHeight="1" x14ac:dyDescent="0.25">
      <c r="A13" s="35">
        <v>13</v>
      </c>
      <c r="B13" s="66" t="s">
        <v>99</v>
      </c>
      <c r="C13" s="71" t="s">
        <v>106</v>
      </c>
      <c r="D13" s="71" t="s">
        <v>201</v>
      </c>
      <c r="E13" s="71" t="s">
        <v>199</v>
      </c>
      <c r="F13" s="70" t="s">
        <v>184</v>
      </c>
      <c r="G13" s="32" t="s">
        <v>9</v>
      </c>
      <c r="H13" s="32" t="s">
        <v>9</v>
      </c>
      <c r="I13" s="32" t="s">
        <v>9</v>
      </c>
      <c r="J13" s="32" t="s">
        <v>9</v>
      </c>
      <c r="K13" s="32" t="s">
        <v>9</v>
      </c>
      <c r="L13" s="58" t="str">
        <f t="shared" si="0"/>
        <v>De.Manutenção</v>
      </c>
      <c r="M13" s="58" t="str">
        <f t="shared" si="1"/>
        <v>Diagnósticas</v>
      </c>
      <c r="N13" s="58" t="str">
        <f t="shared" si="1"/>
        <v>Corretivas</v>
      </c>
      <c r="O13" s="58" t="str">
        <f t="shared" si="1"/>
        <v>Voo.Corretivo</v>
      </c>
      <c r="P13" s="34" t="s">
        <v>186</v>
      </c>
      <c r="Q13" s="24" t="s">
        <v>225</v>
      </c>
      <c r="R13" s="24" t="s">
        <v>213</v>
      </c>
      <c r="S13" s="62" t="s">
        <v>9</v>
      </c>
      <c r="T13" s="24" t="str">
        <f t="shared" si="2"/>
        <v>De Manutenção</v>
      </c>
      <c r="U13" s="24" t="str">
        <f t="shared" si="2"/>
        <v>Diagnósticas</v>
      </c>
      <c r="V13" s="24" t="str">
        <f t="shared" si="2"/>
        <v>Corretivas</v>
      </c>
      <c r="W13" s="34" t="s">
        <v>89</v>
      </c>
      <c r="X13" s="30" t="str">
        <f t="shared" si="3"/>
        <v>Key-UAS-13</v>
      </c>
      <c r="Y13" s="24" t="s">
        <v>9</v>
      </c>
      <c r="Z13" s="61" t="s">
        <v>9</v>
      </c>
      <c r="AA13" s="24" t="s">
        <v>9</v>
      </c>
      <c r="AB13" s="61" t="s">
        <v>9</v>
      </c>
      <c r="AC13" s="24" t="s">
        <v>9</v>
      </c>
      <c r="AD13" s="61" t="s">
        <v>9</v>
      </c>
    </row>
    <row r="14" spans="1:30" ht="6.75" customHeight="1" x14ac:dyDescent="0.25">
      <c r="A14" s="35">
        <v>14</v>
      </c>
      <c r="B14" s="66" t="s">
        <v>99</v>
      </c>
      <c r="C14" s="71" t="s">
        <v>106</v>
      </c>
      <c r="D14" s="71" t="s">
        <v>201</v>
      </c>
      <c r="E14" s="71" t="s">
        <v>200</v>
      </c>
      <c r="F14" s="70" t="s">
        <v>183</v>
      </c>
      <c r="G14" s="32" t="s">
        <v>9</v>
      </c>
      <c r="H14" s="32" t="s">
        <v>9</v>
      </c>
      <c r="I14" s="32" t="s">
        <v>9</v>
      </c>
      <c r="J14" s="32" t="s">
        <v>9</v>
      </c>
      <c r="K14" s="32" t="s">
        <v>9</v>
      </c>
      <c r="L14" s="58" t="str">
        <f t="shared" si="0"/>
        <v>De.Manutenção</v>
      </c>
      <c r="M14" s="58" t="str">
        <f t="shared" si="1"/>
        <v>Diagnósticas</v>
      </c>
      <c r="N14" s="58" t="str">
        <f t="shared" si="1"/>
        <v>Preditivas</v>
      </c>
      <c r="O14" s="58" t="str">
        <f t="shared" si="1"/>
        <v>Voo.Preditivo</v>
      </c>
      <c r="P14" s="34" t="s">
        <v>189</v>
      </c>
      <c r="Q14" s="24" t="s">
        <v>226</v>
      </c>
      <c r="R14" s="24" t="s">
        <v>214</v>
      </c>
      <c r="S14" s="62" t="s">
        <v>9</v>
      </c>
      <c r="T14" s="24" t="str">
        <f t="shared" si="2"/>
        <v>De Manutenção</v>
      </c>
      <c r="U14" s="24" t="str">
        <f t="shared" si="2"/>
        <v>Diagnósticas</v>
      </c>
      <c r="V14" s="24" t="str">
        <f t="shared" si="2"/>
        <v>Preditivas</v>
      </c>
      <c r="W14" s="34" t="s">
        <v>89</v>
      </c>
      <c r="X14" s="30" t="str">
        <f t="shared" si="3"/>
        <v>Key-UAS-14</v>
      </c>
      <c r="Y14" s="24" t="s">
        <v>9</v>
      </c>
      <c r="Z14" s="61" t="s">
        <v>9</v>
      </c>
      <c r="AA14" s="24" t="s">
        <v>9</v>
      </c>
      <c r="AB14" s="61" t="s">
        <v>9</v>
      </c>
      <c r="AC14" s="24" t="s">
        <v>9</v>
      </c>
      <c r="AD14" s="61" t="s">
        <v>9</v>
      </c>
    </row>
    <row r="15" spans="1:30" s="63" customFormat="1" ht="6.75" customHeight="1" x14ac:dyDescent="0.25">
      <c r="A15" s="35">
        <v>15</v>
      </c>
      <c r="B15" s="66" t="s">
        <v>251</v>
      </c>
      <c r="C15" s="70" t="s">
        <v>252</v>
      </c>
      <c r="D15" s="70" t="s">
        <v>253</v>
      </c>
      <c r="E15" s="70" t="s">
        <v>254</v>
      </c>
      <c r="F15" s="70" t="s">
        <v>230</v>
      </c>
      <c r="G15" s="32" t="s">
        <v>9</v>
      </c>
      <c r="H15" s="32" t="s">
        <v>9</v>
      </c>
      <c r="I15" s="32" t="s">
        <v>9</v>
      </c>
      <c r="J15" s="32" t="s">
        <v>9</v>
      </c>
      <c r="K15" s="32" t="s">
        <v>9</v>
      </c>
      <c r="L15" s="59" t="s">
        <v>252</v>
      </c>
      <c r="M15" s="59" t="s">
        <v>253</v>
      </c>
      <c r="N15" s="59" t="s">
        <v>255</v>
      </c>
      <c r="O15" s="59" t="s">
        <v>256</v>
      </c>
      <c r="P15" s="24" t="s">
        <v>231</v>
      </c>
      <c r="Q15" s="24" t="s">
        <v>232</v>
      </c>
      <c r="R15" s="24" t="s">
        <v>233</v>
      </c>
      <c r="S15" s="62" t="s">
        <v>9</v>
      </c>
      <c r="T15" s="24" t="s">
        <v>257</v>
      </c>
      <c r="U15" s="24" t="s">
        <v>258</v>
      </c>
      <c r="V15" s="60" t="s">
        <v>255</v>
      </c>
      <c r="W15" s="34" t="s">
        <v>89</v>
      </c>
      <c r="X15" s="30" t="str">
        <f t="shared" si="3"/>
        <v>Key-UAS-15</v>
      </c>
      <c r="Y15" s="61" t="s">
        <v>9</v>
      </c>
      <c r="Z15" s="61" t="s">
        <v>9</v>
      </c>
      <c r="AA15" s="61" t="s">
        <v>9</v>
      </c>
      <c r="AB15" s="61" t="s">
        <v>9</v>
      </c>
      <c r="AC15" s="61" t="s">
        <v>9</v>
      </c>
      <c r="AD15" s="61" t="s">
        <v>9</v>
      </c>
    </row>
    <row r="16" spans="1:30" s="63" customFormat="1" ht="6.75" customHeight="1" x14ac:dyDescent="0.25">
      <c r="A16" s="35">
        <v>16</v>
      </c>
      <c r="B16" s="66" t="s">
        <v>251</v>
      </c>
      <c r="C16" s="70" t="s">
        <v>252</v>
      </c>
      <c r="D16" s="70" t="s">
        <v>253</v>
      </c>
      <c r="E16" s="70" t="s">
        <v>254</v>
      </c>
      <c r="F16" s="70" t="s">
        <v>234</v>
      </c>
      <c r="G16" s="32" t="s">
        <v>9</v>
      </c>
      <c r="H16" s="32" t="s">
        <v>9</v>
      </c>
      <c r="I16" s="32" t="s">
        <v>9</v>
      </c>
      <c r="J16" s="32" t="s">
        <v>9</v>
      </c>
      <c r="K16" s="32" t="s">
        <v>9</v>
      </c>
      <c r="L16" s="59" t="s">
        <v>252</v>
      </c>
      <c r="M16" s="59" t="s">
        <v>253</v>
      </c>
      <c r="N16" s="59" t="s">
        <v>255</v>
      </c>
      <c r="O16" s="59" t="s">
        <v>259</v>
      </c>
      <c r="P16" s="24" t="s">
        <v>235</v>
      </c>
      <c r="Q16" s="24" t="s">
        <v>236</v>
      </c>
      <c r="R16" s="24" t="s">
        <v>237</v>
      </c>
      <c r="S16" s="62" t="s">
        <v>9</v>
      </c>
      <c r="T16" s="24" t="s">
        <v>257</v>
      </c>
      <c r="U16" s="24" t="s">
        <v>258</v>
      </c>
      <c r="V16" s="60" t="s">
        <v>255</v>
      </c>
      <c r="W16" s="34" t="s">
        <v>89</v>
      </c>
      <c r="X16" s="30" t="str">
        <f t="shared" si="3"/>
        <v>Key-UAS-16</v>
      </c>
      <c r="Y16" s="61" t="s">
        <v>9</v>
      </c>
      <c r="Z16" s="61" t="s">
        <v>9</v>
      </c>
      <c r="AA16" s="61" t="s">
        <v>9</v>
      </c>
      <c r="AB16" s="61" t="s">
        <v>9</v>
      </c>
      <c r="AC16" s="61" t="s">
        <v>9</v>
      </c>
      <c r="AD16" s="61" t="s">
        <v>9</v>
      </c>
    </row>
    <row r="17" spans="1:30" s="63" customFormat="1" ht="6.75" customHeight="1" x14ac:dyDescent="0.25">
      <c r="A17" s="35">
        <v>17</v>
      </c>
      <c r="B17" s="66" t="s">
        <v>251</v>
      </c>
      <c r="C17" s="70" t="s">
        <v>252</v>
      </c>
      <c r="D17" s="70" t="s">
        <v>253</v>
      </c>
      <c r="E17" s="70" t="s">
        <v>254</v>
      </c>
      <c r="F17" s="70" t="s">
        <v>238</v>
      </c>
      <c r="G17" s="32" t="s">
        <v>9</v>
      </c>
      <c r="H17" s="32" t="s">
        <v>9</v>
      </c>
      <c r="I17" s="32" t="s">
        <v>9</v>
      </c>
      <c r="J17" s="32" t="s">
        <v>9</v>
      </c>
      <c r="K17" s="32" t="s">
        <v>9</v>
      </c>
      <c r="L17" s="59" t="s">
        <v>252</v>
      </c>
      <c r="M17" s="59" t="s">
        <v>253</v>
      </c>
      <c r="N17" s="59" t="s">
        <v>255</v>
      </c>
      <c r="O17" s="59" t="s">
        <v>260</v>
      </c>
      <c r="P17" s="24" t="s">
        <v>239</v>
      </c>
      <c r="Q17" s="24" t="s">
        <v>240</v>
      </c>
      <c r="R17" s="24" t="s">
        <v>241</v>
      </c>
      <c r="S17" s="62" t="s">
        <v>9</v>
      </c>
      <c r="T17" s="24" t="s">
        <v>257</v>
      </c>
      <c r="U17" s="24" t="s">
        <v>258</v>
      </c>
      <c r="V17" s="60" t="s">
        <v>255</v>
      </c>
      <c r="W17" s="34" t="s">
        <v>89</v>
      </c>
      <c r="X17" s="30" t="str">
        <f t="shared" si="3"/>
        <v>Key-UAS-17</v>
      </c>
      <c r="Y17" s="61" t="s">
        <v>9</v>
      </c>
      <c r="Z17" s="61" t="s">
        <v>9</v>
      </c>
      <c r="AA17" s="61" t="s">
        <v>9</v>
      </c>
      <c r="AB17" s="61" t="s">
        <v>9</v>
      </c>
      <c r="AC17" s="61" t="s">
        <v>9</v>
      </c>
      <c r="AD17" s="61" t="s">
        <v>9</v>
      </c>
    </row>
    <row r="18" spans="1:30" s="63" customFormat="1" ht="6.75" customHeight="1" x14ac:dyDescent="0.25">
      <c r="A18" s="35">
        <v>18</v>
      </c>
      <c r="B18" s="66" t="s">
        <v>251</v>
      </c>
      <c r="C18" s="70" t="s">
        <v>252</v>
      </c>
      <c r="D18" s="70" t="s">
        <v>253</v>
      </c>
      <c r="E18" s="70" t="s">
        <v>254</v>
      </c>
      <c r="F18" s="70" t="s">
        <v>242</v>
      </c>
      <c r="G18" s="32" t="s">
        <v>9</v>
      </c>
      <c r="H18" s="32" t="s">
        <v>9</v>
      </c>
      <c r="I18" s="32" t="s">
        <v>9</v>
      </c>
      <c r="J18" s="32" t="s">
        <v>9</v>
      </c>
      <c r="K18" s="32" t="s">
        <v>9</v>
      </c>
      <c r="L18" s="59" t="s">
        <v>252</v>
      </c>
      <c r="M18" s="59" t="s">
        <v>253</v>
      </c>
      <c r="N18" s="59" t="s">
        <v>255</v>
      </c>
      <c r="O18" s="59" t="s">
        <v>261</v>
      </c>
      <c r="P18" s="24" t="s">
        <v>243</v>
      </c>
      <c r="Q18" s="24" t="s">
        <v>244</v>
      </c>
      <c r="R18" s="24" t="s">
        <v>245</v>
      </c>
      <c r="S18" s="62" t="s">
        <v>9</v>
      </c>
      <c r="T18" s="24" t="s">
        <v>257</v>
      </c>
      <c r="U18" s="24" t="s">
        <v>258</v>
      </c>
      <c r="V18" s="60" t="s">
        <v>255</v>
      </c>
      <c r="W18" s="34" t="s">
        <v>89</v>
      </c>
      <c r="X18" s="30" t="str">
        <f t="shared" si="3"/>
        <v>Key-UAS-18</v>
      </c>
      <c r="Y18" s="61" t="s">
        <v>9</v>
      </c>
      <c r="Z18" s="61" t="s">
        <v>9</v>
      </c>
      <c r="AA18" s="61" t="s">
        <v>9</v>
      </c>
      <c r="AB18" s="61" t="s">
        <v>9</v>
      </c>
      <c r="AC18" s="61" t="s">
        <v>9</v>
      </c>
      <c r="AD18" s="61" t="s">
        <v>9</v>
      </c>
    </row>
    <row r="19" spans="1:30" s="63" customFormat="1" ht="6.75" customHeight="1" x14ac:dyDescent="0.25">
      <c r="A19" s="35">
        <v>19</v>
      </c>
      <c r="B19" s="66" t="s">
        <v>251</v>
      </c>
      <c r="C19" s="70" t="s">
        <v>252</v>
      </c>
      <c r="D19" s="70" t="s">
        <v>262</v>
      </c>
      <c r="E19" s="70" t="s">
        <v>263</v>
      </c>
      <c r="F19" s="70" t="s">
        <v>246</v>
      </c>
      <c r="G19" s="32" t="s">
        <v>9</v>
      </c>
      <c r="H19" s="32" t="s">
        <v>9</v>
      </c>
      <c r="I19" s="32" t="s">
        <v>9</v>
      </c>
      <c r="J19" s="32" t="s">
        <v>9</v>
      </c>
      <c r="K19" s="32" t="s">
        <v>9</v>
      </c>
      <c r="L19" s="59" t="s">
        <v>252</v>
      </c>
      <c r="M19" s="59" t="s">
        <v>262</v>
      </c>
      <c r="N19" s="59" t="s">
        <v>264</v>
      </c>
      <c r="O19" s="59" t="s">
        <v>265</v>
      </c>
      <c r="P19" s="24" t="s">
        <v>247</v>
      </c>
      <c r="Q19" s="24" t="s">
        <v>248</v>
      </c>
      <c r="R19" s="24" t="s">
        <v>249</v>
      </c>
      <c r="S19" s="62" t="s">
        <v>9</v>
      </c>
      <c r="T19" s="24" t="s">
        <v>257</v>
      </c>
      <c r="U19" s="24" t="s">
        <v>266</v>
      </c>
      <c r="V19" s="60" t="s">
        <v>264</v>
      </c>
      <c r="W19" s="34" t="s">
        <v>89</v>
      </c>
      <c r="X19" s="30" t="str">
        <f t="shared" si="3"/>
        <v>Key-UAS-19</v>
      </c>
      <c r="Y19" s="61" t="s">
        <v>9</v>
      </c>
      <c r="Z19" s="61" t="s">
        <v>9</v>
      </c>
      <c r="AA19" s="61" t="s">
        <v>9</v>
      </c>
      <c r="AB19" s="61" t="s">
        <v>9</v>
      </c>
      <c r="AC19" s="61" t="s">
        <v>9</v>
      </c>
      <c r="AD19" s="61" t="s">
        <v>9</v>
      </c>
    </row>
  </sheetData>
  <conditionalFormatting sqref="A2:B13 B14 A14:A19">
    <cfRule type="cellIs" dxfId="0" priority="4" operator="equal">
      <formula>"null"</formula>
    </cfRule>
  </conditionalFormatting>
  <conditionalFormatting sqref="F1">
    <cfRule type="duplicateValues" dxfId="17" priority="49"/>
    <cfRule type="duplicateValues" dxfId="16" priority="50"/>
    <cfRule type="duplicateValues" dxfId="15" priority="51"/>
    <cfRule type="duplicateValues" dxfId="14" priority="52"/>
    <cfRule type="duplicateValues" dxfId="13" priority="53"/>
  </conditionalFormatting>
  <conditionalFormatting sqref="F2">
    <cfRule type="duplicateValues" dxfId="12" priority="14"/>
    <cfRule type="duplicateValues" dxfId="11" priority="15"/>
  </conditionalFormatting>
  <conditionalFormatting sqref="F3:F7 F1">
    <cfRule type="duplicateValues" dxfId="10" priority="195"/>
  </conditionalFormatting>
  <conditionalFormatting sqref="F3:F14 F1 F20:F1048576">
    <cfRule type="duplicateValues" dxfId="9" priority="24"/>
  </conditionalFormatting>
  <conditionalFormatting sqref="F12:F14 F1 F3:F7 F20:F1048576">
    <cfRule type="duplicateValues" dxfId="8" priority="46"/>
  </conditionalFormatting>
  <conditionalFormatting sqref="G1:O1">
    <cfRule type="cellIs" dxfId="6" priority="48" operator="equal">
      <formula>"null"</formula>
    </cfRule>
  </conditionalFormatting>
  <conditionalFormatting sqref="R1:R14">
    <cfRule type="cellIs" dxfId="5" priority="7" operator="equal">
      <formula>"null"</formula>
    </cfRule>
  </conditionalFormatting>
  <conditionalFormatting sqref="F15:F19">
    <cfRule type="duplicateValues" dxfId="2" priority="1"/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4F22-2568-4D5A-A538-DD63A5C43724}">
  <sheetPr codeName="Planilha3"/>
  <dimension ref="A1:U2"/>
  <sheetViews>
    <sheetView zoomScale="235" zoomScaleNormal="235" workbookViewId="0">
      <pane ySplit="1" topLeftCell="A2" activePane="bottomLeft" state="frozen"/>
      <selection activeCell="B2" sqref="B2"/>
      <selection pane="bottomLeft" activeCell="B5" sqref="B5"/>
    </sheetView>
  </sheetViews>
  <sheetFormatPr defaultColWidth="5.7109375" defaultRowHeight="7.9" customHeight="1" x14ac:dyDescent="0.15"/>
  <cols>
    <col min="1" max="1" width="2.7109375" style="11" customWidth="1"/>
    <col min="2" max="10" width="5.7109375" style="12"/>
    <col min="11" max="16384" width="5.7109375" style="16"/>
  </cols>
  <sheetData>
    <row r="1" spans="1:21" ht="16.5" x14ac:dyDescent="0.15">
      <c r="A1" s="14">
        <v>1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43</v>
      </c>
      <c r="L1" s="15" t="s">
        <v>44</v>
      </c>
      <c r="M1" s="15" t="s">
        <v>45</v>
      </c>
      <c r="N1" s="15" t="s">
        <v>46</v>
      </c>
      <c r="O1" s="15" t="s">
        <v>47</v>
      </c>
      <c r="P1" s="15" t="s">
        <v>48</v>
      </c>
      <c r="Q1" s="15" t="s">
        <v>49</v>
      </c>
      <c r="R1" s="15" t="s">
        <v>50</v>
      </c>
      <c r="S1" s="15" t="s">
        <v>51</v>
      </c>
      <c r="T1" s="15" t="s">
        <v>52</v>
      </c>
      <c r="U1" s="15" t="s">
        <v>53</v>
      </c>
    </row>
    <row r="2" spans="1:21" ht="8.25" x14ac:dyDescent="0.15">
      <c r="A2" s="14">
        <v>2</v>
      </c>
      <c r="B2" s="17" t="s">
        <v>9</v>
      </c>
      <c r="C2" s="17" t="s">
        <v>9</v>
      </c>
      <c r="D2" s="17" t="s">
        <v>9</v>
      </c>
      <c r="E2" s="17" t="s">
        <v>9</v>
      </c>
      <c r="F2" s="17" t="s">
        <v>9</v>
      </c>
      <c r="G2" s="17" t="s">
        <v>9</v>
      </c>
      <c r="H2" s="17" t="s">
        <v>9</v>
      </c>
      <c r="I2" s="17" t="s">
        <v>9</v>
      </c>
      <c r="J2" s="17" t="s">
        <v>9</v>
      </c>
      <c r="K2" s="17" t="s">
        <v>9</v>
      </c>
      <c r="L2" s="17" t="s">
        <v>9</v>
      </c>
      <c r="M2" s="17" t="s">
        <v>9</v>
      </c>
      <c r="N2" s="17" t="s">
        <v>9</v>
      </c>
      <c r="O2" s="17" t="s">
        <v>9</v>
      </c>
      <c r="P2" s="17" t="s">
        <v>9</v>
      </c>
      <c r="Q2" s="17" t="s">
        <v>9</v>
      </c>
      <c r="R2" s="17" t="s">
        <v>9</v>
      </c>
      <c r="S2" s="17" t="s">
        <v>9</v>
      </c>
      <c r="T2" s="17" t="s">
        <v>9</v>
      </c>
      <c r="U2" s="17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B84A-AA24-421E-9F4E-92D6A71CA3BE}">
  <sheetPr codeName="Planilha4"/>
  <dimension ref="A1:D2"/>
  <sheetViews>
    <sheetView zoomScale="205" zoomScaleNormal="205" workbookViewId="0">
      <pane ySplit="1" topLeftCell="A2" activePane="bottomLeft" state="frozen"/>
      <selection activeCell="B2" sqref="B2"/>
      <selection pane="bottomLeft" activeCell="A2" sqref="A2:XFD2"/>
    </sheetView>
  </sheetViews>
  <sheetFormatPr defaultColWidth="9.140625" defaultRowHeight="6.75" customHeight="1" x14ac:dyDescent="0.15"/>
  <cols>
    <col min="1" max="1" width="3" style="13" bestFit="1" customWidth="1"/>
    <col min="2" max="2" width="7.85546875" style="13" customWidth="1"/>
    <col min="3" max="3" width="7.7109375" style="13" customWidth="1"/>
    <col min="4" max="4" width="7.42578125" style="13" customWidth="1"/>
    <col min="5" max="16384" width="9.140625" style="13"/>
  </cols>
  <sheetData>
    <row r="1" spans="1:4" ht="10.5" customHeight="1" x14ac:dyDescent="0.15">
      <c r="A1" s="8">
        <v>1</v>
      </c>
      <c r="B1" s="9" t="s">
        <v>13</v>
      </c>
      <c r="C1" s="9" t="s">
        <v>73</v>
      </c>
      <c r="D1" s="9" t="s">
        <v>73</v>
      </c>
    </row>
    <row r="2" spans="1:4" ht="6.75" customHeight="1" x14ac:dyDescent="0.15">
      <c r="A2" s="7">
        <v>2</v>
      </c>
      <c r="B2" s="21" t="s">
        <v>9</v>
      </c>
      <c r="C2" s="22" t="s">
        <v>9</v>
      </c>
      <c r="D2" s="2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43BD-9EBA-4CBF-96E5-A46CFFC881A3}">
  <dimension ref="A1:AA29"/>
  <sheetViews>
    <sheetView topLeftCell="A16" zoomScale="235" zoomScaleNormal="235" workbookViewId="0">
      <selection activeCell="C2" sqref="C2"/>
    </sheetView>
  </sheetViews>
  <sheetFormatPr defaultRowHeight="6.75" customHeight="1" x14ac:dyDescent="0.25"/>
  <cols>
    <col min="1" max="1" width="2.5703125" bestFit="1" customWidth="1"/>
    <col min="2" max="2" width="8.5703125" customWidth="1"/>
    <col min="3" max="3" width="8.7109375" customWidth="1"/>
    <col min="4" max="4" width="7.140625" customWidth="1"/>
    <col min="5" max="5" width="4" customWidth="1"/>
    <col min="6" max="6" width="6.85546875" customWidth="1"/>
    <col min="7" max="7" width="4.85546875" customWidth="1"/>
    <col min="8" max="8" width="7.140625" customWidth="1"/>
    <col min="9" max="9" width="7.28515625" customWidth="1"/>
    <col min="10" max="10" width="3.7109375" customWidth="1"/>
    <col min="11" max="11" width="4" customWidth="1"/>
    <col min="12" max="12" width="3.140625" customWidth="1"/>
    <col min="13" max="13" width="14.5703125" customWidth="1"/>
    <col min="14" max="14" width="4.5703125" customWidth="1"/>
    <col min="15" max="15" width="7.140625" customWidth="1"/>
    <col min="16" max="16" width="5.42578125" customWidth="1"/>
    <col min="17" max="17" width="28.85546875" customWidth="1"/>
    <col min="18" max="18" width="6.42578125" customWidth="1"/>
    <col min="19" max="19" width="31.85546875" customWidth="1"/>
    <col min="20" max="20" width="2.85546875" customWidth="1"/>
    <col min="21" max="21" width="7.28515625" customWidth="1"/>
    <col min="22" max="22" width="6.7109375" customWidth="1"/>
    <col min="23" max="23" width="9.5703125" customWidth="1"/>
    <col min="24" max="24" width="4.85546875" customWidth="1"/>
    <col min="25" max="25" width="7.42578125" customWidth="1"/>
    <col min="26" max="26" width="6.28515625" customWidth="1"/>
    <col min="27" max="27" width="10.42578125" customWidth="1"/>
  </cols>
  <sheetData>
    <row r="1" spans="1:27" ht="21.75" customHeight="1" x14ac:dyDescent="0.25">
      <c r="A1" s="36" t="s">
        <v>107</v>
      </c>
      <c r="B1" s="37" t="s">
        <v>108</v>
      </c>
      <c r="C1" s="37" t="s">
        <v>13</v>
      </c>
      <c r="D1" s="38" t="s">
        <v>109</v>
      </c>
      <c r="E1" s="37" t="s">
        <v>2</v>
      </c>
      <c r="F1" s="38" t="s">
        <v>109</v>
      </c>
      <c r="G1" s="38" t="s">
        <v>2</v>
      </c>
      <c r="H1" s="39" t="s">
        <v>109</v>
      </c>
      <c r="I1" s="37" t="s">
        <v>2</v>
      </c>
      <c r="J1" s="38" t="s">
        <v>109</v>
      </c>
      <c r="K1" s="38" t="s">
        <v>2</v>
      </c>
      <c r="L1" s="37" t="s">
        <v>109</v>
      </c>
      <c r="M1" s="37" t="s">
        <v>2</v>
      </c>
      <c r="N1" s="37" t="s">
        <v>109</v>
      </c>
      <c r="O1" s="37" t="s">
        <v>2</v>
      </c>
      <c r="P1" s="38" t="s">
        <v>109</v>
      </c>
      <c r="Q1" s="38" t="s">
        <v>2</v>
      </c>
      <c r="R1" s="38" t="s">
        <v>109</v>
      </c>
      <c r="S1" s="38" t="s">
        <v>2</v>
      </c>
      <c r="T1" s="37" t="s">
        <v>109</v>
      </c>
      <c r="U1" s="37" t="s">
        <v>2</v>
      </c>
      <c r="V1" s="40" t="s">
        <v>109</v>
      </c>
      <c r="W1" s="41" t="s">
        <v>110</v>
      </c>
      <c r="X1" s="42" t="s">
        <v>109</v>
      </c>
      <c r="Y1" s="41" t="s">
        <v>110</v>
      </c>
      <c r="Z1" s="42" t="s">
        <v>109</v>
      </c>
      <c r="AA1" s="41" t="s">
        <v>110</v>
      </c>
    </row>
    <row r="2" spans="1:27" ht="6.75" customHeight="1" x14ac:dyDescent="0.25">
      <c r="A2" s="43">
        <v>2</v>
      </c>
      <c r="B2" s="44" t="s">
        <v>126</v>
      </c>
      <c r="C2" s="45" t="s">
        <v>80</v>
      </c>
      <c r="D2" s="46" t="s">
        <v>9</v>
      </c>
      <c r="E2" s="47" t="s">
        <v>9</v>
      </c>
      <c r="F2" s="46" t="s">
        <v>9</v>
      </c>
      <c r="G2" s="47" t="s">
        <v>9</v>
      </c>
      <c r="H2" s="46" t="s">
        <v>9</v>
      </c>
      <c r="I2" s="47" t="s">
        <v>9</v>
      </c>
      <c r="J2" s="46" t="s">
        <v>9</v>
      </c>
      <c r="K2" s="47" t="s">
        <v>9</v>
      </c>
      <c r="L2" s="51" t="s">
        <v>9</v>
      </c>
      <c r="M2" s="52" t="s">
        <v>9</v>
      </c>
      <c r="N2" s="51" t="s">
        <v>127</v>
      </c>
      <c r="O2" s="52" t="s">
        <v>128</v>
      </c>
      <c r="P2" s="51" t="s">
        <v>113</v>
      </c>
      <c r="Q2" s="52" t="s">
        <v>129</v>
      </c>
      <c r="R2" s="48" t="s">
        <v>9</v>
      </c>
      <c r="S2" s="50" t="s">
        <v>9</v>
      </c>
      <c r="T2" s="48" t="s">
        <v>9</v>
      </c>
      <c r="U2" s="50" t="s">
        <v>9</v>
      </c>
      <c r="V2" s="53" t="s">
        <v>117</v>
      </c>
      <c r="W2" s="55" t="s">
        <v>130</v>
      </c>
      <c r="X2" s="48" t="s">
        <v>118</v>
      </c>
      <c r="Y2" s="52" t="s">
        <v>131</v>
      </c>
      <c r="Z2" s="48" t="s">
        <v>119</v>
      </c>
      <c r="AA2" s="52" t="s">
        <v>132</v>
      </c>
    </row>
    <row r="3" spans="1:27" ht="6.75" customHeight="1" x14ac:dyDescent="0.25">
      <c r="A3" s="43">
        <v>3</v>
      </c>
      <c r="B3" s="44" t="s">
        <v>149</v>
      </c>
      <c r="C3" s="45" t="s">
        <v>198</v>
      </c>
      <c r="D3" s="46" t="s">
        <v>9</v>
      </c>
      <c r="E3" s="47" t="s">
        <v>9</v>
      </c>
      <c r="F3" s="46" t="s">
        <v>9</v>
      </c>
      <c r="G3" s="47" t="s">
        <v>9</v>
      </c>
      <c r="H3" s="46" t="s">
        <v>9</v>
      </c>
      <c r="I3" s="47" t="s">
        <v>9</v>
      </c>
      <c r="J3" s="46" t="s">
        <v>9</v>
      </c>
      <c r="K3" s="47" t="s">
        <v>9</v>
      </c>
      <c r="L3" s="48" t="s">
        <v>111</v>
      </c>
      <c r="M3" s="49" t="s">
        <v>112</v>
      </c>
      <c r="N3" s="48" t="s">
        <v>9</v>
      </c>
      <c r="O3" s="50" t="s">
        <v>9</v>
      </c>
      <c r="P3" s="51" t="s">
        <v>113</v>
      </c>
      <c r="Q3" s="52" t="s">
        <v>195</v>
      </c>
      <c r="R3" s="48" t="s">
        <v>9</v>
      </c>
      <c r="S3" s="50" t="s">
        <v>9</v>
      </c>
      <c r="T3" s="48" t="s">
        <v>9</v>
      </c>
      <c r="U3" s="50" t="s">
        <v>9</v>
      </c>
      <c r="V3" s="48" t="s">
        <v>9</v>
      </c>
      <c r="W3" s="52" t="s">
        <v>9</v>
      </c>
      <c r="X3" s="48" t="s">
        <v>9</v>
      </c>
      <c r="Y3" s="52" t="s">
        <v>9</v>
      </c>
      <c r="Z3" s="48" t="s">
        <v>119</v>
      </c>
      <c r="AA3" s="52" t="s">
        <v>153</v>
      </c>
    </row>
    <row r="4" spans="1:27" ht="6.75" customHeight="1" x14ac:dyDescent="0.25">
      <c r="A4" s="43">
        <v>4</v>
      </c>
      <c r="B4" s="44" t="s">
        <v>150</v>
      </c>
      <c r="C4" s="45" t="s">
        <v>198</v>
      </c>
      <c r="D4" s="46" t="s">
        <v>114</v>
      </c>
      <c r="E4" s="54" t="s">
        <v>115</v>
      </c>
      <c r="F4" s="46" t="s">
        <v>9</v>
      </c>
      <c r="G4" s="47" t="s">
        <v>9</v>
      </c>
      <c r="H4" s="46" t="s">
        <v>116</v>
      </c>
      <c r="I4" s="54" t="s">
        <v>149</v>
      </c>
      <c r="J4" s="46" t="s">
        <v>9</v>
      </c>
      <c r="K4" s="47" t="s">
        <v>9</v>
      </c>
      <c r="L4" s="51" t="s">
        <v>9</v>
      </c>
      <c r="M4" s="52" t="s">
        <v>9</v>
      </c>
      <c r="N4" s="48" t="s">
        <v>9</v>
      </c>
      <c r="O4" s="50" t="s">
        <v>9</v>
      </c>
      <c r="P4" s="51" t="s">
        <v>113</v>
      </c>
      <c r="Q4" s="52" t="s">
        <v>195</v>
      </c>
      <c r="R4" s="48" t="s">
        <v>9</v>
      </c>
      <c r="S4" s="50" t="s">
        <v>9</v>
      </c>
      <c r="T4" s="48" t="s">
        <v>9</v>
      </c>
      <c r="U4" s="50" t="s">
        <v>9</v>
      </c>
      <c r="V4" s="48" t="s">
        <v>9</v>
      </c>
      <c r="W4" s="52" t="s">
        <v>9</v>
      </c>
      <c r="X4" s="48" t="s">
        <v>9</v>
      </c>
      <c r="Y4" s="52" t="s">
        <v>9</v>
      </c>
      <c r="Z4" s="48" t="s">
        <v>119</v>
      </c>
      <c r="AA4" s="52" t="s">
        <v>153</v>
      </c>
    </row>
    <row r="5" spans="1:27" ht="6.75" customHeight="1" x14ac:dyDescent="0.25">
      <c r="A5" s="43">
        <v>5</v>
      </c>
      <c r="B5" s="44" t="s">
        <v>151</v>
      </c>
      <c r="C5" s="45" t="s">
        <v>198</v>
      </c>
      <c r="D5" s="46" t="s">
        <v>114</v>
      </c>
      <c r="E5" s="54" t="s">
        <v>120</v>
      </c>
      <c r="F5" s="46" t="s">
        <v>9</v>
      </c>
      <c r="G5" s="47" t="s">
        <v>9</v>
      </c>
      <c r="H5" s="46" t="s">
        <v>116</v>
      </c>
      <c r="I5" s="54" t="s">
        <v>149</v>
      </c>
      <c r="J5" s="46" t="s">
        <v>9</v>
      </c>
      <c r="K5" s="47" t="s">
        <v>9</v>
      </c>
      <c r="L5" s="51" t="s">
        <v>9</v>
      </c>
      <c r="M5" s="52" t="s">
        <v>9</v>
      </c>
      <c r="N5" s="48" t="s">
        <v>9</v>
      </c>
      <c r="O5" s="50" t="s">
        <v>9</v>
      </c>
      <c r="P5" s="51" t="s">
        <v>113</v>
      </c>
      <c r="Q5" s="52" t="s">
        <v>195</v>
      </c>
      <c r="R5" s="48" t="s">
        <v>9</v>
      </c>
      <c r="S5" s="50" t="s">
        <v>9</v>
      </c>
      <c r="T5" s="48" t="s">
        <v>9</v>
      </c>
      <c r="U5" s="50" t="s">
        <v>9</v>
      </c>
      <c r="V5" s="48" t="s">
        <v>9</v>
      </c>
      <c r="W5" s="52" t="s">
        <v>9</v>
      </c>
      <c r="X5" s="48" t="s">
        <v>9</v>
      </c>
      <c r="Y5" s="52" t="s">
        <v>9</v>
      </c>
      <c r="Z5" s="48" t="s">
        <v>119</v>
      </c>
      <c r="AA5" s="52" t="s">
        <v>153</v>
      </c>
    </row>
    <row r="6" spans="1:27" ht="6.75" customHeight="1" x14ac:dyDescent="0.25">
      <c r="A6" s="43">
        <v>6</v>
      </c>
      <c r="B6" s="44" t="s">
        <v>121</v>
      </c>
      <c r="C6" s="45" t="s">
        <v>175</v>
      </c>
      <c r="D6" s="46" t="s">
        <v>9</v>
      </c>
      <c r="E6" s="47" t="s">
        <v>9</v>
      </c>
      <c r="F6" s="46" t="s">
        <v>9</v>
      </c>
      <c r="G6" s="47" t="s">
        <v>9</v>
      </c>
      <c r="H6" s="46" t="s">
        <v>116</v>
      </c>
      <c r="I6" s="54" t="s">
        <v>149</v>
      </c>
      <c r="J6" s="46" t="s">
        <v>9</v>
      </c>
      <c r="K6" s="47" t="s">
        <v>9</v>
      </c>
      <c r="L6" s="48" t="s">
        <v>111</v>
      </c>
      <c r="M6" s="49" t="s">
        <v>122</v>
      </c>
      <c r="N6" s="51" t="s">
        <v>9</v>
      </c>
      <c r="O6" s="52" t="s">
        <v>9</v>
      </c>
      <c r="P6" s="51" t="s">
        <v>113</v>
      </c>
      <c r="Q6" s="52" t="s">
        <v>123</v>
      </c>
      <c r="R6" s="51" t="s">
        <v>9</v>
      </c>
      <c r="S6" s="52" t="s">
        <v>9</v>
      </c>
      <c r="T6" s="51" t="s">
        <v>9</v>
      </c>
      <c r="U6" s="52" t="s">
        <v>9</v>
      </c>
      <c r="V6" s="53" t="s">
        <v>9</v>
      </c>
      <c r="W6" s="52" t="s">
        <v>9</v>
      </c>
      <c r="X6" s="48" t="s">
        <v>9</v>
      </c>
      <c r="Y6" s="52" t="s">
        <v>9</v>
      </c>
      <c r="Z6" s="48" t="s">
        <v>119</v>
      </c>
      <c r="AA6" s="52" t="s">
        <v>153</v>
      </c>
    </row>
    <row r="7" spans="1:27" ht="6.75" customHeight="1" x14ac:dyDescent="0.25">
      <c r="A7" s="43">
        <v>7</v>
      </c>
      <c r="B7" s="44" t="s">
        <v>124</v>
      </c>
      <c r="C7" s="45" t="s">
        <v>175</v>
      </c>
      <c r="D7" s="46" t="s">
        <v>9</v>
      </c>
      <c r="E7" s="47" t="s">
        <v>9</v>
      </c>
      <c r="F7" s="46" t="s">
        <v>9</v>
      </c>
      <c r="G7" s="47" t="s">
        <v>9</v>
      </c>
      <c r="H7" s="46" t="s">
        <v>116</v>
      </c>
      <c r="I7" s="54" t="s">
        <v>149</v>
      </c>
      <c r="J7" s="46" t="s">
        <v>9</v>
      </c>
      <c r="K7" s="47" t="s">
        <v>9</v>
      </c>
      <c r="L7" s="48" t="s">
        <v>111</v>
      </c>
      <c r="M7" s="49" t="s">
        <v>125</v>
      </c>
      <c r="N7" s="51" t="s">
        <v>9</v>
      </c>
      <c r="O7" s="52" t="s">
        <v>9</v>
      </c>
      <c r="P7" s="51" t="s">
        <v>113</v>
      </c>
      <c r="Q7" s="52" t="s">
        <v>123</v>
      </c>
      <c r="R7" s="51" t="s">
        <v>9</v>
      </c>
      <c r="S7" s="52" t="s">
        <v>9</v>
      </c>
      <c r="T7" s="51" t="s">
        <v>9</v>
      </c>
      <c r="U7" s="52" t="s">
        <v>9</v>
      </c>
      <c r="V7" s="53" t="s">
        <v>9</v>
      </c>
      <c r="W7" s="52" t="s">
        <v>9</v>
      </c>
      <c r="X7" s="48" t="s">
        <v>9</v>
      </c>
      <c r="Y7" s="52" t="s">
        <v>9</v>
      </c>
      <c r="Z7" s="48" t="s">
        <v>119</v>
      </c>
      <c r="AA7" s="52" t="s">
        <v>153</v>
      </c>
    </row>
    <row r="8" spans="1:27" ht="6.75" customHeight="1" x14ac:dyDescent="0.25">
      <c r="A8" s="43">
        <v>8</v>
      </c>
      <c r="B8" s="44" t="s">
        <v>157</v>
      </c>
      <c r="C8" s="45" t="s">
        <v>154</v>
      </c>
      <c r="D8" s="46" t="s">
        <v>9</v>
      </c>
      <c r="E8" s="47" t="s">
        <v>9</v>
      </c>
      <c r="F8" s="46" t="s">
        <v>9</v>
      </c>
      <c r="G8" s="47" t="s">
        <v>9</v>
      </c>
      <c r="H8" s="46" t="s">
        <v>116</v>
      </c>
      <c r="I8" s="54" t="s">
        <v>121</v>
      </c>
      <c r="J8" s="46" t="s">
        <v>9</v>
      </c>
      <c r="K8" s="47" t="s">
        <v>9</v>
      </c>
      <c r="L8" s="51" t="s">
        <v>9</v>
      </c>
      <c r="M8" s="52" t="s">
        <v>9</v>
      </c>
      <c r="N8" s="51" t="s">
        <v>9</v>
      </c>
      <c r="O8" s="52" t="s">
        <v>9</v>
      </c>
      <c r="P8" s="51" t="s">
        <v>113</v>
      </c>
      <c r="Q8" s="52" t="s">
        <v>174</v>
      </c>
      <c r="R8" s="51" t="s">
        <v>9</v>
      </c>
      <c r="S8" s="52" t="s">
        <v>9</v>
      </c>
      <c r="T8" s="51" t="s">
        <v>9</v>
      </c>
      <c r="U8" s="52" t="s">
        <v>9</v>
      </c>
      <c r="V8" s="53" t="s">
        <v>9</v>
      </c>
      <c r="W8" s="52" t="s">
        <v>9</v>
      </c>
      <c r="X8" s="48" t="s">
        <v>9</v>
      </c>
      <c r="Y8" s="52" t="s">
        <v>9</v>
      </c>
      <c r="Z8" s="48" t="s">
        <v>119</v>
      </c>
      <c r="AA8" s="52" t="s">
        <v>179</v>
      </c>
    </row>
    <row r="9" spans="1:27" ht="6.75" customHeight="1" x14ac:dyDescent="0.25">
      <c r="A9" s="43">
        <v>9</v>
      </c>
      <c r="B9" s="44" t="s">
        <v>158</v>
      </c>
      <c r="C9" s="45" t="s">
        <v>154</v>
      </c>
      <c r="D9" s="46" t="s">
        <v>9</v>
      </c>
      <c r="E9" s="47" t="s">
        <v>9</v>
      </c>
      <c r="F9" s="46" t="s">
        <v>9</v>
      </c>
      <c r="G9" s="47" t="s">
        <v>9</v>
      </c>
      <c r="H9" s="46" t="s">
        <v>116</v>
      </c>
      <c r="I9" s="54" t="s">
        <v>121</v>
      </c>
      <c r="J9" s="46" t="s">
        <v>9</v>
      </c>
      <c r="K9" s="47" t="s">
        <v>9</v>
      </c>
      <c r="L9" s="51" t="s">
        <v>9</v>
      </c>
      <c r="M9" s="52" t="s">
        <v>9</v>
      </c>
      <c r="N9" s="51" t="s">
        <v>9</v>
      </c>
      <c r="O9" s="52" t="s">
        <v>9</v>
      </c>
      <c r="P9" s="51" t="s">
        <v>113</v>
      </c>
      <c r="Q9" s="52" t="s">
        <v>174</v>
      </c>
      <c r="R9" s="51" t="s">
        <v>9</v>
      </c>
      <c r="S9" s="52" t="s">
        <v>9</v>
      </c>
      <c r="T9" s="51" t="s">
        <v>9</v>
      </c>
      <c r="U9" s="52" t="s">
        <v>9</v>
      </c>
      <c r="V9" s="53" t="s">
        <v>9</v>
      </c>
      <c r="W9" s="52" t="s">
        <v>9</v>
      </c>
      <c r="X9" s="48" t="s">
        <v>9</v>
      </c>
      <c r="Y9" s="52" t="s">
        <v>9</v>
      </c>
      <c r="Z9" s="48" t="s">
        <v>119</v>
      </c>
      <c r="AA9" s="52" t="s">
        <v>179</v>
      </c>
    </row>
    <row r="10" spans="1:27" ht="6.75" customHeight="1" x14ac:dyDescent="0.25">
      <c r="A10" s="43">
        <v>10</v>
      </c>
      <c r="B10" s="44" t="s">
        <v>159</v>
      </c>
      <c r="C10" s="45" t="s">
        <v>154</v>
      </c>
      <c r="D10" s="46" t="s">
        <v>9</v>
      </c>
      <c r="E10" s="47" t="s">
        <v>9</v>
      </c>
      <c r="F10" s="46" t="s">
        <v>9</v>
      </c>
      <c r="G10" s="47" t="s">
        <v>9</v>
      </c>
      <c r="H10" s="46" t="s">
        <v>116</v>
      </c>
      <c r="I10" s="54" t="s">
        <v>121</v>
      </c>
      <c r="J10" s="46" t="s">
        <v>9</v>
      </c>
      <c r="K10" s="47" t="s">
        <v>9</v>
      </c>
      <c r="L10" s="51" t="s">
        <v>9</v>
      </c>
      <c r="M10" s="52" t="s">
        <v>9</v>
      </c>
      <c r="N10" s="51" t="s">
        <v>9</v>
      </c>
      <c r="O10" s="52" t="s">
        <v>9</v>
      </c>
      <c r="P10" s="51" t="s">
        <v>113</v>
      </c>
      <c r="Q10" s="52" t="s">
        <v>174</v>
      </c>
      <c r="R10" s="51" t="s">
        <v>9</v>
      </c>
      <c r="S10" s="52" t="s">
        <v>9</v>
      </c>
      <c r="T10" s="51" t="s">
        <v>9</v>
      </c>
      <c r="U10" s="52" t="s">
        <v>9</v>
      </c>
      <c r="V10" s="53" t="s">
        <v>9</v>
      </c>
      <c r="W10" s="52" t="s">
        <v>9</v>
      </c>
      <c r="X10" s="48" t="s">
        <v>9</v>
      </c>
      <c r="Y10" s="52" t="s">
        <v>9</v>
      </c>
      <c r="Z10" s="48" t="s">
        <v>119</v>
      </c>
      <c r="AA10" s="52" t="s">
        <v>179</v>
      </c>
    </row>
    <row r="11" spans="1:27" ht="6.75" customHeight="1" x14ac:dyDescent="0.25">
      <c r="A11" s="43">
        <v>11</v>
      </c>
      <c r="B11" s="44" t="s">
        <v>160</v>
      </c>
      <c r="C11" s="45" t="s">
        <v>154</v>
      </c>
      <c r="D11" s="46" t="s">
        <v>9</v>
      </c>
      <c r="E11" s="47" t="s">
        <v>9</v>
      </c>
      <c r="F11" s="46" t="s">
        <v>9</v>
      </c>
      <c r="G11" s="47" t="s">
        <v>9</v>
      </c>
      <c r="H11" s="46" t="s">
        <v>116</v>
      </c>
      <c r="I11" s="54" t="s">
        <v>121</v>
      </c>
      <c r="J11" s="46" t="s">
        <v>9</v>
      </c>
      <c r="K11" s="47" t="s">
        <v>9</v>
      </c>
      <c r="L11" s="51" t="s">
        <v>9</v>
      </c>
      <c r="M11" s="52" t="s">
        <v>9</v>
      </c>
      <c r="N11" s="51" t="s">
        <v>9</v>
      </c>
      <c r="O11" s="52" t="s">
        <v>9</v>
      </c>
      <c r="P11" s="51" t="s">
        <v>113</v>
      </c>
      <c r="Q11" s="52" t="s">
        <v>174</v>
      </c>
      <c r="R11" s="51" t="s">
        <v>9</v>
      </c>
      <c r="S11" s="52" t="s">
        <v>9</v>
      </c>
      <c r="T11" s="51" t="s">
        <v>9</v>
      </c>
      <c r="U11" s="52" t="s">
        <v>9</v>
      </c>
      <c r="V11" s="53" t="s">
        <v>9</v>
      </c>
      <c r="W11" s="52" t="s">
        <v>9</v>
      </c>
      <c r="X11" s="48" t="s">
        <v>9</v>
      </c>
      <c r="Y11" s="52" t="s">
        <v>9</v>
      </c>
      <c r="Z11" s="48" t="s">
        <v>119</v>
      </c>
      <c r="AA11" s="52" t="s">
        <v>179</v>
      </c>
    </row>
    <row r="12" spans="1:27" ht="6.75" customHeight="1" x14ac:dyDescent="0.25">
      <c r="A12" s="43">
        <v>12</v>
      </c>
      <c r="B12" s="44" t="s">
        <v>161</v>
      </c>
      <c r="C12" s="45" t="s">
        <v>154</v>
      </c>
      <c r="D12" s="46" t="s">
        <v>9</v>
      </c>
      <c r="E12" s="47" t="s">
        <v>9</v>
      </c>
      <c r="F12" s="46" t="s">
        <v>9</v>
      </c>
      <c r="G12" s="47" t="s">
        <v>9</v>
      </c>
      <c r="H12" s="46" t="s">
        <v>116</v>
      </c>
      <c r="I12" s="54" t="s">
        <v>121</v>
      </c>
      <c r="J12" s="46" t="s">
        <v>9</v>
      </c>
      <c r="K12" s="47" t="s">
        <v>9</v>
      </c>
      <c r="L12" s="51" t="s">
        <v>9</v>
      </c>
      <c r="M12" s="52" t="s">
        <v>9</v>
      </c>
      <c r="N12" s="51" t="s">
        <v>9</v>
      </c>
      <c r="O12" s="52" t="s">
        <v>9</v>
      </c>
      <c r="P12" s="51" t="s">
        <v>113</v>
      </c>
      <c r="Q12" s="52" t="s">
        <v>174</v>
      </c>
      <c r="R12" s="51" t="s">
        <v>9</v>
      </c>
      <c r="S12" s="52" t="s">
        <v>9</v>
      </c>
      <c r="T12" s="51" t="s">
        <v>9</v>
      </c>
      <c r="U12" s="52" t="s">
        <v>9</v>
      </c>
      <c r="V12" s="53" t="s">
        <v>9</v>
      </c>
      <c r="W12" s="52" t="s">
        <v>9</v>
      </c>
      <c r="X12" s="48" t="s">
        <v>9</v>
      </c>
      <c r="Y12" s="52" t="s">
        <v>9</v>
      </c>
      <c r="Z12" s="48" t="s">
        <v>119</v>
      </c>
      <c r="AA12" s="52" t="s">
        <v>179</v>
      </c>
    </row>
    <row r="13" spans="1:27" ht="6.75" customHeight="1" x14ac:dyDescent="0.25">
      <c r="A13" s="43">
        <v>13</v>
      </c>
      <c r="B13" s="44" t="s">
        <v>162</v>
      </c>
      <c r="C13" s="45" t="s">
        <v>154</v>
      </c>
      <c r="D13" s="46" t="s">
        <v>9</v>
      </c>
      <c r="E13" s="47" t="s">
        <v>9</v>
      </c>
      <c r="F13" s="46" t="s">
        <v>9</v>
      </c>
      <c r="G13" s="47" t="s">
        <v>9</v>
      </c>
      <c r="H13" s="46" t="s">
        <v>116</v>
      </c>
      <c r="I13" s="54" t="s">
        <v>121</v>
      </c>
      <c r="J13" s="46" t="s">
        <v>9</v>
      </c>
      <c r="K13" s="47" t="s">
        <v>9</v>
      </c>
      <c r="L13" s="51" t="s">
        <v>9</v>
      </c>
      <c r="M13" s="52" t="s">
        <v>9</v>
      </c>
      <c r="N13" s="51" t="s">
        <v>9</v>
      </c>
      <c r="O13" s="52" t="s">
        <v>9</v>
      </c>
      <c r="P13" s="51" t="s">
        <v>113</v>
      </c>
      <c r="Q13" s="52" t="s">
        <v>174</v>
      </c>
      <c r="R13" s="51" t="s">
        <v>9</v>
      </c>
      <c r="S13" s="52" t="s">
        <v>9</v>
      </c>
      <c r="T13" s="51" t="s">
        <v>9</v>
      </c>
      <c r="U13" s="52" t="s">
        <v>9</v>
      </c>
      <c r="V13" s="53" t="s">
        <v>9</v>
      </c>
      <c r="W13" s="52" t="s">
        <v>9</v>
      </c>
      <c r="X13" s="48" t="s">
        <v>9</v>
      </c>
      <c r="Y13" s="52" t="s">
        <v>9</v>
      </c>
      <c r="Z13" s="48" t="s">
        <v>119</v>
      </c>
      <c r="AA13" s="52" t="s">
        <v>179</v>
      </c>
    </row>
    <row r="14" spans="1:27" ht="6.75" customHeight="1" x14ac:dyDescent="0.25">
      <c r="A14" s="43">
        <v>14</v>
      </c>
      <c r="B14" s="44" t="s">
        <v>163</v>
      </c>
      <c r="C14" s="45" t="s">
        <v>154</v>
      </c>
      <c r="D14" s="46" t="s">
        <v>9</v>
      </c>
      <c r="E14" s="47" t="s">
        <v>9</v>
      </c>
      <c r="F14" s="46" t="s">
        <v>9</v>
      </c>
      <c r="G14" s="47" t="s">
        <v>9</v>
      </c>
      <c r="H14" s="46" t="s">
        <v>116</v>
      </c>
      <c r="I14" s="54" t="s">
        <v>121</v>
      </c>
      <c r="J14" s="46" t="s">
        <v>9</v>
      </c>
      <c r="K14" s="47" t="s">
        <v>9</v>
      </c>
      <c r="L14" s="51" t="s">
        <v>9</v>
      </c>
      <c r="M14" s="52" t="s">
        <v>9</v>
      </c>
      <c r="N14" s="51" t="s">
        <v>9</v>
      </c>
      <c r="O14" s="52" t="s">
        <v>9</v>
      </c>
      <c r="P14" s="51" t="s">
        <v>113</v>
      </c>
      <c r="Q14" s="52" t="s">
        <v>174</v>
      </c>
      <c r="R14" s="51" t="s">
        <v>9</v>
      </c>
      <c r="S14" s="52" t="s">
        <v>9</v>
      </c>
      <c r="T14" s="51" t="s">
        <v>9</v>
      </c>
      <c r="U14" s="52" t="s">
        <v>9</v>
      </c>
      <c r="V14" s="53" t="s">
        <v>9</v>
      </c>
      <c r="W14" s="52" t="s">
        <v>9</v>
      </c>
      <c r="X14" s="48" t="s">
        <v>9</v>
      </c>
      <c r="Y14" s="52" t="s">
        <v>9</v>
      </c>
      <c r="Z14" s="48" t="s">
        <v>119</v>
      </c>
      <c r="AA14" s="52" t="s">
        <v>179</v>
      </c>
    </row>
    <row r="15" spans="1:27" ht="6.75" customHeight="1" x14ac:dyDescent="0.25">
      <c r="A15" s="43">
        <v>15</v>
      </c>
      <c r="B15" s="44" t="s">
        <v>164</v>
      </c>
      <c r="C15" s="45" t="s">
        <v>154</v>
      </c>
      <c r="D15" s="46" t="s">
        <v>9</v>
      </c>
      <c r="E15" s="47" t="s">
        <v>9</v>
      </c>
      <c r="F15" s="46" t="s">
        <v>9</v>
      </c>
      <c r="G15" s="47" t="s">
        <v>9</v>
      </c>
      <c r="H15" s="46" t="s">
        <v>116</v>
      </c>
      <c r="I15" s="54" t="s">
        <v>121</v>
      </c>
      <c r="J15" s="46" t="s">
        <v>9</v>
      </c>
      <c r="K15" s="47" t="s">
        <v>9</v>
      </c>
      <c r="L15" s="51" t="s">
        <v>9</v>
      </c>
      <c r="M15" s="52" t="s">
        <v>9</v>
      </c>
      <c r="N15" s="51" t="s">
        <v>9</v>
      </c>
      <c r="O15" s="52" t="s">
        <v>9</v>
      </c>
      <c r="P15" s="51" t="s">
        <v>113</v>
      </c>
      <c r="Q15" s="52" t="s">
        <v>174</v>
      </c>
      <c r="R15" s="51" t="s">
        <v>9</v>
      </c>
      <c r="S15" s="52" t="s">
        <v>9</v>
      </c>
      <c r="T15" s="51" t="s">
        <v>9</v>
      </c>
      <c r="U15" s="52" t="s">
        <v>9</v>
      </c>
      <c r="V15" s="53" t="s">
        <v>9</v>
      </c>
      <c r="W15" s="52" t="s">
        <v>9</v>
      </c>
      <c r="X15" s="48" t="s">
        <v>9</v>
      </c>
      <c r="Y15" s="52" t="s">
        <v>9</v>
      </c>
      <c r="Z15" s="48" t="s">
        <v>119</v>
      </c>
      <c r="AA15" s="52" t="s">
        <v>179</v>
      </c>
    </row>
    <row r="16" spans="1:27" ht="6.75" customHeight="1" x14ac:dyDescent="0.25">
      <c r="A16" s="43">
        <v>16</v>
      </c>
      <c r="B16" s="44" t="s">
        <v>165</v>
      </c>
      <c r="C16" s="45" t="s">
        <v>154</v>
      </c>
      <c r="D16" s="46" t="s">
        <v>9</v>
      </c>
      <c r="E16" s="47" t="s">
        <v>9</v>
      </c>
      <c r="F16" s="46" t="s">
        <v>9</v>
      </c>
      <c r="G16" s="47" t="s">
        <v>9</v>
      </c>
      <c r="H16" s="46" t="s">
        <v>116</v>
      </c>
      <c r="I16" s="54" t="s">
        <v>124</v>
      </c>
      <c r="J16" s="46" t="s">
        <v>9</v>
      </c>
      <c r="K16" s="47" t="s">
        <v>9</v>
      </c>
      <c r="L16" s="51" t="s">
        <v>9</v>
      </c>
      <c r="M16" s="52" t="s">
        <v>9</v>
      </c>
      <c r="N16" s="51" t="s">
        <v>9</v>
      </c>
      <c r="O16" s="52" t="s">
        <v>9</v>
      </c>
      <c r="P16" s="51" t="s">
        <v>113</v>
      </c>
      <c r="Q16" s="52" t="s">
        <v>173</v>
      </c>
      <c r="R16" s="51" t="s">
        <v>9</v>
      </c>
      <c r="S16" s="52" t="s">
        <v>9</v>
      </c>
      <c r="T16" s="51" t="s">
        <v>9</v>
      </c>
      <c r="U16" s="52" t="s">
        <v>9</v>
      </c>
      <c r="V16" s="53" t="s">
        <v>9</v>
      </c>
      <c r="W16" s="52" t="s">
        <v>9</v>
      </c>
      <c r="X16" s="48" t="s">
        <v>9</v>
      </c>
      <c r="Y16" s="52" t="s">
        <v>9</v>
      </c>
      <c r="Z16" s="48" t="s">
        <v>119</v>
      </c>
      <c r="AA16" s="52" t="s">
        <v>179</v>
      </c>
    </row>
    <row r="17" spans="1:27" ht="6.75" customHeight="1" x14ac:dyDescent="0.25">
      <c r="A17" s="43">
        <v>17</v>
      </c>
      <c r="B17" s="44" t="s">
        <v>166</v>
      </c>
      <c r="C17" s="45" t="s">
        <v>154</v>
      </c>
      <c r="D17" s="46" t="s">
        <v>9</v>
      </c>
      <c r="E17" s="47" t="s">
        <v>9</v>
      </c>
      <c r="F17" s="46" t="s">
        <v>9</v>
      </c>
      <c r="G17" s="47" t="s">
        <v>9</v>
      </c>
      <c r="H17" s="46" t="s">
        <v>116</v>
      </c>
      <c r="I17" s="54" t="s">
        <v>124</v>
      </c>
      <c r="J17" s="46" t="s">
        <v>9</v>
      </c>
      <c r="K17" s="47" t="s">
        <v>9</v>
      </c>
      <c r="L17" s="51" t="s">
        <v>9</v>
      </c>
      <c r="M17" s="52" t="s">
        <v>9</v>
      </c>
      <c r="N17" s="51" t="s">
        <v>9</v>
      </c>
      <c r="O17" s="52" t="s">
        <v>9</v>
      </c>
      <c r="P17" s="51" t="s">
        <v>113</v>
      </c>
      <c r="Q17" s="52" t="s">
        <v>173</v>
      </c>
      <c r="R17" s="51" t="s">
        <v>9</v>
      </c>
      <c r="S17" s="52" t="s">
        <v>9</v>
      </c>
      <c r="T17" s="51" t="s">
        <v>9</v>
      </c>
      <c r="U17" s="52" t="s">
        <v>9</v>
      </c>
      <c r="V17" s="53" t="s">
        <v>9</v>
      </c>
      <c r="W17" s="52" t="s">
        <v>9</v>
      </c>
      <c r="X17" s="48" t="s">
        <v>9</v>
      </c>
      <c r="Y17" s="52" t="s">
        <v>9</v>
      </c>
      <c r="Z17" s="48" t="s">
        <v>119</v>
      </c>
      <c r="AA17" s="52" t="s">
        <v>179</v>
      </c>
    </row>
    <row r="18" spans="1:27" ht="6.75" customHeight="1" x14ac:dyDescent="0.25">
      <c r="A18" s="43">
        <v>18</v>
      </c>
      <c r="B18" s="44" t="s">
        <v>167</v>
      </c>
      <c r="C18" s="45" t="s">
        <v>154</v>
      </c>
      <c r="D18" s="46" t="s">
        <v>9</v>
      </c>
      <c r="E18" s="47" t="s">
        <v>9</v>
      </c>
      <c r="F18" s="46" t="s">
        <v>9</v>
      </c>
      <c r="G18" s="47" t="s">
        <v>9</v>
      </c>
      <c r="H18" s="46" t="s">
        <v>116</v>
      </c>
      <c r="I18" s="54" t="s">
        <v>124</v>
      </c>
      <c r="J18" s="46" t="s">
        <v>9</v>
      </c>
      <c r="K18" s="47" t="s">
        <v>9</v>
      </c>
      <c r="L18" s="51" t="s">
        <v>9</v>
      </c>
      <c r="M18" s="52" t="s">
        <v>9</v>
      </c>
      <c r="N18" s="51" t="s">
        <v>9</v>
      </c>
      <c r="O18" s="52" t="s">
        <v>9</v>
      </c>
      <c r="P18" s="51" t="s">
        <v>113</v>
      </c>
      <c r="Q18" s="52" t="s">
        <v>173</v>
      </c>
      <c r="R18" s="51" t="s">
        <v>9</v>
      </c>
      <c r="S18" s="52" t="s">
        <v>9</v>
      </c>
      <c r="T18" s="51" t="s">
        <v>9</v>
      </c>
      <c r="U18" s="52" t="s">
        <v>9</v>
      </c>
      <c r="V18" s="53" t="s">
        <v>9</v>
      </c>
      <c r="W18" s="52" t="s">
        <v>9</v>
      </c>
      <c r="X18" s="48" t="s">
        <v>9</v>
      </c>
      <c r="Y18" s="52" t="s">
        <v>9</v>
      </c>
      <c r="Z18" s="48" t="s">
        <v>119</v>
      </c>
      <c r="AA18" s="52" t="s">
        <v>179</v>
      </c>
    </row>
    <row r="19" spans="1:27" ht="6.75" customHeight="1" x14ac:dyDescent="0.25">
      <c r="A19" s="43">
        <v>19</v>
      </c>
      <c r="B19" s="44" t="s">
        <v>168</v>
      </c>
      <c r="C19" s="45" t="s">
        <v>154</v>
      </c>
      <c r="D19" s="46" t="s">
        <v>9</v>
      </c>
      <c r="E19" s="47" t="s">
        <v>9</v>
      </c>
      <c r="F19" s="46" t="s">
        <v>9</v>
      </c>
      <c r="G19" s="47" t="s">
        <v>9</v>
      </c>
      <c r="H19" s="46" t="s">
        <v>116</v>
      </c>
      <c r="I19" s="54" t="s">
        <v>124</v>
      </c>
      <c r="J19" s="46" t="s">
        <v>9</v>
      </c>
      <c r="K19" s="47" t="s">
        <v>9</v>
      </c>
      <c r="L19" s="51" t="s">
        <v>9</v>
      </c>
      <c r="M19" s="52" t="s">
        <v>9</v>
      </c>
      <c r="N19" s="51" t="s">
        <v>9</v>
      </c>
      <c r="O19" s="52" t="s">
        <v>9</v>
      </c>
      <c r="P19" s="51" t="s">
        <v>113</v>
      </c>
      <c r="Q19" s="52" t="s">
        <v>173</v>
      </c>
      <c r="R19" s="51" t="s">
        <v>9</v>
      </c>
      <c r="S19" s="52" t="s">
        <v>9</v>
      </c>
      <c r="T19" s="51" t="s">
        <v>9</v>
      </c>
      <c r="U19" s="52" t="s">
        <v>9</v>
      </c>
      <c r="V19" s="53" t="s">
        <v>9</v>
      </c>
      <c r="W19" s="52" t="s">
        <v>9</v>
      </c>
      <c r="X19" s="48" t="s">
        <v>9</v>
      </c>
      <c r="Y19" s="52" t="s">
        <v>9</v>
      </c>
      <c r="Z19" s="48" t="s">
        <v>119</v>
      </c>
      <c r="AA19" s="52" t="s">
        <v>179</v>
      </c>
    </row>
    <row r="20" spans="1:27" ht="6.75" customHeight="1" x14ac:dyDescent="0.25">
      <c r="A20" s="43">
        <v>20</v>
      </c>
      <c r="B20" s="44" t="s">
        <v>169</v>
      </c>
      <c r="C20" s="45" t="s">
        <v>154</v>
      </c>
      <c r="D20" s="46" t="s">
        <v>9</v>
      </c>
      <c r="E20" s="47" t="s">
        <v>9</v>
      </c>
      <c r="F20" s="46" t="s">
        <v>9</v>
      </c>
      <c r="G20" s="47" t="s">
        <v>9</v>
      </c>
      <c r="H20" s="46" t="s">
        <v>116</v>
      </c>
      <c r="I20" s="54" t="s">
        <v>124</v>
      </c>
      <c r="J20" s="46" t="s">
        <v>9</v>
      </c>
      <c r="K20" s="47" t="s">
        <v>9</v>
      </c>
      <c r="L20" s="51" t="s">
        <v>9</v>
      </c>
      <c r="M20" s="52" t="s">
        <v>9</v>
      </c>
      <c r="N20" s="51" t="s">
        <v>9</v>
      </c>
      <c r="O20" s="52" t="s">
        <v>9</v>
      </c>
      <c r="P20" s="51" t="s">
        <v>113</v>
      </c>
      <c r="Q20" s="52" t="s">
        <v>173</v>
      </c>
      <c r="R20" s="51" t="s">
        <v>9</v>
      </c>
      <c r="S20" s="52" t="s">
        <v>9</v>
      </c>
      <c r="T20" s="51" t="s">
        <v>9</v>
      </c>
      <c r="U20" s="52" t="s">
        <v>9</v>
      </c>
      <c r="V20" s="53" t="s">
        <v>9</v>
      </c>
      <c r="W20" s="52" t="s">
        <v>9</v>
      </c>
      <c r="X20" s="48" t="s">
        <v>9</v>
      </c>
      <c r="Y20" s="52" t="s">
        <v>9</v>
      </c>
      <c r="Z20" s="48" t="s">
        <v>119</v>
      </c>
      <c r="AA20" s="52" t="s">
        <v>179</v>
      </c>
    </row>
    <row r="21" spans="1:27" ht="6.75" customHeight="1" x14ac:dyDescent="0.25">
      <c r="A21" s="43">
        <v>21</v>
      </c>
      <c r="B21" s="44" t="s">
        <v>170</v>
      </c>
      <c r="C21" s="45" t="s">
        <v>154</v>
      </c>
      <c r="D21" s="46" t="s">
        <v>9</v>
      </c>
      <c r="E21" s="47" t="s">
        <v>9</v>
      </c>
      <c r="F21" s="46" t="s">
        <v>9</v>
      </c>
      <c r="G21" s="47" t="s">
        <v>9</v>
      </c>
      <c r="H21" s="46" t="s">
        <v>116</v>
      </c>
      <c r="I21" s="54" t="s">
        <v>124</v>
      </c>
      <c r="J21" s="46" t="s">
        <v>9</v>
      </c>
      <c r="K21" s="47" t="s">
        <v>9</v>
      </c>
      <c r="L21" s="51" t="s">
        <v>9</v>
      </c>
      <c r="M21" s="52" t="s">
        <v>9</v>
      </c>
      <c r="N21" s="51" t="s">
        <v>9</v>
      </c>
      <c r="O21" s="52" t="s">
        <v>9</v>
      </c>
      <c r="P21" s="51" t="s">
        <v>113</v>
      </c>
      <c r="Q21" s="52" t="s">
        <v>173</v>
      </c>
      <c r="R21" s="51" t="s">
        <v>9</v>
      </c>
      <c r="S21" s="52" t="s">
        <v>9</v>
      </c>
      <c r="T21" s="51" t="s">
        <v>9</v>
      </c>
      <c r="U21" s="52" t="s">
        <v>9</v>
      </c>
      <c r="V21" s="53" t="s">
        <v>9</v>
      </c>
      <c r="W21" s="52" t="s">
        <v>9</v>
      </c>
      <c r="X21" s="48" t="s">
        <v>9</v>
      </c>
      <c r="Y21" s="52" t="s">
        <v>9</v>
      </c>
      <c r="Z21" s="48" t="s">
        <v>119</v>
      </c>
      <c r="AA21" s="52" t="s">
        <v>179</v>
      </c>
    </row>
    <row r="22" spans="1:27" ht="6.75" customHeight="1" x14ac:dyDescent="0.25">
      <c r="A22" s="43">
        <v>22</v>
      </c>
      <c r="B22" s="44" t="s">
        <v>171</v>
      </c>
      <c r="C22" s="45" t="s">
        <v>154</v>
      </c>
      <c r="D22" s="46" t="s">
        <v>9</v>
      </c>
      <c r="E22" s="47" t="s">
        <v>9</v>
      </c>
      <c r="F22" s="46" t="s">
        <v>9</v>
      </c>
      <c r="G22" s="47" t="s">
        <v>9</v>
      </c>
      <c r="H22" s="46" t="s">
        <v>116</v>
      </c>
      <c r="I22" s="54" t="s">
        <v>124</v>
      </c>
      <c r="J22" s="46" t="s">
        <v>9</v>
      </c>
      <c r="K22" s="47" t="s">
        <v>9</v>
      </c>
      <c r="L22" s="51" t="s">
        <v>9</v>
      </c>
      <c r="M22" s="52" t="s">
        <v>9</v>
      </c>
      <c r="N22" s="51" t="s">
        <v>9</v>
      </c>
      <c r="O22" s="52" t="s">
        <v>9</v>
      </c>
      <c r="P22" s="51" t="s">
        <v>113</v>
      </c>
      <c r="Q22" s="52" t="s">
        <v>173</v>
      </c>
      <c r="R22" s="51" t="s">
        <v>9</v>
      </c>
      <c r="S22" s="52" t="s">
        <v>9</v>
      </c>
      <c r="T22" s="51" t="s">
        <v>9</v>
      </c>
      <c r="U22" s="52" t="s">
        <v>9</v>
      </c>
      <c r="V22" s="53" t="s">
        <v>9</v>
      </c>
      <c r="W22" s="52" t="s">
        <v>9</v>
      </c>
      <c r="X22" s="48" t="s">
        <v>9</v>
      </c>
      <c r="Y22" s="52" t="s">
        <v>9</v>
      </c>
      <c r="Z22" s="48" t="s">
        <v>119</v>
      </c>
      <c r="AA22" s="52" t="s">
        <v>179</v>
      </c>
    </row>
    <row r="23" spans="1:27" ht="6.75" customHeight="1" x14ac:dyDescent="0.25">
      <c r="A23" s="43">
        <v>23</v>
      </c>
      <c r="B23" s="44" t="s">
        <v>172</v>
      </c>
      <c r="C23" s="45" t="s">
        <v>154</v>
      </c>
      <c r="D23" s="46" t="s">
        <v>9</v>
      </c>
      <c r="E23" s="47" t="s">
        <v>9</v>
      </c>
      <c r="F23" s="46" t="s">
        <v>9</v>
      </c>
      <c r="G23" s="47" t="s">
        <v>9</v>
      </c>
      <c r="H23" s="46" t="s">
        <v>116</v>
      </c>
      <c r="I23" s="54" t="s">
        <v>124</v>
      </c>
      <c r="J23" s="46" t="s">
        <v>9</v>
      </c>
      <c r="K23" s="47" t="s">
        <v>9</v>
      </c>
      <c r="L23" s="51" t="s">
        <v>9</v>
      </c>
      <c r="M23" s="52" t="s">
        <v>9</v>
      </c>
      <c r="N23" s="51" t="s">
        <v>9</v>
      </c>
      <c r="O23" s="52" t="s">
        <v>9</v>
      </c>
      <c r="P23" s="51" t="s">
        <v>113</v>
      </c>
      <c r="Q23" s="52" t="s">
        <v>173</v>
      </c>
      <c r="R23" s="51" t="s">
        <v>9</v>
      </c>
      <c r="S23" s="52" t="s">
        <v>9</v>
      </c>
      <c r="T23" s="51" t="s">
        <v>9</v>
      </c>
      <c r="U23" s="52" t="s">
        <v>9</v>
      </c>
      <c r="V23" s="53" t="s">
        <v>9</v>
      </c>
      <c r="W23" s="52" t="s">
        <v>9</v>
      </c>
      <c r="X23" s="48" t="s">
        <v>9</v>
      </c>
      <c r="Y23" s="52" t="s">
        <v>9</v>
      </c>
      <c r="Z23" s="48" t="s">
        <v>119</v>
      </c>
      <c r="AA23" s="52" t="s">
        <v>179</v>
      </c>
    </row>
    <row r="24" spans="1:27" ht="6.75" customHeight="1" x14ac:dyDescent="0.25">
      <c r="A24" s="43">
        <v>24</v>
      </c>
      <c r="B24" s="44" t="s">
        <v>133</v>
      </c>
      <c r="C24" s="45" t="s">
        <v>84</v>
      </c>
      <c r="D24" s="46" t="s">
        <v>134</v>
      </c>
      <c r="E24" s="54" t="s">
        <v>126</v>
      </c>
      <c r="F24" s="46" t="s">
        <v>9</v>
      </c>
      <c r="G24" s="47" t="s">
        <v>9</v>
      </c>
      <c r="H24" s="46" t="s">
        <v>9</v>
      </c>
      <c r="I24" s="47" t="s">
        <v>9</v>
      </c>
      <c r="J24" s="46" t="s">
        <v>9</v>
      </c>
      <c r="K24" s="47" t="s">
        <v>9</v>
      </c>
      <c r="L24" s="51" t="s">
        <v>9</v>
      </c>
      <c r="M24" s="52" t="s">
        <v>9</v>
      </c>
      <c r="N24" s="51" t="s">
        <v>9</v>
      </c>
      <c r="O24" s="52" t="s">
        <v>9</v>
      </c>
      <c r="P24" s="51" t="s">
        <v>113</v>
      </c>
      <c r="Q24" s="52" t="s">
        <v>135</v>
      </c>
      <c r="R24" s="51" t="s">
        <v>9</v>
      </c>
      <c r="S24" s="52" t="s">
        <v>9</v>
      </c>
      <c r="T24" s="51" t="s">
        <v>9</v>
      </c>
      <c r="U24" s="52" t="s">
        <v>9</v>
      </c>
      <c r="V24" s="48" t="s">
        <v>9</v>
      </c>
      <c r="W24" s="52" t="s">
        <v>9</v>
      </c>
      <c r="X24" s="48" t="s">
        <v>9</v>
      </c>
      <c r="Y24" s="52" t="s">
        <v>9</v>
      </c>
      <c r="Z24" s="48" t="s">
        <v>119</v>
      </c>
      <c r="AA24" s="52" t="s">
        <v>188</v>
      </c>
    </row>
    <row r="25" spans="1:27" ht="6.75" customHeight="1" x14ac:dyDescent="0.25">
      <c r="A25" s="43">
        <v>25</v>
      </c>
      <c r="B25" s="44" t="s">
        <v>136</v>
      </c>
      <c r="C25" s="45" t="s">
        <v>84</v>
      </c>
      <c r="D25" s="46" t="s">
        <v>134</v>
      </c>
      <c r="E25" s="54" t="s">
        <v>126</v>
      </c>
      <c r="F25" s="46" t="s">
        <v>9</v>
      </c>
      <c r="G25" s="47" t="s">
        <v>9</v>
      </c>
      <c r="H25" s="46" t="s">
        <v>9</v>
      </c>
      <c r="I25" s="47" t="s">
        <v>9</v>
      </c>
      <c r="J25" s="46" t="s">
        <v>9</v>
      </c>
      <c r="K25" s="47" t="s">
        <v>9</v>
      </c>
      <c r="L25" s="51" t="s">
        <v>9</v>
      </c>
      <c r="M25" s="52" t="s">
        <v>9</v>
      </c>
      <c r="N25" s="51" t="s">
        <v>9</v>
      </c>
      <c r="O25" s="52" t="s">
        <v>9</v>
      </c>
      <c r="P25" s="51" t="s">
        <v>113</v>
      </c>
      <c r="Q25" s="52" t="s">
        <v>135</v>
      </c>
      <c r="R25" s="51" t="s">
        <v>9</v>
      </c>
      <c r="S25" s="52" t="s">
        <v>9</v>
      </c>
      <c r="T25" s="51" t="s">
        <v>9</v>
      </c>
      <c r="U25" s="52" t="s">
        <v>9</v>
      </c>
      <c r="V25" s="48" t="s">
        <v>9</v>
      </c>
      <c r="W25" s="52" t="s">
        <v>9</v>
      </c>
      <c r="X25" s="48" t="s">
        <v>9</v>
      </c>
      <c r="Y25" s="52" t="s">
        <v>9</v>
      </c>
      <c r="Z25" s="48" t="s">
        <v>119</v>
      </c>
      <c r="AA25" s="52" t="s">
        <v>188</v>
      </c>
    </row>
    <row r="26" spans="1:27" ht="6.75" customHeight="1" x14ac:dyDescent="0.25">
      <c r="A26" s="43">
        <v>26</v>
      </c>
      <c r="B26" s="44" t="s">
        <v>115</v>
      </c>
      <c r="C26" s="45" t="s">
        <v>83</v>
      </c>
      <c r="D26" s="46" t="s">
        <v>9</v>
      </c>
      <c r="E26" s="47" t="s">
        <v>9</v>
      </c>
      <c r="F26" s="46" t="s">
        <v>9</v>
      </c>
      <c r="G26" s="47" t="s">
        <v>9</v>
      </c>
      <c r="H26" s="46" t="s">
        <v>116</v>
      </c>
      <c r="I26" s="54" t="s">
        <v>150</v>
      </c>
      <c r="J26" s="46" t="s">
        <v>9</v>
      </c>
      <c r="K26" s="47" t="s">
        <v>9</v>
      </c>
      <c r="L26" s="51" t="s">
        <v>9</v>
      </c>
      <c r="M26" s="52" t="s">
        <v>9</v>
      </c>
      <c r="N26" s="51" t="s">
        <v>9</v>
      </c>
      <c r="O26" s="52" t="s">
        <v>9</v>
      </c>
      <c r="P26" s="51" t="s">
        <v>113</v>
      </c>
      <c r="Q26" s="52" t="s">
        <v>137</v>
      </c>
      <c r="R26" s="48" t="s">
        <v>9</v>
      </c>
      <c r="S26" s="50" t="s">
        <v>9</v>
      </c>
      <c r="T26" s="48" t="s">
        <v>138</v>
      </c>
      <c r="U26" s="56" t="s">
        <v>139</v>
      </c>
      <c r="V26" s="48" t="s">
        <v>9</v>
      </c>
      <c r="W26" s="52" t="s">
        <v>9</v>
      </c>
      <c r="X26" s="48" t="s">
        <v>9</v>
      </c>
      <c r="Y26" s="52" t="s">
        <v>9</v>
      </c>
      <c r="Z26" s="48" t="s">
        <v>119</v>
      </c>
      <c r="AA26" s="52" t="s">
        <v>152</v>
      </c>
    </row>
    <row r="27" spans="1:27" ht="6.75" customHeight="1" x14ac:dyDescent="0.25">
      <c r="A27" s="43">
        <v>27</v>
      </c>
      <c r="B27" s="44" t="s">
        <v>120</v>
      </c>
      <c r="C27" s="45" t="s">
        <v>83</v>
      </c>
      <c r="D27" s="46" t="s">
        <v>9</v>
      </c>
      <c r="E27" s="47" t="s">
        <v>9</v>
      </c>
      <c r="F27" s="46" t="s">
        <v>9</v>
      </c>
      <c r="G27" s="47" t="s">
        <v>9</v>
      </c>
      <c r="H27" s="46" t="s">
        <v>116</v>
      </c>
      <c r="I27" s="54" t="s">
        <v>151</v>
      </c>
      <c r="J27" s="46" t="s">
        <v>9</v>
      </c>
      <c r="K27" s="47" t="s">
        <v>9</v>
      </c>
      <c r="L27" s="51" t="s">
        <v>9</v>
      </c>
      <c r="M27" s="52" t="s">
        <v>9</v>
      </c>
      <c r="N27" s="51" t="s">
        <v>9</v>
      </c>
      <c r="O27" s="52" t="s">
        <v>9</v>
      </c>
      <c r="P27" s="51" t="s">
        <v>113</v>
      </c>
      <c r="Q27" s="52" t="s">
        <v>137</v>
      </c>
      <c r="R27" s="48" t="s">
        <v>9</v>
      </c>
      <c r="S27" s="50" t="s">
        <v>9</v>
      </c>
      <c r="T27" s="48" t="s">
        <v>138</v>
      </c>
      <c r="U27" s="56" t="s">
        <v>140</v>
      </c>
      <c r="V27" s="48" t="s">
        <v>9</v>
      </c>
      <c r="W27" s="52" t="s">
        <v>9</v>
      </c>
      <c r="X27" s="48" t="s">
        <v>9</v>
      </c>
      <c r="Y27" s="52" t="s">
        <v>9</v>
      </c>
      <c r="Z27" s="48" t="s">
        <v>119</v>
      </c>
      <c r="AA27" s="52" t="s">
        <v>152</v>
      </c>
    </row>
    <row r="28" spans="1:27" ht="6.75" customHeight="1" x14ac:dyDescent="0.25">
      <c r="A28" s="43">
        <v>28</v>
      </c>
      <c r="B28" s="44" t="s">
        <v>141</v>
      </c>
      <c r="C28" s="45" t="s">
        <v>185</v>
      </c>
      <c r="D28" s="46" t="s">
        <v>142</v>
      </c>
      <c r="E28" s="54" t="s">
        <v>126</v>
      </c>
      <c r="F28" s="46" t="s">
        <v>143</v>
      </c>
      <c r="G28" s="54" t="s">
        <v>133</v>
      </c>
      <c r="H28" s="46" t="s">
        <v>116</v>
      </c>
      <c r="I28" s="47" t="s">
        <v>121</v>
      </c>
      <c r="J28" s="46" t="s">
        <v>114</v>
      </c>
      <c r="K28" s="47" t="s">
        <v>115</v>
      </c>
      <c r="L28" s="51" t="s">
        <v>9</v>
      </c>
      <c r="M28" s="52" t="s">
        <v>9</v>
      </c>
      <c r="N28" s="51" t="s">
        <v>9</v>
      </c>
      <c r="O28" s="52" t="s">
        <v>9</v>
      </c>
      <c r="P28" s="51" t="s">
        <v>113</v>
      </c>
      <c r="Q28" s="52" t="s">
        <v>144</v>
      </c>
      <c r="R28" s="51" t="s">
        <v>145</v>
      </c>
      <c r="S28" s="52" t="s">
        <v>146</v>
      </c>
      <c r="T28" s="51" t="s">
        <v>9</v>
      </c>
      <c r="U28" s="52" t="s">
        <v>9</v>
      </c>
      <c r="V28" s="48" t="s">
        <v>9</v>
      </c>
      <c r="W28" s="52" t="s">
        <v>9</v>
      </c>
      <c r="X28" s="48" t="s">
        <v>9</v>
      </c>
      <c r="Y28" s="52" t="s">
        <v>9</v>
      </c>
      <c r="Z28" s="48" t="s">
        <v>9</v>
      </c>
      <c r="AA28" s="52" t="s">
        <v>9</v>
      </c>
    </row>
    <row r="29" spans="1:27" ht="6.75" customHeight="1" x14ac:dyDescent="0.25">
      <c r="A29" s="43">
        <v>29</v>
      </c>
      <c r="B29" s="44" t="s">
        <v>147</v>
      </c>
      <c r="C29" s="45" t="s">
        <v>185</v>
      </c>
      <c r="D29" s="46" t="s">
        <v>142</v>
      </c>
      <c r="E29" s="54" t="s">
        <v>126</v>
      </c>
      <c r="F29" s="46" t="s">
        <v>143</v>
      </c>
      <c r="G29" s="54" t="s">
        <v>136</v>
      </c>
      <c r="H29" s="46" t="s">
        <v>116</v>
      </c>
      <c r="I29" s="47" t="s">
        <v>124</v>
      </c>
      <c r="J29" s="46" t="s">
        <v>114</v>
      </c>
      <c r="K29" s="47" t="s">
        <v>120</v>
      </c>
      <c r="L29" s="51" t="s">
        <v>9</v>
      </c>
      <c r="M29" s="52" t="s">
        <v>9</v>
      </c>
      <c r="N29" s="51" t="s">
        <v>9</v>
      </c>
      <c r="O29" s="52" t="s">
        <v>9</v>
      </c>
      <c r="P29" s="51" t="s">
        <v>113</v>
      </c>
      <c r="Q29" s="52" t="s">
        <v>144</v>
      </c>
      <c r="R29" s="51" t="s">
        <v>145</v>
      </c>
      <c r="S29" s="52" t="s">
        <v>148</v>
      </c>
      <c r="T29" s="51" t="s">
        <v>9</v>
      </c>
      <c r="U29" s="52" t="s">
        <v>9</v>
      </c>
      <c r="V29" s="48" t="s">
        <v>9</v>
      </c>
      <c r="W29" s="52" t="s">
        <v>9</v>
      </c>
      <c r="X29" s="48" t="s">
        <v>9</v>
      </c>
      <c r="Y29" s="52" t="s">
        <v>9</v>
      </c>
      <c r="Z29" s="48" t="s">
        <v>9</v>
      </c>
      <c r="AA29" s="52" t="s">
        <v>9</v>
      </c>
    </row>
  </sheetData>
  <phoneticPr fontId="12" type="noConversion"/>
  <conditionalFormatting sqref="B1:B29">
    <cfRule type="duplicateValues" dxfId="4" priority="18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2026-09-08T15:24:59Z</dcterms:modified>
</cp:coreProperties>
</file>