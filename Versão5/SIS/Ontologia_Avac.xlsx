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Construtor_Onto\SIS\"/>
    </mc:Choice>
  </mc:AlternateContent>
  <xr:revisionPtr revIDLastSave="0" documentId="13_ncr:1_{59502758-D1F5-44D3-A69B-AAD1BEDDB0AD}" xr6:coauthVersionLast="47" xr6:coauthVersionMax="47" xr10:uidLastSave="{00000000-0000-0000-0000-000000000000}"/>
  <bookViews>
    <workbookView xWindow="-103" yWindow="-103" windowWidth="22149" windowHeight="13200" tabRatio="520" activeTab="1" xr2:uid="{00000000-000D-0000-FFFF-FFFF00000000}"/>
  </bookViews>
  <sheets>
    <sheet name="Projeto" sheetId="13" r:id="rId1"/>
    <sheet name="Classes" sheetId="17" r:id="rId2"/>
    <sheet name="Disjunt" sheetId="3" r:id="rId3"/>
    <sheet name="Interop" sheetId="16" r:id="rId4"/>
    <sheet name="FatosIn" sheetId="25" r:id="rId5"/>
  </sheets>
  <definedNames>
    <definedName name="_xlnm._FilterDatabase" localSheetId="1" hidden="1">Classes!$C$1:$C$1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8" i="17" l="1"/>
  <c r="V28" i="17"/>
  <c r="U28" i="17"/>
  <c r="T28" i="17"/>
  <c r="O28" i="17"/>
  <c r="N28" i="17"/>
  <c r="M28" i="17"/>
  <c r="L28" i="17"/>
  <c r="X27" i="17"/>
  <c r="V27" i="17"/>
  <c r="U27" i="17"/>
  <c r="T27" i="17"/>
  <c r="O27" i="17"/>
  <c r="N27" i="17"/>
  <c r="M27" i="17"/>
  <c r="L27" i="17"/>
  <c r="X26" i="17"/>
  <c r="V26" i="17"/>
  <c r="U26" i="17"/>
  <c r="T26" i="17"/>
  <c r="O26" i="17"/>
  <c r="N26" i="17"/>
  <c r="M26" i="17"/>
  <c r="L26" i="17"/>
  <c r="X25" i="17"/>
  <c r="V25" i="17"/>
  <c r="U25" i="17"/>
  <c r="T25" i="17"/>
  <c r="O25" i="17"/>
  <c r="N25" i="17"/>
  <c r="M25" i="17"/>
  <c r="L25" i="17"/>
  <c r="X24" i="17"/>
  <c r="V24" i="17"/>
  <c r="U24" i="17"/>
  <c r="T24" i="17"/>
  <c r="O24" i="17"/>
  <c r="N24" i="17"/>
  <c r="M24" i="17"/>
  <c r="L24" i="17"/>
  <c r="X23" i="17"/>
  <c r="V23" i="17"/>
  <c r="U23" i="17"/>
  <c r="T23" i="17"/>
  <c r="O23" i="17"/>
  <c r="N23" i="17"/>
  <c r="M23" i="17"/>
  <c r="L23" i="17"/>
  <c r="X22" i="17"/>
  <c r="V22" i="17"/>
  <c r="U22" i="17"/>
  <c r="T22" i="17"/>
  <c r="O22" i="17"/>
  <c r="N22" i="17"/>
  <c r="M22" i="17"/>
  <c r="L22" i="17"/>
  <c r="X21" i="17"/>
  <c r="V21" i="17"/>
  <c r="U21" i="17"/>
  <c r="T21" i="17"/>
  <c r="O21" i="17"/>
  <c r="N21" i="17"/>
  <c r="M21" i="17"/>
  <c r="L21" i="17"/>
  <c r="X20" i="17"/>
  <c r="V20" i="17"/>
  <c r="U20" i="17"/>
  <c r="T20" i="17"/>
  <c r="O20" i="17"/>
  <c r="N20" i="17"/>
  <c r="M20" i="17"/>
  <c r="L20" i="17"/>
  <c r="X19" i="17"/>
  <c r="V19" i="17"/>
  <c r="U19" i="17"/>
  <c r="T19" i="17"/>
  <c r="O19" i="17"/>
  <c r="N19" i="17"/>
  <c r="M19" i="17"/>
  <c r="L19" i="17"/>
  <c r="X18" i="17"/>
  <c r="V18" i="17"/>
  <c r="U18" i="17"/>
  <c r="T18" i="17"/>
  <c r="O18" i="17"/>
  <c r="N18" i="17"/>
  <c r="M18" i="17"/>
  <c r="L18" i="17"/>
  <c r="X17" i="17"/>
  <c r="V17" i="17"/>
  <c r="U17" i="17"/>
  <c r="T17" i="17"/>
  <c r="O17" i="17"/>
  <c r="N17" i="17"/>
  <c r="M17" i="17"/>
  <c r="L17" i="17"/>
  <c r="X16" i="17"/>
  <c r="V16" i="17"/>
  <c r="U16" i="17"/>
  <c r="T16" i="17"/>
  <c r="O16" i="17"/>
  <c r="N16" i="17"/>
  <c r="M16" i="17"/>
  <c r="L16" i="17"/>
  <c r="X15" i="17"/>
  <c r="V15" i="17"/>
  <c r="U15" i="17"/>
  <c r="T15" i="17"/>
  <c r="O15" i="17"/>
  <c r="N15" i="17"/>
  <c r="M15" i="17"/>
  <c r="L15" i="17"/>
  <c r="X14" i="17"/>
  <c r="V14" i="17"/>
  <c r="U14" i="17"/>
  <c r="T14" i="17"/>
  <c r="O14" i="17"/>
  <c r="N14" i="17"/>
  <c r="M14" i="17"/>
  <c r="L14" i="17"/>
  <c r="X13" i="17"/>
  <c r="V13" i="17"/>
  <c r="U13" i="17"/>
  <c r="T13" i="17"/>
  <c r="O13" i="17"/>
  <c r="N13" i="17"/>
  <c r="M13" i="17"/>
  <c r="L13" i="17"/>
  <c r="X12" i="17"/>
  <c r="V12" i="17"/>
  <c r="U12" i="17"/>
  <c r="T12" i="17"/>
  <c r="O12" i="17"/>
  <c r="N12" i="17"/>
  <c r="M12" i="17"/>
  <c r="L12" i="17"/>
  <c r="X11" i="17"/>
  <c r="V11" i="17"/>
  <c r="U11" i="17"/>
  <c r="T11" i="17"/>
  <c r="O11" i="17"/>
  <c r="N11" i="17"/>
  <c r="M11" i="17"/>
  <c r="L11" i="17"/>
  <c r="X10" i="17"/>
  <c r="V10" i="17"/>
  <c r="U10" i="17"/>
  <c r="T10" i="17"/>
  <c r="O10" i="17"/>
  <c r="N10" i="17"/>
  <c r="M10" i="17"/>
  <c r="L10" i="17"/>
  <c r="X9" i="17"/>
  <c r="V9" i="17"/>
  <c r="U9" i="17"/>
  <c r="T9" i="17"/>
  <c r="O9" i="17"/>
  <c r="N9" i="17"/>
  <c r="M9" i="17"/>
  <c r="L9" i="17"/>
  <c r="X8" i="17"/>
  <c r="V8" i="17"/>
  <c r="U8" i="17"/>
  <c r="T8" i="17"/>
  <c r="O8" i="17"/>
  <c r="N8" i="17"/>
  <c r="M8" i="17"/>
  <c r="L8" i="17"/>
  <c r="X7" i="17"/>
  <c r="V7" i="17"/>
  <c r="U7" i="17"/>
  <c r="T7" i="17"/>
  <c r="O7" i="17"/>
  <c r="N7" i="17"/>
  <c r="M7" i="17"/>
  <c r="L7" i="17"/>
  <c r="X6" i="17"/>
  <c r="V6" i="17"/>
  <c r="U6" i="17"/>
  <c r="T6" i="17"/>
  <c r="O6" i="17"/>
  <c r="N6" i="17"/>
  <c r="M6" i="17"/>
  <c r="L6" i="17"/>
  <c r="X5" i="17"/>
  <c r="V5" i="17"/>
  <c r="U5" i="17"/>
  <c r="T5" i="17"/>
  <c r="O5" i="17"/>
  <c r="N5" i="17"/>
  <c r="M5" i="17"/>
  <c r="L5" i="17"/>
  <c r="X4" i="17"/>
  <c r="V4" i="17"/>
  <c r="U4" i="17"/>
  <c r="T4" i="17"/>
  <c r="O4" i="17"/>
  <c r="N4" i="17"/>
  <c r="M4" i="17"/>
  <c r="L4" i="17"/>
  <c r="X3" i="17"/>
  <c r="V3" i="17"/>
  <c r="U3" i="17"/>
  <c r="T3" i="17"/>
  <c r="O3" i="17"/>
  <c r="N3" i="17"/>
  <c r="M3" i="17"/>
  <c r="L3" i="17"/>
  <c r="X2" i="17"/>
  <c r="V2" i="17"/>
  <c r="U2" i="17"/>
  <c r="T2" i="17"/>
  <c r="O2" i="17"/>
  <c r="N2" i="17"/>
  <c r="M2" i="17"/>
  <c r="L2" i="17"/>
  <c r="X119" i="17"/>
  <c r="X120" i="17"/>
  <c r="X121" i="17"/>
  <c r="X122" i="17"/>
  <c r="X123" i="17"/>
  <c r="X124" i="17"/>
  <c r="V124" i="17"/>
  <c r="U124" i="17"/>
  <c r="T124" i="17"/>
  <c r="O124" i="17"/>
  <c r="N124" i="17"/>
  <c r="M124" i="17"/>
  <c r="L124" i="17"/>
  <c r="V123" i="17"/>
  <c r="U123" i="17"/>
  <c r="T123" i="17"/>
  <c r="O123" i="17"/>
  <c r="N123" i="17"/>
  <c r="M123" i="17"/>
  <c r="L123" i="17"/>
  <c r="V122" i="17"/>
  <c r="U122" i="17"/>
  <c r="T122" i="17"/>
  <c r="O122" i="17"/>
  <c r="N122" i="17"/>
  <c r="M122" i="17"/>
  <c r="L122" i="17"/>
  <c r="V121" i="17"/>
  <c r="U121" i="17"/>
  <c r="T121" i="17"/>
  <c r="O121" i="17"/>
  <c r="N121" i="17"/>
  <c r="M121" i="17"/>
  <c r="L121" i="17"/>
  <c r="V120" i="17"/>
  <c r="U120" i="17"/>
  <c r="T120" i="17"/>
  <c r="O120" i="17"/>
  <c r="N120" i="17"/>
  <c r="M120" i="17"/>
  <c r="L120" i="17"/>
  <c r="Q24" i="17"/>
  <c r="Q25" i="17"/>
  <c r="Q26" i="17"/>
  <c r="Q27" i="17"/>
  <c r="Q28" i="17"/>
  <c r="Q12" i="17"/>
  <c r="Q14" i="17"/>
  <c r="Q15" i="17"/>
  <c r="Q16" i="17"/>
  <c r="Q17" i="17"/>
  <c r="Q18" i="17"/>
  <c r="Q19" i="17"/>
  <c r="Q20" i="17"/>
  <c r="Q21" i="17"/>
  <c r="Q22" i="17"/>
  <c r="Q23" i="17"/>
  <c r="Q13" i="17"/>
  <c r="Q11" i="17"/>
  <c r="X10" i="25" l="1"/>
  <c r="X9" i="25"/>
  <c r="X8" i="25"/>
  <c r="X7" i="25"/>
  <c r="X6" i="25"/>
  <c r="V119" i="17" l="1"/>
  <c r="U119" i="17"/>
  <c r="T119" i="17"/>
  <c r="O119" i="17"/>
  <c r="N119" i="17"/>
  <c r="M119" i="17"/>
  <c r="L119" i="17"/>
  <c r="X116" i="17"/>
  <c r="V116" i="17"/>
  <c r="U116" i="17"/>
  <c r="T116" i="17"/>
  <c r="O116" i="17"/>
  <c r="N116" i="17"/>
  <c r="M116" i="17"/>
  <c r="L116" i="17"/>
  <c r="X113" i="17"/>
  <c r="V113" i="17"/>
  <c r="U113" i="17"/>
  <c r="T113" i="17"/>
  <c r="O113" i="17"/>
  <c r="N113" i="17"/>
  <c r="M113" i="17"/>
  <c r="L113" i="17"/>
  <c r="X118" i="17"/>
  <c r="V118" i="17"/>
  <c r="U118" i="17"/>
  <c r="T118" i="17"/>
  <c r="O118" i="17"/>
  <c r="N118" i="17"/>
  <c r="M118" i="17"/>
  <c r="L118" i="17"/>
  <c r="X112" i="17"/>
  <c r="V112" i="17"/>
  <c r="U112" i="17"/>
  <c r="T112" i="17"/>
  <c r="O112" i="17"/>
  <c r="N112" i="17"/>
  <c r="M112" i="17"/>
  <c r="L112" i="17"/>
  <c r="X114" i="17"/>
  <c r="X115" i="17"/>
  <c r="X117" i="17"/>
  <c r="V117" i="17"/>
  <c r="U117" i="17"/>
  <c r="T117" i="17"/>
  <c r="O117" i="17"/>
  <c r="N117" i="17"/>
  <c r="M117" i="17"/>
  <c r="L117" i="17"/>
  <c r="V115" i="17"/>
  <c r="U115" i="17"/>
  <c r="T115" i="17"/>
  <c r="O115" i="17"/>
  <c r="N115" i="17"/>
  <c r="M115" i="17"/>
  <c r="L115" i="17"/>
  <c r="V114" i="17"/>
  <c r="U114" i="17"/>
  <c r="T114" i="17"/>
  <c r="O114" i="17"/>
  <c r="N114" i="17"/>
  <c r="M114" i="17"/>
  <c r="L114" i="17"/>
  <c r="Q114" i="17"/>
  <c r="Q112" i="17"/>
  <c r="Q119" i="17"/>
  <c r="Q116" i="17"/>
  <c r="Q115" i="17"/>
  <c r="Q118" i="17"/>
  <c r="Q113" i="17"/>
  <c r="Q117" i="17"/>
  <c r="X29" i="17" l="1"/>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X63" i="17"/>
  <c r="X64" i="17"/>
  <c r="X65" i="17"/>
  <c r="X66" i="17"/>
  <c r="X67" i="17"/>
  <c r="X68" i="17"/>
  <c r="X69" i="17"/>
  <c r="X70" i="17"/>
  <c r="X71" i="17"/>
  <c r="X72" i="17"/>
  <c r="X73" i="17"/>
  <c r="X74" i="17"/>
  <c r="X75" i="17"/>
  <c r="X76" i="17"/>
  <c r="X77" i="17"/>
  <c r="X78" i="17"/>
  <c r="X79" i="17"/>
  <c r="X80" i="17"/>
  <c r="X81" i="17"/>
  <c r="X82" i="17"/>
  <c r="X83" i="17"/>
  <c r="X84" i="17"/>
  <c r="X85" i="17"/>
  <c r="X86" i="17"/>
  <c r="X87" i="17"/>
  <c r="X88" i="17"/>
  <c r="X89" i="17"/>
  <c r="X90" i="17"/>
  <c r="X91" i="17"/>
  <c r="X92" i="17"/>
  <c r="X93" i="17"/>
  <c r="X94" i="17"/>
  <c r="X95" i="17"/>
  <c r="X96" i="17"/>
  <c r="X97" i="17"/>
  <c r="X98" i="17"/>
  <c r="X99" i="17"/>
  <c r="X100" i="17"/>
  <c r="X101" i="17"/>
  <c r="X102" i="17"/>
  <c r="X103" i="17"/>
  <c r="X104" i="17"/>
  <c r="X105" i="17"/>
  <c r="X106" i="17"/>
  <c r="X107" i="17"/>
  <c r="X108" i="17"/>
  <c r="X109" i="17"/>
  <c r="X110" i="17"/>
  <c r="X111" i="17"/>
  <c r="V73" i="17"/>
  <c r="U73" i="17"/>
  <c r="T73" i="17"/>
  <c r="O73" i="17"/>
  <c r="N73" i="17"/>
  <c r="M73" i="17"/>
  <c r="L73" i="17"/>
  <c r="V72" i="17"/>
  <c r="U72" i="17"/>
  <c r="T72" i="17"/>
  <c r="O72" i="17"/>
  <c r="N72" i="17"/>
  <c r="M72" i="17"/>
  <c r="L72" i="17"/>
  <c r="V71" i="17"/>
  <c r="U71" i="17"/>
  <c r="T71" i="17"/>
  <c r="O71" i="17"/>
  <c r="N71" i="17"/>
  <c r="M71" i="17"/>
  <c r="L71" i="17"/>
  <c r="V111" i="17"/>
  <c r="U111" i="17"/>
  <c r="T111" i="17"/>
  <c r="O111" i="17"/>
  <c r="N111" i="17"/>
  <c r="M111" i="17"/>
  <c r="L111" i="17"/>
  <c r="V110" i="17"/>
  <c r="U110" i="17"/>
  <c r="T110" i="17"/>
  <c r="O110" i="17"/>
  <c r="N110" i="17"/>
  <c r="M110" i="17"/>
  <c r="L110" i="17"/>
  <c r="V109" i="17"/>
  <c r="U109" i="17"/>
  <c r="T109" i="17"/>
  <c r="O109" i="17"/>
  <c r="N109" i="17"/>
  <c r="M109" i="17"/>
  <c r="L109" i="17"/>
  <c r="V108" i="17"/>
  <c r="U108" i="17"/>
  <c r="T108" i="17"/>
  <c r="O108" i="17"/>
  <c r="N108" i="17"/>
  <c r="M108" i="17"/>
  <c r="L108" i="17"/>
  <c r="V107" i="17"/>
  <c r="U107" i="17"/>
  <c r="T107" i="17"/>
  <c r="O107" i="17"/>
  <c r="N107" i="17"/>
  <c r="M107" i="17"/>
  <c r="L107" i="17"/>
  <c r="V106" i="17"/>
  <c r="U106" i="17"/>
  <c r="T106" i="17"/>
  <c r="O106" i="17"/>
  <c r="N106" i="17"/>
  <c r="M106" i="17"/>
  <c r="L106" i="17"/>
  <c r="V105" i="17"/>
  <c r="U105" i="17"/>
  <c r="T105" i="17"/>
  <c r="O105" i="17"/>
  <c r="N105" i="17"/>
  <c r="M105" i="17"/>
  <c r="L105" i="17"/>
  <c r="V104" i="17"/>
  <c r="U104" i="17"/>
  <c r="T104" i="17"/>
  <c r="O104" i="17"/>
  <c r="N104" i="17"/>
  <c r="M104" i="17"/>
  <c r="L104" i="17"/>
  <c r="V103" i="17"/>
  <c r="U103" i="17"/>
  <c r="T103" i="17"/>
  <c r="O103" i="17"/>
  <c r="N103" i="17"/>
  <c r="M103" i="17"/>
  <c r="L103" i="17"/>
  <c r="V102" i="17"/>
  <c r="U102" i="17"/>
  <c r="T102" i="17"/>
  <c r="O102" i="17"/>
  <c r="N102" i="17"/>
  <c r="M102" i="17"/>
  <c r="L102" i="17"/>
  <c r="V101" i="17"/>
  <c r="U101" i="17"/>
  <c r="T101" i="17"/>
  <c r="O101" i="17"/>
  <c r="N101" i="17"/>
  <c r="M101" i="17"/>
  <c r="L101" i="17"/>
  <c r="V100" i="17"/>
  <c r="U100" i="17"/>
  <c r="T100" i="17"/>
  <c r="O100" i="17"/>
  <c r="N100" i="17"/>
  <c r="M100" i="17"/>
  <c r="L100" i="17"/>
  <c r="V99" i="17"/>
  <c r="U99" i="17"/>
  <c r="T99" i="17"/>
  <c r="O99" i="17"/>
  <c r="N99" i="17"/>
  <c r="M99" i="17"/>
  <c r="L99" i="17"/>
  <c r="V98" i="17"/>
  <c r="U98" i="17"/>
  <c r="T98" i="17"/>
  <c r="O98" i="17"/>
  <c r="N98" i="17"/>
  <c r="M98" i="17"/>
  <c r="L98" i="17"/>
  <c r="V97" i="17"/>
  <c r="U97" i="17"/>
  <c r="T97" i="17"/>
  <c r="O97" i="17"/>
  <c r="N97" i="17"/>
  <c r="M97" i="17"/>
  <c r="L97" i="17"/>
  <c r="V96" i="17"/>
  <c r="U96" i="17"/>
  <c r="T96" i="17"/>
  <c r="O96" i="17"/>
  <c r="N96" i="17"/>
  <c r="M96" i="17"/>
  <c r="L96" i="17"/>
  <c r="V95" i="17"/>
  <c r="U95" i="17"/>
  <c r="T95" i="17"/>
  <c r="O95" i="17"/>
  <c r="N95" i="17"/>
  <c r="M95" i="17"/>
  <c r="L95" i="17"/>
  <c r="V94" i="17"/>
  <c r="U94" i="17"/>
  <c r="T94" i="17"/>
  <c r="O94" i="17"/>
  <c r="N94" i="17"/>
  <c r="M94" i="17"/>
  <c r="L94" i="17"/>
  <c r="V93" i="17"/>
  <c r="U93" i="17"/>
  <c r="T93" i="17"/>
  <c r="O93" i="17"/>
  <c r="N93" i="17"/>
  <c r="M93" i="17"/>
  <c r="L93" i="17"/>
  <c r="V92" i="17"/>
  <c r="U92" i="17"/>
  <c r="T92" i="17"/>
  <c r="O92" i="17"/>
  <c r="N92" i="17"/>
  <c r="M92" i="17"/>
  <c r="L92" i="17"/>
  <c r="V91" i="17"/>
  <c r="U91" i="17"/>
  <c r="T91" i="17"/>
  <c r="O91" i="17"/>
  <c r="N91" i="17"/>
  <c r="M91" i="17"/>
  <c r="L91" i="17"/>
  <c r="V90" i="17"/>
  <c r="U90" i="17"/>
  <c r="T90" i="17"/>
  <c r="O90" i="17"/>
  <c r="N90" i="17"/>
  <c r="M90" i="17"/>
  <c r="L90" i="17"/>
  <c r="V89" i="17"/>
  <c r="U89" i="17"/>
  <c r="T89" i="17"/>
  <c r="O89" i="17"/>
  <c r="N89" i="17"/>
  <c r="M89" i="17"/>
  <c r="L89" i="17"/>
  <c r="V88" i="17"/>
  <c r="U88" i="17"/>
  <c r="T88" i="17"/>
  <c r="O88" i="17"/>
  <c r="N88" i="17"/>
  <c r="M88" i="17"/>
  <c r="L88" i="17"/>
  <c r="V87" i="17"/>
  <c r="U87" i="17"/>
  <c r="T87" i="17"/>
  <c r="O87" i="17"/>
  <c r="N87" i="17"/>
  <c r="M87" i="17"/>
  <c r="L87" i="17"/>
  <c r="V86" i="17"/>
  <c r="U86" i="17"/>
  <c r="T86" i="17"/>
  <c r="O86" i="17"/>
  <c r="N86" i="17"/>
  <c r="M86" i="17"/>
  <c r="L86" i="17"/>
  <c r="V85" i="17"/>
  <c r="U85" i="17"/>
  <c r="T85" i="17"/>
  <c r="O85" i="17"/>
  <c r="N85" i="17"/>
  <c r="M85" i="17"/>
  <c r="L85" i="17"/>
  <c r="V84" i="17"/>
  <c r="U84" i="17"/>
  <c r="T84" i="17"/>
  <c r="O84" i="17"/>
  <c r="N84" i="17"/>
  <c r="M84" i="17"/>
  <c r="L84" i="17"/>
  <c r="V83" i="17"/>
  <c r="U83" i="17"/>
  <c r="T83" i="17"/>
  <c r="O83" i="17"/>
  <c r="N83" i="17"/>
  <c r="M83" i="17"/>
  <c r="L83" i="17"/>
  <c r="V82" i="17"/>
  <c r="U82" i="17"/>
  <c r="T82" i="17"/>
  <c r="O82" i="17"/>
  <c r="N82" i="17"/>
  <c r="M82" i="17"/>
  <c r="L82" i="17"/>
  <c r="V81" i="17"/>
  <c r="U81" i="17"/>
  <c r="T81" i="17"/>
  <c r="O81" i="17"/>
  <c r="N81" i="17"/>
  <c r="M81" i="17"/>
  <c r="L81" i="17"/>
  <c r="V80" i="17"/>
  <c r="U80" i="17"/>
  <c r="T80" i="17"/>
  <c r="O80" i="17"/>
  <c r="N80" i="17"/>
  <c r="M80" i="17"/>
  <c r="L80" i="17"/>
  <c r="V79" i="17"/>
  <c r="U79" i="17"/>
  <c r="T79" i="17"/>
  <c r="O79" i="17"/>
  <c r="N79" i="17"/>
  <c r="M79" i="17"/>
  <c r="L79" i="17"/>
  <c r="V78" i="17"/>
  <c r="U78" i="17"/>
  <c r="T78" i="17"/>
  <c r="O78" i="17"/>
  <c r="N78" i="17"/>
  <c r="M78" i="17"/>
  <c r="L78" i="17"/>
  <c r="V77" i="17"/>
  <c r="U77" i="17"/>
  <c r="T77" i="17"/>
  <c r="O77" i="17"/>
  <c r="N77" i="17"/>
  <c r="M77" i="17"/>
  <c r="L77" i="17"/>
  <c r="V76" i="17"/>
  <c r="U76" i="17"/>
  <c r="T76" i="17"/>
  <c r="O76" i="17"/>
  <c r="N76" i="17"/>
  <c r="M76" i="17"/>
  <c r="L76" i="17"/>
  <c r="V75" i="17"/>
  <c r="U75" i="17"/>
  <c r="T75" i="17"/>
  <c r="O75" i="17"/>
  <c r="N75" i="17"/>
  <c r="M75" i="17"/>
  <c r="L75" i="17"/>
  <c r="V74" i="17"/>
  <c r="U74" i="17"/>
  <c r="T74" i="17"/>
  <c r="O74" i="17"/>
  <c r="N74" i="17"/>
  <c r="M74" i="17"/>
  <c r="L74" i="17"/>
  <c r="V70" i="17"/>
  <c r="U70" i="17"/>
  <c r="T70" i="17"/>
  <c r="O70" i="17"/>
  <c r="N70" i="17"/>
  <c r="M70" i="17"/>
  <c r="L70" i="17"/>
  <c r="V69" i="17"/>
  <c r="U69" i="17"/>
  <c r="T69" i="17"/>
  <c r="O69" i="17"/>
  <c r="N69" i="17"/>
  <c r="M69" i="17"/>
  <c r="L69" i="17"/>
  <c r="V68" i="17"/>
  <c r="U68" i="17"/>
  <c r="T68" i="17"/>
  <c r="O68" i="17"/>
  <c r="N68" i="17"/>
  <c r="M68" i="17"/>
  <c r="L68" i="17"/>
  <c r="V67" i="17"/>
  <c r="U67" i="17"/>
  <c r="T67" i="17"/>
  <c r="O67" i="17"/>
  <c r="N67" i="17"/>
  <c r="M67" i="17"/>
  <c r="L67" i="17"/>
  <c r="V66" i="17"/>
  <c r="U66" i="17"/>
  <c r="T66" i="17"/>
  <c r="O66" i="17"/>
  <c r="N66" i="17"/>
  <c r="M66" i="17"/>
  <c r="L66" i="17"/>
  <c r="V65" i="17"/>
  <c r="U65" i="17"/>
  <c r="T65" i="17"/>
  <c r="O65" i="17"/>
  <c r="N65" i="17"/>
  <c r="M65" i="17"/>
  <c r="L65" i="17"/>
  <c r="V64" i="17"/>
  <c r="U64" i="17"/>
  <c r="T64" i="17"/>
  <c r="O64" i="17"/>
  <c r="N64" i="17"/>
  <c r="M64" i="17"/>
  <c r="L64" i="17"/>
  <c r="V63" i="17"/>
  <c r="U63" i="17"/>
  <c r="T63" i="17"/>
  <c r="O63" i="17"/>
  <c r="N63" i="17"/>
  <c r="M63" i="17"/>
  <c r="L63" i="17"/>
  <c r="V62" i="17"/>
  <c r="U62" i="17"/>
  <c r="T62" i="17"/>
  <c r="O62" i="17"/>
  <c r="N62" i="17"/>
  <c r="M62" i="17"/>
  <c r="L62" i="17"/>
  <c r="V61" i="17"/>
  <c r="U61" i="17"/>
  <c r="T61" i="17"/>
  <c r="O61" i="17"/>
  <c r="N61" i="17"/>
  <c r="M61" i="17"/>
  <c r="L61" i="17"/>
  <c r="V60" i="17"/>
  <c r="U60" i="17"/>
  <c r="T60" i="17"/>
  <c r="O60" i="17"/>
  <c r="N60" i="17"/>
  <c r="M60" i="17"/>
  <c r="L60" i="17"/>
  <c r="V59" i="17"/>
  <c r="U59" i="17"/>
  <c r="T59" i="17"/>
  <c r="O59" i="17"/>
  <c r="N59" i="17"/>
  <c r="M59" i="17"/>
  <c r="L59" i="17"/>
  <c r="V58" i="17"/>
  <c r="U58" i="17"/>
  <c r="T58" i="17"/>
  <c r="O58" i="17"/>
  <c r="N58" i="17"/>
  <c r="M58" i="17"/>
  <c r="L58" i="17"/>
  <c r="V57" i="17"/>
  <c r="U57" i="17"/>
  <c r="T57" i="17"/>
  <c r="O57" i="17"/>
  <c r="N57" i="17"/>
  <c r="M57" i="17"/>
  <c r="L57" i="17"/>
  <c r="V56" i="17"/>
  <c r="U56" i="17"/>
  <c r="T56" i="17"/>
  <c r="O56" i="17"/>
  <c r="N56" i="17"/>
  <c r="M56" i="17"/>
  <c r="L56" i="17"/>
  <c r="V55" i="17"/>
  <c r="U55" i="17"/>
  <c r="T55" i="17"/>
  <c r="O55" i="17"/>
  <c r="N55" i="17"/>
  <c r="M55" i="17"/>
  <c r="L55" i="17"/>
  <c r="V54" i="17"/>
  <c r="U54" i="17"/>
  <c r="T54" i="17"/>
  <c r="O54" i="17"/>
  <c r="N54" i="17"/>
  <c r="M54" i="17"/>
  <c r="L54" i="17"/>
  <c r="V53" i="17"/>
  <c r="U53" i="17"/>
  <c r="T53" i="17"/>
  <c r="O53" i="17"/>
  <c r="N53" i="17"/>
  <c r="M53" i="17"/>
  <c r="L53" i="17"/>
  <c r="V52" i="17"/>
  <c r="U52" i="17"/>
  <c r="T52" i="17"/>
  <c r="O52" i="17"/>
  <c r="N52" i="17"/>
  <c r="M52" i="17"/>
  <c r="L52" i="17"/>
  <c r="V51" i="17"/>
  <c r="U51" i="17"/>
  <c r="T51" i="17"/>
  <c r="O51" i="17"/>
  <c r="N51" i="17"/>
  <c r="M51" i="17"/>
  <c r="L51" i="17"/>
  <c r="V50" i="17"/>
  <c r="U50" i="17"/>
  <c r="T50" i="17"/>
  <c r="O50" i="17"/>
  <c r="N50" i="17"/>
  <c r="M50" i="17"/>
  <c r="L50" i="17"/>
  <c r="V49" i="17"/>
  <c r="U49" i="17"/>
  <c r="T49" i="17"/>
  <c r="O49" i="17"/>
  <c r="N49" i="17"/>
  <c r="M49" i="17"/>
  <c r="L49" i="17"/>
  <c r="V48" i="17"/>
  <c r="U48" i="17"/>
  <c r="T48" i="17"/>
  <c r="O48" i="17"/>
  <c r="N48" i="17"/>
  <c r="M48" i="17"/>
  <c r="L48" i="17"/>
  <c r="V47" i="17"/>
  <c r="U47" i="17"/>
  <c r="T47" i="17"/>
  <c r="O47" i="17"/>
  <c r="N47" i="17"/>
  <c r="M47" i="17"/>
  <c r="L47" i="17"/>
  <c r="V46" i="17"/>
  <c r="U46" i="17"/>
  <c r="T46" i="17"/>
  <c r="O46" i="17"/>
  <c r="N46" i="17"/>
  <c r="M46" i="17"/>
  <c r="L46" i="17"/>
  <c r="V45" i="17"/>
  <c r="U45" i="17"/>
  <c r="T45" i="17"/>
  <c r="O45" i="17"/>
  <c r="N45" i="17"/>
  <c r="M45" i="17"/>
  <c r="L45" i="17"/>
  <c r="V44" i="17"/>
  <c r="U44" i="17"/>
  <c r="T44" i="17"/>
  <c r="O44" i="17"/>
  <c r="N44" i="17"/>
  <c r="M44" i="17"/>
  <c r="L44" i="17"/>
  <c r="V43" i="17"/>
  <c r="U43" i="17"/>
  <c r="T43" i="17"/>
  <c r="O43" i="17"/>
  <c r="N43" i="17"/>
  <c r="M43" i="17"/>
  <c r="L43" i="17"/>
  <c r="V42" i="17"/>
  <c r="U42" i="17"/>
  <c r="T42" i="17"/>
  <c r="O42" i="17"/>
  <c r="N42" i="17"/>
  <c r="M42" i="17"/>
  <c r="L42" i="17"/>
  <c r="V41" i="17"/>
  <c r="U41" i="17"/>
  <c r="T41" i="17"/>
  <c r="O41" i="17"/>
  <c r="N41" i="17"/>
  <c r="M41" i="17"/>
  <c r="L41" i="17"/>
  <c r="V40" i="17"/>
  <c r="U40" i="17"/>
  <c r="T40" i="17"/>
  <c r="O40" i="17"/>
  <c r="N40" i="17"/>
  <c r="M40" i="17"/>
  <c r="L40" i="17"/>
  <c r="V39" i="17"/>
  <c r="U39" i="17"/>
  <c r="T39" i="17"/>
  <c r="O39" i="17"/>
  <c r="N39" i="17"/>
  <c r="M39" i="17"/>
  <c r="L39" i="17"/>
  <c r="V38" i="17"/>
  <c r="U38" i="17"/>
  <c r="T38" i="17"/>
  <c r="O38" i="17"/>
  <c r="N38" i="17"/>
  <c r="M38" i="17"/>
  <c r="L38" i="17"/>
  <c r="V37" i="17"/>
  <c r="U37" i="17"/>
  <c r="T37" i="17"/>
  <c r="O37" i="17"/>
  <c r="N37" i="17"/>
  <c r="M37" i="17"/>
  <c r="L37" i="17"/>
  <c r="V36" i="17"/>
  <c r="U36" i="17"/>
  <c r="T36" i="17"/>
  <c r="O36" i="17"/>
  <c r="N36" i="17"/>
  <c r="M36" i="17"/>
  <c r="L36" i="17"/>
  <c r="V35" i="17"/>
  <c r="U35" i="17"/>
  <c r="T35" i="17"/>
  <c r="O35" i="17"/>
  <c r="N35" i="17"/>
  <c r="M35" i="17"/>
  <c r="L35" i="17"/>
  <c r="V34" i="17"/>
  <c r="U34" i="17"/>
  <c r="T34" i="17"/>
  <c r="O34" i="17"/>
  <c r="N34" i="17"/>
  <c r="M34" i="17"/>
  <c r="L34" i="17"/>
  <c r="V33" i="17"/>
  <c r="U33" i="17"/>
  <c r="T33" i="17"/>
  <c r="O33" i="17"/>
  <c r="N33" i="17"/>
  <c r="M33" i="17"/>
  <c r="L33" i="17"/>
  <c r="V32" i="17"/>
  <c r="U32" i="17"/>
  <c r="T32" i="17"/>
  <c r="O32" i="17"/>
  <c r="N32" i="17"/>
  <c r="M32" i="17"/>
  <c r="L32" i="17"/>
  <c r="V31" i="17"/>
  <c r="U31" i="17"/>
  <c r="T31" i="17"/>
  <c r="O31" i="17"/>
  <c r="N31" i="17"/>
  <c r="M31" i="17"/>
  <c r="L31" i="17"/>
  <c r="V30" i="17"/>
  <c r="U30" i="17"/>
  <c r="T30" i="17"/>
  <c r="O30" i="17"/>
  <c r="N30" i="17"/>
  <c r="M30" i="17"/>
  <c r="L30" i="17"/>
  <c r="V29" i="17"/>
  <c r="U29" i="17"/>
  <c r="T29" i="17"/>
  <c r="O29" i="17"/>
  <c r="N29" i="17"/>
  <c r="M29" i="17"/>
  <c r="L29" i="17"/>
  <c r="B21" i="13" l="1"/>
  <c r="B20" i="13"/>
  <c r="B26" i="13"/>
  <c r="B18" i="13" l="1"/>
  <c r="B6" i="13"/>
  <c r="B5" i="13"/>
</calcChain>
</file>

<file path=xl/sharedStrings.xml><?xml version="1.0" encoding="utf-8"?>
<sst xmlns="http://schemas.openxmlformats.org/spreadsheetml/2006/main" count="2967" uniqueCount="749">
  <si>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</si>
  <si>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</si>
  <si>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</si>
  <si>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</si>
  <si>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</si>
  <si>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</si>
  <si>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</si>
  <si>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</si>
  <si>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</si>
  <si>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</si>
  <si>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</si>
  <si>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</si>
  <si>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</si>
  <si>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</si>
  <si>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</si>
  <si>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</si>
  <si>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</si>
  <si>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</si>
  <si>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</si>
  <si>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</si>
  <si>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</si>
  <si>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</si>
  <si>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</si>
  <si>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</si>
  <si>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</si>
  <si>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</si>
  <si>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</si>
  <si>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</si>
  <si>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</si>
  <si>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</si>
  <si>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</si>
  <si>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</si>
  <si>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</si>
  <si>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</si>
  <si>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</si>
  <si>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</si>
  <si>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000 Tradução Classe 5</t>
  </si>
  <si>
    <t>Especie</t>
  </si>
  <si>
    <t>00Super
Class
4</t>
  </si>
  <si>
    <t>00Super
Class
2</t>
  </si>
  <si>
    <t>00Super
Class
3</t>
  </si>
  <si>
    <t>00Raiz</t>
  </si>
  <si>
    <t>000 Traducción Classe 5</t>
  </si>
  <si>
    <t>Chave</t>
  </si>
  <si>
    <t>Valor</t>
  </si>
  <si>
    <t>OntologiaPrefixo</t>
  </si>
  <si>
    <t>bim:</t>
  </si>
  <si>
    <t>OntologiaTema</t>
  </si>
  <si>
    <t>RaizClass</t>
  </si>
  <si>
    <t>RaizProp</t>
  </si>
  <si>
    <t>RaizData</t>
  </si>
  <si>
    <t>URI</t>
  </si>
  <si>
    <t>https://github.com/JLMenegotto/RepoOnto#</t>
  </si>
  <si>
    <t>Autor</t>
  </si>
  <si>
    <t>Organização</t>
  </si>
  <si>
    <t>Escola Politécnica da UFRJ</t>
  </si>
  <si>
    <t>NormaNúmero</t>
  </si>
  <si>
    <t>-</t>
  </si>
  <si>
    <t>Edição</t>
  </si>
  <si>
    <t>ISBN</t>
  </si>
  <si>
    <t>NormaEscopo</t>
  </si>
  <si>
    <t>NormaReferência1</t>
  </si>
  <si>
    <t>NormaReferência2</t>
  </si>
  <si>
    <t>NormaReferência3</t>
  </si>
  <si>
    <t>Observações</t>
  </si>
  <si>
    <t>DataHora</t>
  </si>
  <si>
    <t>Prédio</t>
  </si>
  <si>
    <t>Cidade</t>
  </si>
  <si>
    <t>Explicação</t>
  </si>
  <si>
    <t>Explicación</t>
  </si>
  <si>
    <t>Indivíduo</t>
  </si>
  <si>
    <t>Classe</t>
  </si>
  <si>
    <t>Fato</t>
  </si>
  <si>
    <t>descrição</t>
  </si>
  <si>
    <t>nome</t>
  </si>
  <si>
    <t>"Prédio A"</t>
  </si>
  <si>
    <t>tema</t>
  </si>
  <si>
    <t>Val</t>
  </si>
  <si>
    <t>Amortecedor normalmente participa de sistema de distribuição de dutos hvac e é usado para controlar ou modular.</t>
  </si>
  <si>
    <t>Amortecedor de vibração é um dispositivo usado para minimizar os efeitos de vibração numa estrutura.</t>
  </si>
  <si>
    <t>Isolador de vibração é um dispositivo usado para minimizar os efeitos de transmissibilidade de vibrações.</t>
  </si>
  <si>
    <t>Caixa de junção é um compartimento onde dutos estão conectados.</t>
  </si>
  <si>
    <t>Caldeira é um equipamento fechado, classificado para pressão, no qual a água ou outro fluido.</t>
  </si>
  <si>
    <t>Dispositivo que converte combustível em calor através da combustão.</t>
  </si>
  <si>
    <t>Dispositivo utilizado para remover calor de um líquido através de um ciclo de refrigeração.</t>
  </si>
  <si>
    <t>Dutos geralmente verticais, utilizados para exaurir gases de equipamentos como caldeiras.</t>
  </si>
  <si>
    <t>Dispositivo utilizado para dissipar calor, geralmente condensando uma substância.</t>
  </si>
  <si>
    <t>Dispositivo no qual um fluido refrigerante é vaporizado que absorve o calor do fluído.</t>
  </si>
  <si>
    <t>Feixe de tubos é um dispositivo que consiste em tubos e feixes de tubos usados para transferência de calor e contenção.</t>
  </si>
  <si>
    <t>Dispositivo de recuperação de calor ar-ar utiliza um trocador de calor de contracorrente.</t>
  </si>
  <si>
    <t>Dispositivo que esfria o ar saturando-o com vapor de água.</t>
  </si>
  <si>
    <t>Serpentina é um dispositivo usado para fornecer transferência de calor entre as mídias não misturadas.</t>
  </si>
  <si>
    <t>Torre de refrigeração é um dispositivo que rejeita o calor ao ar ambiente, circulando um fluido.</t>
  </si>
  <si>
    <t>Trocador de calor é um dispositivo usado para fornecer transferência de calor entre meios.</t>
  </si>
  <si>
    <t>Dispositivo que adiciona umidade ao ar.</t>
  </si>
  <si>
    <t>Compressor é um dispositivo que comprime um fluido normalmente utilizado num circuito de refrigeração.</t>
  </si>
  <si>
    <t>Segmentos de duto é usado tipicamente para unir duas seções da rede de dutos.</t>
  </si>
  <si>
    <t>Segmentos flexível é um segmentos contínuo não linear do duto que pode ser deformado.</t>
  </si>
  <si>
    <t>Silenciador de dutos é um dispositivo que geralmente é instalado dentro de sistema de distribuição.</t>
  </si>
  <si>
    <t>Os equipamentos unitários normalmente combinam vários componentes num único produto, como alça de ar.</t>
  </si>
  <si>
    <t>Filtro é um aparelho utilizado para remover partículas ou matérias gasosas de fluidos e gases.</t>
  </si>
  <si>
    <t>Sistema de distribuição de ar condicionado para manter uma gama de temperaturas num ou mais espaço.</t>
  </si>
  <si>
    <t>Água refrigerada não potável, como a circulada através de um evaporador.</t>
  </si>
  <si>
    <t>Sistema de ar comprimido.</t>
  </si>
  <si>
    <t>Água não potável, como a circulada através de um condenador.</t>
  </si>
  <si>
    <t>Sistema de recolha de ar de exaustão para remover ar viciado ou nocivo, de um ou mais espaços.</t>
  </si>
  <si>
    <t>Água ou vapor aquecido de uma caldeira e circulado através de radiadores.</t>
  </si>
  <si>
    <t>Sistema de distribuição de refrigerante para fins de cumprimento de todo ou parte de um ciclo de refrigeração.</t>
  </si>
  <si>
    <t>Sistema de distribuição vácuo.</t>
  </si>
  <si>
    <t>Sistema de distribuição de ar de ventilation envolvido na troca de ar para o exterior.</t>
  </si>
  <si>
    <t>Segmentos de tubo é usado para normalmente juntar duas seções de uma rede de canalização.</t>
  </si>
  <si>
    <t>Válvula é usada em sistema de distribuição de canalização para serviços de construção.</t>
  </si>
  <si>
    <t>Ventilador é um dispositivo que transmite trabalho mecânico a um gás.</t>
  </si>
  <si>
    <t>0-Classe Ifc</t>
  </si>
  <si>
    <t>0-Categoria Equivalente</t>
  </si>
  <si>
    <t>0-CategoriaEquivalente</t>
  </si>
  <si>
    <t>Duto.Conexão</t>
  </si>
  <si>
    <t>Duto.Segmento</t>
  </si>
  <si>
    <t>Água.Gelada</t>
  </si>
  <si>
    <t>Duto.Terminal</t>
  </si>
  <si>
    <t>La conexión de conductos es una unión o transición en el sistema de distribución de flujo en tuberías.</t>
  </si>
  <si>
    <t>Los segmentos de conducto se utilizan normalmente para unir dos secciones de la red de conductos.</t>
  </si>
  <si>
    <t>Los segmentos flexibles son un segmento continuo no lineal del conducto que se puede deformar.</t>
  </si>
  <si>
    <t>El silenciador de conducto es un dispositivo que generalmente se instala dentro del sistema de distribución.</t>
  </si>
  <si>
    <t>La conexión de tubería es una unión o transición en el sistema de distribución de flujo de tubería.</t>
  </si>
  <si>
    <t>Los segmentos de tubería se utilizan normalmente para unir dos secciones de una red de plomería.</t>
  </si>
  <si>
    <t>El amortiguador generalmente participa en el sistema de distribución de conductos de HVAC y se usa para controlar o modular.</t>
  </si>
  <si>
    <t>El amortiguador de vibraciones es un dispositivo utilizado para minimizar los efectos de la vibración en una estructura.</t>
  </si>
  <si>
    <t>El aislador de vibraciones es un dispositivo utilizado para minimizar los efectos de transmisibilidad de las vibraciones.</t>
  </si>
  <si>
    <t>La caja de conexiones es un compartimento donde se conectan los conductos.</t>
  </si>
  <si>
    <t>Una caldera es un equipo cerrado, clasificado para la presión, en el que agua u otro fluido.</t>
  </si>
  <si>
    <t>Un dispositivo que convierte el combustible en calor a través de la combustión.</t>
  </si>
  <si>
    <t>Dispositivo utilizado para eliminar el calor de un líquido a través de un ciclo de refrigeración.</t>
  </si>
  <si>
    <t>Generalmente conductos verticales, utilizados para extraer gases de equipos como calderas.</t>
  </si>
  <si>
    <t>Dispositivo que se utiliza para disipar el calor, generalmente mediante la condensación de una sustancia.</t>
  </si>
  <si>
    <t>Dispositivo en el que se vaporiza un fluido refrigerante que absorbe el calor del fluido.</t>
  </si>
  <si>
    <t>El haz de tubos es un dispositivo que consta de tubos y haces de tubos que se utilizan para la transferencia y contención de calor.</t>
  </si>
  <si>
    <t>El dispositivo de recuperación de calor aire-aire utiliza un intercambiador de calor a contracorriente.</t>
  </si>
  <si>
    <t>Un dispositivo que enfría el aire saturándolo con vapor de agua.</t>
  </si>
  <si>
    <t>La bobina es un dispositivo que se utiliza para proporcionar transferencia de calor entre los medios no mezclados.</t>
  </si>
  <si>
    <t>La torre de enfriamiento es un dispositivo que rechaza el calor en el aire ambiente mediante la circulación de un fluido.</t>
  </si>
  <si>
    <t>El intercambiador de calor es un dispositivo que se utiliza para proporcionar transferencia de calor entre medios.</t>
  </si>
  <si>
    <t>Dispositivo que añade humedad al aire.</t>
  </si>
  <si>
    <t>Un compresor es un dispositivo que comprime un fluido normalmente utilizado en un circuito de refrigeración.</t>
  </si>
  <si>
    <t>Los equipos unitarios suelen combinar varios componentes en un solo producto, como una manija de aire.</t>
  </si>
  <si>
    <t>Un filtro es un dispositivo que se utiliza para eliminar partículas o materia gaseosa de fluidos y gases.</t>
  </si>
  <si>
    <t>La válvula se utiliza en el sistema de distribución de plomería para servicios de construcción.</t>
  </si>
  <si>
    <t>Un ventilador es un dispositivo que transmite el trabajo mecánico a un gas.</t>
  </si>
  <si>
    <t>Sistema de distribución de aire acondicionado para mantener un rango de temperaturas en uno o más espacios.</t>
  </si>
  <si>
    <t>Agua enfriada no potable, como la que circula a través de un evaporador.</t>
  </si>
  <si>
    <t>Sistema de aire comprimido.</t>
  </si>
  <si>
    <t>Agua no potable, como la que circula a través de un conminador.</t>
  </si>
  <si>
    <t>Sistema de recolección de aire de escape para eliminar el aire viciado o nocivo de uno o más espacios.</t>
  </si>
  <si>
    <t>El agua o el vapor se calientan desde una caldera y circulan a través de radiadores.</t>
  </si>
  <si>
    <t>Un sistema de distribución de refrigerante con el propósito de cumplir con la totalidad o parte de un ciclo de refrigeración.</t>
  </si>
  <si>
    <t>Sistema de distribución de vacío.</t>
  </si>
  <si>
    <t>Sistema de distribución de aire de ventilación que interviene en el intercambio de aire al exterior.</t>
  </si>
  <si>
    <t>Anotações 
de ajuda
Classe 4</t>
  </si>
  <si>
    <t>Conexão de duto é uma junção ou transição no sistema de distribuição de fluxo em dutos.</t>
  </si>
  <si>
    <t>Conexão de tubulação é uma junção ou transição no sistema de distribuição de fluxo de tubulação.</t>
  </si>
  <si>
    <t>Tipo de isolador de dutos.</t>
  </si>
  <si>
    <t>Tipo aislante de conducto.</t>
  </si>
  <si>
    <t>Duto.Flexível</t>
  </si>
  <si>
    <t>Interop.</t>
  </si>
  <si>
    <t>Modelo de informação IFC 4x3 e Categorias Revit 2026</t>
  </si>
  <si>
    <t>"Escola"</t>
  </si>
  <si>
    <t>"PRJ_001"</t>
  </si>
  <si>
    <t>é.pertencente.a</t>
  </si>
  <si>
    <t>AVAC</t>
  </si>
  <si>
    <t>Formalización  de elementos de un projeto BIM. AVAC.</t>
  </si>
  <si>
    <t>Formalizar elementos do projeto BIM. AVAC.</t>
  </si>
  <si>
    <t>Ventilação</t>
  </si>
  <si>
    <t>00.Super
Class
5</t>
  </si>
  <si>
    <t>Duto.Silenciador</t>
  </si>
  <si>
    <t>Duto.Silenciador.Conexão</t>
  </si>
  <si>
    <t>Ar.Condicionado</t>
  </si>
  <si>
    <t>Aquecimento</t>
  </si>
  <si>
    <t>Refrigeração</t>
  </si>
  <si>
    <t>Vácuo</t>
  </si>
  <si>
    <t>Ar.Comprimido</t>
  </si>
  <si>
    <t>Exaustão</t>
  </si>
  <si>
    <t>Terminal de duto, pode ser um difusor ou uma boca de retorno.</t>
  </si>
  <si>
    <t>Terminal de condutos puede ser un difusor o una boca de retorno.</t>
  </si>
  <si>
    <t>Avac.Filtro</t>
  </si>
  <si>
    <t>Avac.Compressor</t>
  </si>
  <si>
    <t>Avac.Unitário</t>
  </si>
  <si>
    <t>Acessórios de dutos de AVAC.</t>
  </si>
  <si>
    <t>Segmentos de tubulação de AVAC.</t>
  </si>
  <si>
    <t>Accesorios para conductos de AVAC.</t>
  </si>
  <si>
    <t>Segmentos de tubería de AVAC.</t>
  </si>
  <si>
    <t>La caja de terminales de aire suele ser parte del sistema de distribución de conductos de AVAC..</t>
  </si>
  <si>
    <t>Caixa terminal de ar normalmente faz parte de sistema de distribuição de dutos de AVAC.</t>
  </si>
  <si>
    <t>Avac.Tubo.Conexão</t>
  </si>
  <si>
    <t>Avac.Tubo.Segmento</t>
  </si>
  <si>
    <t>Avac.Tubo.Válvula</t>
  </si>
  <si>
    <t>ABNT</t>
  </si>
  <si>
    <t>000 Translate Classe 5</t>
  </si>
  <si>
    <t>Explanation</t>
  </si>
  <si>
    <t>Prof. José Luis Menegotto - DEG/POLI/UFRJ</t>
  </si>
  <si>
    <t>Idioma</t>
  </si>
  <si>
    <t>pt</t>
  </si>
  <si>
    <t>es</t>
  </si>
  <si>
    <t>en</t>
  </si>
  <si>
    <t>Advertência</t>
  </si>
  <si>
    <t>Traduções al español e inglês incorporadas. As traduções devem ser constantemente revisadas</t>
  </si>
  <si>
    <t>Aviso</t>
  </si>
  <si>
    <t>Alert</t>
  </si>
  <si>
    <t>categoria.revit</t>
  </si>
  <si>
    <t>classe.ifc</t>
  </si>
  <si>
    <t>Instalações</t>
  </si>
  <si>
    <t>[ OST_DuctAccessory ]</t>
  </si>
  <si>
    <t>[ IfcDiscreteAccessory ]</t>
  </si>
  <si>
    <t>[ OST_PipeAccessory ]</t>
  </si>
  <si>
    <t>[ OST_DuctFitting ]</t>
  </si>
  <si>
    <t>[ IfcDuctFitting ]</t>
  </si>
  <si>
    <t>[ OST_FlexDuctCurves ]</t>
  </si>
  <si>
    <t>[ IfcDuctSegment ]</t>
  </si>
  <si>
    <t>[ OST_DuctCurves ]</t>
  </si>
  <si>
    <t>[ OST_DuctInsulations ]</t>
  </si>
  <si>
    <t>[ IfcDuctSilencer ]</t>
  </si>
  <si>
    <t>[ OST_DuctFittingInsulation ]</t>
  </si>
  <si>
    <t>[ OST_DuctTerminal ]</t>
  </si>
  <si>
    <t>[ IfcAirTerminal ]</t>
  </si>
  <si>
    <t>[ IfcJunctionBox ]</t>
  </si>
  <si>
    <t>[ IfcAirTerminalBox ]</t>
  </si>
  <si>
    <t>[ OST_PipeFitting ]</t>
  </si>
  <si>
    <t>[ IfcPipeFitting ]</t>
  </si>
  <si>
    <t>[ OST_PipeSegments ]</t>
  </si>
  <si>
    <t>[ IfcPipeSegment ]</t>
  </si>
  <si>
    <t>[ IfcValve ]</t>
  </si>
  <si>
    <t>[ OST_MechanicalEquipment ]</t>
  </si>
  <si>
    <t>[ IfcCompressor ]</t>
  </si>
  <si>
    <t>[ IfcFilter ]</t>
  </si>
  <si>
    <t>[ IfcUnitaryEquipment ]</t>
  </si>
  <si>
    <t>[ IfcTubeBundle ]</t>
  </si>
  <si>
    <t>[ IfcBoiler ]</t>
  </si>
  <si>
    <t>[ IfcChimney ]</t>
  </si>
  <si>
    <t>[ IfcChiller ]</t>
  </si>
  <si>
    <t>[ IfcCondenser ]</t>
  </si>
  <si>
    <t>[ IfcEvaporator ]</t>
  </si>
  <si>
    <t>[ IfcBurner ]</t>
  </si>
  <si>
    <t>[ IfcAirToAirHeatRecovery ]</t>
  </si>
  <si>
    <t>[ IfcEvaporativeCooler ]</t>
  </si>
  <si>
    <t>[ IfcCoil ]</t>
  </si>
  <si>
    <t>[ IfcCoolingTower ]</t>
  </si>
  <si>
    <t>[ IfcHeatExchanger ]</t>
  </si>
  <si>
    <t>[ IfcHumidifier ]</t>
  </si>
  <si>
    <t>[ IfcFan ]</t>
  </si>
  <si>
    <t>[ OST_VibrationDampers ]</t>
  </si>
  <si>
    <t>[ IfcDamper ]</t>
  </si>
  <si>
    <t>[ IfcVibrationDamper ]</t>
  </si>
  <si>
    <t>[ OST_VibrationIsolators ]</t>
  </si>
  <si>
    <t>[ IfcVibrationIsolator ]</t>
  </si>
  <si>
    <t>[ OST_DuctSystem ]</t>
  </si>
  <si>
    <t>[ IfcDistributionSystemAIRCONDITIONING ]</t>
  </si>
  <si>
    <t>[ IfcDistributionSystemCHILLEDWATER ]</t>
  </si>
  <si>
    <t>[ IfcDistributionSystemCOMPRESSEDAIR ]</t>
  </si>
  <si>
    <t>[ IfcDistributionSystemCONDENSERWATER ]</t>
  </si>
  <si>
    <t>[ IfcDistributionSystemEXHAUST ]</t>
  </si>
  <si>
    <t>[ IfcDistributionSystemHEATING ]</t>
  </si>
  <si>
    <t>[ IfcDistributionSystemREFRIGERATION ]</t>
  </si>
  <si>
    <t>[ IfcDistributionSystemRETURN_CIRCUIT ]</t>
  </si>
  <si>
    <t>[ IfcDistributionSystemVACUUM ]</t>
  </si>
  <si>
    <t>[ IfcDistributionSystemVENTILATION ]</t>
  </si>
  <si>
    <t>[ 3E ]</t>
  </si>
  <si>
    <t>[ OST_SwitchSystem ]</t>
  </si>
  <si>
    <t>[ 3E.26 ]</t>
  </si>
  <si>
    <t>Avac.Dutos</t>
  </si>
  <si>
    <t>Sistema Elétrico de para Ar Condicionado</t>
  </si>
  <si>
    <t>Sistema Elétrico de para Aquecimento</t>
  </si>
  <si>
    <t>Sistema Elétrico de para Exaustão de Ar</t>
  </si>
  <si>
    <t>Sistema Elétrico de para Aire Condicionado</t>
  </si>
  <si>
    <t>Sistema Elétrico de para Calefacción</t>
  </si>
  <si>
    <t>Sistema Elétrico de para Extracción de Aire</t>
  </si>
  <si>
    <t>Un sensor es un dispositivo que mide una cantidad física y la convierte en una señal que se puede leer.</t>
  </si>
  <si>
    <t>Dispositivo que identifica o detecta monóxido de carbono.</t>
  </si>
  <si>
    <t>Dispositivo que identifica o detecta el dióxido de carbono.</t>
  </si>
  <si>
    <t>Un dispositivo que detecta o detecta la conductancia eléctrica.</t>
  </si>
  <si>
    <t>Un dispositivo que detecta o detecta el contacto, por ejemplo, para detectar si una puerta está cerrada.</t>
  </si>
  <si>
    <t>Dispositivo que detecta o detecta la onda sísmica y mide la intensidad sísmica en caso de terremoto.</t>
  </si>
  <si>
    <t>Dispositivo detector combinado (multicriterio). Puede detectar la presencia de calor, fuego y humo.</t>
  </si>
  <si>
    <t>Un dispositivo que identifica o detecta el flujo en un fluido.</t>
  </si>
  <si>
    <t>Un dispositivo que detecta o detecta objetos extraños que interfieren con la red eléctrica.</t>
  </si>
  <si>
    <t>Dispositivo que identifica o detecta la congelación en una ventana.</t>
  </si>
  <si>
    <t>Dispositivo que detecta o detecta la concentración de gases (distintos del CO2).</t>
  </si>
  <si>
    <t>Un dispositivo que identifica o detecta el calor.</t>
  </si>
  <si>
    <t>Dispositivo que identifica o detecta humedad.</t>
  </si>
  <si>
    <t>Un dispositivo que lee una etiqueta, como para acceder a una puerta o ascensor.</t>
  </si>
  <si>
    <t>Dispositivo que detecta la concentración de iones, por ejemplo, para medir la dureza del agua.</t>
  </si>
  <si>
    <t>Un dispositivo que detecta o detecta el nivel de llenado, como en el caso de un tanque.</t>
  </si>
  <si>
    <t>Un dispositivo que identifica o detecta la luz.</t>
  </si>
  <si>
    <t>Dispositivo que detecta o detecta humedad.</t>
  </si>
  <si>
    <t>Un dispositivo que identifica o detecta movimiento.</t>
  </si>
  <si>
    <t>Dispositivo que detecta o detecta cualquier obstáculo.</t>
  </si>
  <si>
    <t>Dispositivo que identifica o detecta la acidez.</t>
  </si>
  <si>
    <t>Dispositivo que detecta o percibe la presión.</t>
  </si>
  <si>
    <t>Dispositivo que detecta o detecta radiación.</t>
  </si>
  <si>
    <t>Dispositivo que detecta o desintegración atómica.</t>
  </si>
  <si>
    <t>Un dispositivo que percibe o recopila información relacionada con la lluvia.</t>
  </si>
  <si>
    <t>Dispositivo que identifica o detecta humo.</t>
  </si>
  <si>
    <t>Un dispositivo que percibe o mide la profundidad de la nieve acumulada.</t>
  </si>
  <si>
    <t>Un dispositivo que identifica o detecta sonido.</t>
  </si>
  <si>
    <t>Dispositivo que identifica o detecta la temperatura.</t>
  </si>
  <si>
    <t>Un dispositivo que es conectado a la parte trasera del último vagón de un tren que actúa sobre un equipo fijo.</t>
  </si>
  <si>
    <t>Un dispositivo que detecta o detecta la posición de una cuchilla de un AMV ferroviario.</t>
  </si>
  <si>
    <t>Un dispositivo que detecta el paso de una rueda.</t>
  </si>
  <si>
    <t>Un dispositivo que percibe o detecta la velocidad y la dirección del flujo de aire.</t>
  </si>
  <si>
    <t>[ OST_SecurityDevices ]</t>
  </si>
  <si>
    <t>[ IfcSensor ]</t>
  </si>
  <si>
    <t>[ IfcSensorCOSENSOR ]</t>
  </si>
  <si>
    <t>[ IfcSensorCO2SENSOR ]</t>
  </si>
  <si>
    <t>[ IfcSensorCONDUCTANCESENSOR ]</t>
  </si>
  <si>
    <t>[ IfcSensorCONTACTSENSOR ]</t>
  </si>
  <si>
    <t>[ IfcSensorEARTHQUAKESENSOR ]</t>
  </si>
  <si>
    <t>[ IfcSensorFIRESENSOR ]</t>
  </si>
  <si>
    <t>[ IfcSensorFLOWSENSOR ]</t>
  </si>
  <si>
    <t>[ IfcSensorFOREIGNOBJECTDETECTIONSENSOR ]</t>
  </si>
  <si>
    <t>[ IfcSensorFROSTSENSOR ]</t>
  </si>
  <si>
    <t>[ IfcSensorGASSENSOR ]</t>
  </si>
  <si>
    <t>[ IfcSensorHEATSENSOR ]</t>
  </si>
  <si>
    <t>[ IfcSensorHUMIDITYSENSOR ]</t>
  </si>
  <si>
    <t>[ IfcSensorIDENTIFIERSENSOR ]</t>
  </si>
  <si>
    <t>[ IfcSensorIONCONCENTRATIONSENSOR ]</t>
  </si>
  <si>
    <t>[ IfcSensorLEVELSENSOR ]</t>
  </si>
  <si>
    <t>[ IfcSensorLIGHTSENSOR ]</t>
  </si>
  <si>
    <t>[ IfcSensorMOISTURESENSOR ]</t>
  </si>
  <si>
    <t>[ IfcSensorMOVEMENTSENSOR ]</t>
  </si>
  <si>
    <t>[ IfcSensorOBSTACLESENSOR ]</t>
  </si>
  <si>
    <t>[ IfcSensorPHSENSOR ]</t>
  </si>
  <si>
    <t>[ IfcSensorPRESSURESENSOR ]</t>
  </si>
  <si>
    <t>[ IfcSensorRADIATIONSENSOR ]</t>
  </si>
  <si>
    <t>[ IfcSensorRADIOACTIVITYSENSOR ]</t>
  </si>
  <si>
    <t>[ IfcSensorRAINSENSOR ]</t>
  </si>
  <si>
    <t>[ IfcSensorSMOKESENSOR ]</t>
  </si>
  <si>
    <t>[ IfcSensorSNOWDEPTHSENSOR ]</t>
  </si>
  <si>
    <t>[ IfcSensorSOUNDSENSOR ]</t>
  </si>
  <si>
    <t>[ IfcSensorTEMPERATURESENSOR ]</t>
  </si>
  <si>
    <t>[ IfcSensorTRAINSENSOR ]</t>
  </si>
  <si>
    <t>[ IfcSensorTURNOUTCLOSURESENSOR ]</t>
  </si>
  <si>
    <t>[ IfcSensorWHEELSENSOR ]</t>
  </si>
  <si>
    <t>[ IfcSensorWINDSENSOR ]</t>
  </si>
  <si>
    <t>Avac.Bobina.de.Tubos</t>
  </si>
  <si>
    <t>Avac.Caldeira</t>
  </si>
  <si>
    <t>Avac.Chaminé</t>
  </si>
  <si>
    <t>Avac.Chiller</t>
  </si>
  <si>
    <t>Avac.Condensador</t>
  </si>
  <si>
    <t>Avac.Evaporador</t>
  </si>
  <si>
    <t>Avac.Recuperador.Ar-Ar</t>
  </si>
  <si>
    <t>Avac.Queimador</t>
  </si>
  <si>
    <t>Avac.Resfriador.Evaporativo</t>
  </si>
  <si>
    <t>Avac.Serpentina</t>
  </si>
  <si>
    <t>Avac.Torre.Arrefecimento</t>
  </si>
  <si>
    <t>Avac.Umidificador</t>
  </si>
  <si>
    <t>Avac.Trocador.de.Calor</t>
  </si>
  <si>
    <t>Avac.Ventilador</t>
  </si>
  <si>
    <t>Avac.Amortecedor</t>
  </si>
  <si>
    <t>Avac.Vibração.Amortecedor</t>
  </si>
  <si>
    <t>Avac.Vibração.Isolador</t>
  </si>
  <si>
    <t>Avac.Sensor</t>
  </si>
  <si>
    <t>Avac.Sensor.de.Monóxido.Carbono</t>
  </si>
  <si>
    <t>Avac.Sensor.de.Dióxido.Carbono</t>
  </si>
  <si>
    <t>Avac.Sensor.de.Condutância</t>
  </si>
  <si>
    <t>Avac.Sensor.de.Contato</t>
  </si>
  <si>
    <t>Avac.Sensor.de.Sismos</t>
  </si>
  <si>
    <t>Avac.Sensor.de.Incêndio</t>
  </si>
  <si>
    <t>Avac.Sensor.de.Fluxo</t>
  </si>
  <si>
    <t>Avac.Sensor.de.Detecção.Objeto.Estranho</t>
  </si>
  <si>
    <t>Avac.Sensor.de.Geada</t>
  </si>
  <si>
    <t>Avac.Sensor.de.Gás</t>
  </si>
  <si>
    <t>Avac.Sensor.de.Calor</t>
  </si>
  <si>
    <t>Avac.Sensor.de.Umidade</t>
  </si>
  <si>
    <t>Avac.Sensor.de.Identificação</t>
  </si>
  <si>
    <t>Avac.Sensor.de.Concentração.de.Íons</t>
  </si>
  <si>
    <t>Avac.Sensor.de.Nível</t>
  </si>
  <si>
    <t>Avac.Sensor.de.Luz</t>
  </si>
  <si>
    <t>Avac.Sensor.de.Umidade.do.Solo</t>
  </si>
  <si>
    <t>Avac.Sensor.de.Movimento</t>
  </si>
  <si>
    <t>Avac.Sensor.de.Obstáculo</t>
  </si>
  <si>
    <t>Avac.Sensor.de.pH</t>
  </si>
  <si>
    <t>Avac.Sensor.de.Pressão</t>
  </si>
  <si>
    <t>Avac.Sensor.de.Radiação</t>
  </si>
  <si>
    <t>Avac.Sensor.de.Radioatividade</t>
  </si>
  <si>
    <t>Avac.Sensor.de.Chuva</t>
  </si>
  <si>
    <t>Avac.Sensor.de.Fumaça</t>
  </si>
  <si>
    <t>Avac.Sensor.de.Profundidade.da.Neve</t>
  </si>
  <si>
    <t>Avac.Sensor.de.Som</t>
  </si>
  <si>
    <t>Avac.Sensor.de.Temperatura</t>
  </si>
  <si>
    <t>Avac.Sensor.de.Trem</t>
  </si>
  <si>
    <t>Avac.Sensor.de.Desvio.Ferroviário</t>
  </si>
  <si>
    <t>Avac.Sensor.de.Roda</t>
  </si>
  <si>
    <t>Avac.Sensor.de.Vento</t>
  </si>
  <si>
    <t>Avac.Acessório.Duto.Avac</t>
  </si>
  <si>
    <t>Avac.Acessório.Tubo.Avac</t>
  </si>
  <si>
    <t>Avac.Sensores</t>
  </si>
  <si>
    <t>Avac.Dampers</t>
  </si>
  <si>
    <t>Avac.Acessórios</t>
  </si>
  <si>
    <t>Avac.Equipamentos</t>
  </si>
  <si>
    <t>Avac.Tubos</t>
  </si>
  <si>
    <t>Avac.Terminais</t>
  </si>
  <si>
    <t>Avac.Caixa.Junção</t>
  </si>
  <si>
    <t>Avac.Caixa.Terminal</t>
  </si>
  <si>
    <t>Sensor é um dispositivo que mede uma quantidade física e a converte num sinal que pode ser lido. Verificar (MQTT) Message Queuing Telemetry Transport.</t>
  </si>
  <si>
    <t>Dispositivo que identifica ou detecta monóxido de carbono. Verificar (MQTT) Message Queuing Telemetry Transport.</t>
  </si>
  <si>
    <t>Dispositivo que identifica ou detecta dióxido de carbono. Verificar (MQTT) Message Queuing Telemetry Transport.</t>
  </si>
  <si>
    <t>Dispositivo que detecta ou detecta condutância elétrica. Verificar (MQTT) Message Queuing Telemetry Transport.</t>
  </si>
  <si>
    <t>Dispositivo que percebe ou detecta contato, como para detectar se uma porta está fechada. Verificar (MQTT) Message Queuing Telemetry Transport.</t>
  </si>
  <si>
    <t>Dispositivo que sente ou detecta a onda sísmica e mede a intensidade sísmica em caso de terremoto. Verificar (MQTT) Message Queuing Telemetry Transport.</t>
  </si>
  <si>
    <t>Dispositivo detector combinado (multi-critério). Pode detectar presença de calor, fogo e fumaça. Verificar (MQTT) Message Queuing Telemetry Transport.</t>
  </si>
  <si>
    <t>Dispositivo que identifica ou detecta fluxo num fluido. Verificar (MQTT) Message Queuing Telemetry Transport.</t>
  </si>
  <si>
    <t>Dispositivo que sente ou detecta objetos estranhos que interferem com a rede de energia. Verificar (MQTT) Message Queuing Telemetry Transport.</t>
  </si>
  <si>
    <t>Dispositivo que identifica ou detecta congelamento numa janela. Verificar (MQTT) Message Queuing Telemetry Transport.</t>
  </si>
  <si>
    <t>Dispositivo que detecta ou detecta concentração de gás (exceto CO2). Verificar (MQTT) Message Queuing Telemetry Transport.</t>
  </si>
  <si>
    <t>Dispositivo que identifica ou detecta calor. Verificar (MQTT) Message Queuing Telemetry Transport.</t>
  </si>
  <si>
    <t>Dispositivo que identifica ou detecta umidade. Verificar (MQTT) Message Queuing Telemetry Transport.</t>
  </si>
  <si>
    <t>Dispositivo que sente ou detecta a concentração de íon, como para medir a dureza da água. Verificar (MQTT) Message Queuing Telemetry Transport.</t>
  </si>
  <si>
    <t>Dispositivo que identifica ou detecta luz. Verificar (MQTT) Message Queuing Telemetry Transport.</t>
  </si>
  <si>
    <t>Dispositivo que lê uma etiqueta, como para obter acesso a uma porta ou elevador. Verificar (MQTT) Message Queuing Telemetry Transport.</t>
  </si>
  <si>
    <t>Dispositivo que percebe ou detecta o nível de preenchimento, como para um tanque. Verificar (MQTT) Message Queuing Telemetry Transport.</t>
  </si>
  <si>
    <t>Dispositivo que sente ou detecta umidade. Verificar (MQTT) Message Queuing Telemetry Transport.</t>
  </si>
  <si>
    <t>Dispositivo que identifica ou detecta movimento. Verificar (MQTT) Message Queuing Telemetry Transport.</t>
  </si>
  <si>
    <t>Dispositivo que identifica ou detecta acidez. Verificar (MQTT) Message Queuing Telemetry Transport.</t>
  </si>
  <si>
    <t>Dispositivo que detecta ou detecta quaisquer obstáculos. Verificar (MQTT) Message Queuing Telemetry Transport.</t>
  </si>
  <si>
    <t>Dispositivo que sente ou detecta pressão. Verificar (MQTT) Message Queuing Telemetry Transport.</t>
  </si>
  <si>
    <t>Dispositivo que sente ou detecta radiação. Verificar (MQTT) Message Queuing Telemetry Transport.</t>
  </si>
  <si>
    <t>Dispositivo que percebe ou detecta a decaimento atômico. Verificar (MQTT) Message Queuing Telemetry Transport.</t>
  </si>
  <si>
    <t>Dispositivo que percebe ou coleta informações relacionadas à chuva. Verificar (MQTT) Message Queuing Telemetry Transport.</t>
  </si>
  <si>
    <t>Dispositivo que identifica ou detecta fumaça. Verificar (MQTT) Message Queuing Telemetry Transport.</t>
  </si>
  <si>
    <t>Dispositivo que percebe ou mede a profundidade da neve acumulada. Verificar (MQTT) Message Queuing Telemetry Transport.</t>
  </si>
  <si>
    <t>Dispositivo que identifica ou detecta som. Verificar (MQTT) Message Queuing Telemetry Transport.</t>
  </si>
  <si>
    <t>Dispositivo que identifica ou detecta temperatura. Verificar (MQTT) Message Queuing Telemetry Transport.</t>
  </si>
  <si>
    <t>Dispositivo que é colocado na extremidade traseira do último vagão de um trem atuando num equipamento fixo. Verificar (MQTT) Message Queuing Telemetry Transport.</t>
  </si>
  <si>
    <t>Dispositivo que percebe ou detecta a passagem de uma roda. Verificar (MQTT) Message Queuing Telemetry Transport.</t>
  </si>
  <si>
    <t>Dispositivo que percebe ou detecta a velocidade e direção do fluxo de ar. Verificar (MQTT) Message Queuing Telemetry Transport.</t>
  </si>
  <si>
    <t>Dispositivo que detecta ou detecta a posição de uma lâmina de um AMV. Verificar (MQTT) Message Queuing Telemetry Transport.</t>
  </si>
  <si>
    <t>Elementos.de.Dutagem</t>
  </si>
  <si>
    <t>Elementos.de.AntiVibração</t>
  </si>
  <si>
    <t>Elementos.de.Sensorização</t>
  </si>
  <si>
    <t>Água.Condensador</t>
  </si>
  <si>
    <t>Sistema de distribuição que forma o caminho pretendido para a corrente de insuflamento.</t>
  </si>
  <si>
    <t>Sistema de distribuição que forma o caminho pretendido para a corrente de retorno.</t>
  </si>
  <si>
    <t>Sistema de distribución que forma el camino previsto para la cadena de insuflamiento.</t>
  </si>
  <si>
    <t>Sistema de distribución que forma el camino previsto para la cadena de retorno.</t>
  </si>
  <si>
    <t>"Projeto de AVAC 01"</t>
  </si>
  <si>
    <t>Insuflamento</t>
  </si>
  <si>
    <t>Retorno</t>
  </si>
  <si>
    <t>Circuito.Elétrico.de.Ar.Condicionado</t>
  </si>
  <si>
    <t>Circuito.Elétrico.de.Aquecimento</t>
  </si>
  <si>
    <t>Circuito.Elétrico.de.Exaustão</t>
  </si>
  <si>
    <t>Elementos.de.Acessórios</t>
  </si>
  <si>
    <t>Os aquecedores de ambiente utilizam uma combinação de radiação e/ou convecção natural.</t>
  </si>
  <si>
    <t>Los calefactores utilizan una combinación de radiación natural y/o convección.</t>
  </si>
  <si>
    <t>Unidade de distribuição de calor que opera com ar circulado por gravidade.</t>
  </si>
  <si>
    <t>Unidad de distribución de calor que funciona con aire circulado por gravedad.</t>
  </si>
  <si>
    <t>Unidade de distribuição de calor que opera com radiação térmica.</t>
  </si>
  <si>
    <t>Unidad de distribución de calor que funciona con radiación térmica.</t>
  </si>
  <si>
    <t>Avac.Equipamentos.Unitarios</t>
  </si>
  <si>
    <t>Avac.Aquecedor.de.Ambiente</t>
  </si>
  <si>
    <t>Avac.Aquecedor.Convector</t>
  </si>
  <si>
    <t>Avac.Aquecedor.Radiação</t>
  </si>
  <si>
    <t>[ OST_SpecialityEquipment ]</t>
  </si>
  <si>
    <t>[ IfcSpaceHeater ]</t>
  </si>
  <si>
    <t>[ IfcSpaceHeaterCONVECTOR ]</t>
  </si>
  <si>
    <t>[ IfcSpaceHeaterRADIATOR ]</t>
  </si>
  <si>
    <t>projeto.código</t>
  </si>
  <si>
    <t>código.abnt</t>
  </si>
  <si>
    <t>"[ 3E.50.02.06 ]"</t>
  </si>
  <si>
    <t>"[ 3E.30.04.04 ]"</t>
  </si>
  <si>
    <t>Conceitos</t>
  </si>
  <si>
    <t>De.Climatização</t>
  </si>
  <si>
    <t>"[ OST_DuctSystem : OST_DuctCurves : OST_DuctFitting : OST_DuctAccessory : OST_DuctTerminal ]"</t>
  </si>
  <si>
    <t>"[ IfcDistributionSystem : IfcDuctSegment : IfcDuctFitting : IfcDiscreteAccessory : IfcDuctSilencer : IfcJunctionBox : IfcAirTerminalBox : IfcAirTerminal ]"</t>
  </si>
  <si>
    <t>Electrical System for Air Conditioning</t>
  </si>
  <si>
    <t>Electrical Heating System</t>
  </si>
  <si>
    <t>Electrical System for Air Exhaust</t>
  </si>
  <si>
    <t>Air conditioning distribution system to maintain a range of temperatures in one or more spaces.</t>
  </si>
  <si>
    <t>Non-potable chilled water, such as that circulated through an evaporator.</t>
  </si>
  <si>
    <t>Non-potable water, such as that circulated through a condemner.</t>
  </si>
  <si>
    <t>Compressed air system.</t>
  </si>
  <si>
    <t>Exhaust air collection system to remove stale or harmful air from one or more spaces.</t>
  </si>
  <si>
    <t>Water or steam heated from a boiler and circulated through radiators.</t>
  </si>
  <si>
    <t>Ventilation air distribution system involved in the exchange of air to the outside.</t>
  </si>
  <si>
    <t>A refrigerant distribution system for the purpose of fulfilling all or part of a refrigeration cycle.</t>
  </si>
  <si>
    <t>Distribution system that forms the intended path for the supply current.</t>
  </si>
  <si>
    <t>Distribution system that forms the intended path for the return current.</t>
  </si>
  <si>
    <t>Vacuum distribution system.</t>
  </si>
  <si>
    <t>Duct connection is a junction or transition in the flow distribution system in pipelines.</t>
  </si>
  <si>
    <t>Flexible segments are a continuous nonlinear segment of the duct that can be deformed.</t>
  </si>
  <si>
    <t>Duct segments are typically used to join two sections of the duct network.</t>
  </si>
  <si>
    <t>Duct muffler is a device that is usually installed inside distribution system.</t>
  </si>
  <si>
    <t>Duct insulator type.</t>
  </si>
  <si>
    <t>Pipe connection is a junction or transition in the pipe flow distribution system.</t>
  </si>
  <si>
    <t>Pipe segments is used to typically join two sections of a plumbing network.</t>
  </si>
  <si>
    <t>Valve is used in plumbing distribution system for construction services.</t>
  </si>
  <si>
    <t>Duct terminal, it can be a diffuser or a return mouth.</t>
  </si>
  <si>
    <t>Junction box is a compartment where ducts are connected.</t>
  </si>
  <si>
    <t>Air terminal box is usually part of HVAC duct distribution system.</t>
  </si>
  <si>
    <t>A compressor is a device that compresses a fluid normally used in a refrigeration circuit.</t>
  </si>
  <si>
    <t>A filter is a device used to remove particles or gaseous matter from fluids and gases.</t>
  </si>
  <si>
    <t>Unitary equipment usually combines several components into a single product, such as an air handle.</t>
  </si>
  <si>
    <t>Bundle of tubes is a device consisting of tubes and bundles of tubes used for heat transfer and containment.</t>
  </si>
  <si>
    <t>A boiler is a closed piece of equipment, rated for pressure, in which water or other fluid.</t>
  </si>
  <si>
    <t>Generally vertical ducts, used to exhaust gases from equipment such as boilers.</t>
  </si>
  <si>
    <t>A device used to remove heat from a liquid through a refrigeration cycle.</t>
  </si>
  <si>
    <t>A device used to dissipate heat, usually by condensing a substance.</t>
  </si>
  <si>
    <t>A device in which a refrigerant fluid is vaporized that absorbs heat from the fluid.</t>
  </si>
  <si>
    <t>A device that converts fuel into heat through combustion.</t>
  </si>
  <si>
    <t>Air-to-air heat recovery device uses a countercurrent heat exchanger.</t>
  </si>
  <si>
    <t>A device that cools the air by saturating it with water vapor.</t>
  </si>
  <si>
    <t>Coil is a device used to provide heat transfer between the unmixed media.</t>
  </si>
  <si>
    <t>Cooling tower is a device that rejects heat into ambient air by circulating a fluid.</t>
  </si>
  <si>
    <t>Heat exchanger is a device used to provide heat transfer between media.</t>
  </si>
  <si>
    <t>Device that adds moisture to the air.</t>
  </si>
  <si>
    <t>A fan is a device that transmits mechanical work to a gas.</t>
  </si>
  <si>
    <t>Space heaters use a combination of natural radiation and/or convection.</t>
  </si>
  <si>
    <t>Heat distribution unit that operates with air circulated by gravity.</t>
  </si>
  <si>
    <t>Heat distribution unit that operates with thermal radiation.</t>
  </si>
  <si>
    <t>Damper typically participates in HVAC duct distribution system and is used to control or modulate.</t>
  </si>
  <si>
    <t>Vibration damper is a device used to minimize the effects of vibration on a structure.</t>
  </si>
  <si>
    <t>Vibration isolator is a device used to minimize the transmissibility effects of vibrations.</t>
  </si>
  <si>
    <t>A sensor is a device that measures a physical quantity and converts it into a signal that can be read. Verify (MQTT) message queuing telemetry transport.</t>
  </si>
  <si>
    <t>A device that identifies or detects carbon monoxide. Verify (MQTT) message queuing telemetry transport.</t>
  </si>
  <si>
    <t>A device that identifies or detects carbon dioxide. Verify (MQTT) message queuing telemetry transport.</t>
  </si>
  <si>
    <t>A device that detects or detects electrical conductance. Verify (MQTT) message queuing telemetry transport.</t>
  </si>
  <si>
    <t>A device that senses or detects contact, such as to detect if a door is closed. Verify (MQTT) message queuing telemetry transport.</t>
  </si>
  <si>
    <t>A device that senses or detects the seismic wave and measures the seismic intensity in the event of an earthquake. Verify (MQTT) message queuing telemetry transport.</t>
  </si>
  <si>
    <t>Combined detector device (multi-criteria). It can detect the presence of heat, fire and smoke. Verify (MQTT) message queuing telemetry transport.</t>
  </si>
  <si>
    <t>A device that identifies or detects flow in a fluid. Verify (MQTT) message queuing telemetry transport.</t>
  </si>
  <si>
    <t>A device that senses or detects foreign objects that interfere with the power grid. Verify (MQTT) message queuing telemetry transport.</t>
  </si>
  <si>
    <t>Device that identifies or detects freezing in a window. Verify (MQTT) message queuing telemetry transport.</t>
  </si>
  <si>
    <t>A device that detects or detects gas concentration (except CO2). Verify (MQTT) message queuing telemetry transport.</t>
  </si>
  <si>
    <t>A device that identifies or detects heat. Verify (MQTT) message queuing telemetry transport.</t>
  </si>
  <si>
    <t>Device that identifies or detects moisture. Verify (MQTT) message queuing telemetry transport.</t>
  </si>
  <si>
    <t>A device that reads a label, such as to gain access to a door or elevator. Verify (MQTT) message queuing telemetry transport.</t>
  </si>
  <si>
    <t>A device that senses or detects the concentration of ion, such as to measure the hardness of water. Verify (MQTT) message queuing telemetry transport.</t>
  </si>
  <si>
    <t>A device that senses or detects the fill level, such as for a tank. Verify (MQTT) message queuing telemetry transport.</t>
  </si>
  <si>
    <t>A device that identifies or detects light. Verify (MQTT) message queuing telemetry transport.</t>
  </si>
  <si>
    <t>Device that senses or detects moisture. Verify (MQTT) message queuing telemetry transport.</t>
  </si>
  <si>
    <t>A device that identifies or detects motion. Verify (MQTT) message queuing telemetry transport.</t>
  </si>
  <si>
    <t>Device that detects or detects any obstacles. Verify (MQTT) message queuing telemetry transport.</t>
  </si>
  <si>
    <t>Device that identifies or detects acidity. Verify (MQTT) message queuing telemetry transport.</t>
  </si>
  <si>
    <t>Device that senses or senses pressure. Verify (MQTT) message queuing telemetry transport.</t>
  </si>
  <si>
    <t>A device that senses or detects radiation. Verify (MQTT) message queuing telemetry transport.</t>
  </si>
  <si>
    <t>A device that senses or detects atomic decay. Verify (MQTT) message queuing telemetry transport.</t>
  </si>
  <si>
    <t>A device that perceives or collects information related to rainfall. Verify (MQTT) message queuing telemetry transport.</t>
  </si>
  <si>
    <t>Device that identifies or detects smoke. Verify (MQTT) message queuing telemetry transport.</t>
  </si>
  <si>
    <t>A device that perceives or measures the depth of accumulated snow. Verify (MQTT) message queuing telemetry transport.</t>
  </si>
  <si>
    <t>A device that identifies or detects sound. Verify (MQTT) message queuing telemetry transport.</t>
  </si>
  <si>
    <t>Device that identifies or detects temperature. Verify (MQTT) message queuing telemetry transport.</t>
  </si>
  <si>
    <t>A device that is placed at the rear end of the last car of a train acting on a fixed equipment. Verify (MQTT) message queuing telemetry transport.</t>
  </si>
  <si>
    <t>A device that detects or detects the position of a blade of an AMV. Verify (MQTT) message queuing telemetry transport.</t>
  </si>
  <si>
    <t>A device that senses or detects the passage of a wheel. Verify (MQTT) message queuing telemetry transport.</t>
  </si>
  <si>
    <t>A device that perceives or senses the speed and direction of airflow. Verify (MQTT) message queuing telemetry transport.</t>
  </si>
  <si>
    <t>HVAC duct accessories.</t>
  </si>
  <si>
    <t>HVAC pipe segments.</t>
  </si>
  <si>
    <t>Atributo IFC</t>
  </si>
  <si>
    <t>Classe IFC</t>
  </si>
  <si>
    <t>Categoria Rvt</t>
  </si>
  <si>
    <t>Parâmetro Rvt</t>
  </si>
  <si>
    <t>Projeto</t>
  </si>
  <si>
    <t>De.API</t>
  </si>
  <si>
    <t>Métodos</t>
  </si>
  <si>
    <t>Macros</t>
  </si>
  <si>
    <t>Projeto de instalação de exaustão mecânica.</t>
  </si>
  <si>
    <t>De.AVAC</t>
  </si>
  <si>
    <t>Sistemas.Elétricos.de.Avac</t>
  </si>
  <si>
    <t>Sistemas.de.Avac</t>
  </si>
  <si>
    <t>Elementos.de.Avac</t>
  </si>
  <si>
    <t>Sistema.Avac</t>
  </si>
  <si>
    <t>Elétrica.de.Avac</t>
  </si>
  <si>
    <t>Ar.Aquecido</t>
  </si>
  <si>
    <t>Ar.Ventilação</t>
  </si>
  <si>
    <t>Projeto de instalação de aquecimento de ar.</t>
  </si>
  <si>
    <t>Projeto de instalação de ventilação de ar interno.</t>
  </si>
  <si>
    <t>Projeto de instalação de filtragem de ar externo.</t>
  </si>
  <si>
    <t>Ar.Insuflado</t>
  </si>
  <si>
    <t>Ar.Filtrado.Interno</t>
  </si>
  <si>
    <t>Ar.Filtrado.Externo</t>
  </si>
  <si>
    <t>Projeto de instalação de resfriamento de ar (Insuflado).</t>
  </si>
  <si>
    <t>Projeto de instalação de resfriamento de ar (Retorno).</t>
  </si>
  <si>
    <t>Projeto de instalação de filtragem de ar interior.</t>
  </si>
  <si>
    <t>Projeto de instalação de captação de ar externo.</t>
  </si>
  <si>
    <t>Qualidade.de.Ar</t>
  </si>
  <si>
    <t>Captação.de.Ar.Exterior</t>
  </si>
  <si>
    <t>Circulação.de.Ar.Interior</t>
  </si>
  <si>
    <t>Ar.Captador</t>
  </si>
  <si>
    <t>Ar.Exaustão</t>
  </si>
  <si>
    <t>Dutos.Ret</t>
  </si>
  <si>
    <t>Dutos.Ins</t>
  </si>
  <si>
    <t>Dutos.Exa</t>
  </si>
  <si>
    <t>"Dutos de retorno de ar condicionado"</t>
  </si>
  <si>
    <t>"Dutos de insuflamento de ar condicionado"</t>
  </si>
  <si>
    <t>"Dutos de exaustão mecânica"</t>
  </si>
  <si>
    <t>"Qualidade do ar interno"</t>
  </si>
  <si>
    <t>API_Ambiente</t>
  </si>
  <si>
    <t>"API"</t>
  </si>
  <si>
    <t>subtema</t>
  </si>
  <si>
    <t>"Elementos Ambientes"</t>
  </si>
  <si>
    <t>"Individuo indicador de método API para selecionar ambientes do projeto"</t>
  </si>
  <si>
    <t>"[ Ambientes ]"</t>
  </si>
  <si>
    <t>API_Andar</t>
  </si>
  <si>
    <t>"Elementos Andares"</t>
  </si>
  <si>
    <t>"Individuo indicador de método API para selecionar andares do projeto"</t>
  </si>
  <si>
    <t>"[ Pavimentos ]"</t>
  </si>
  <si>
    <t>API_Instância</t>
  </si>
  <si>
    <t>"Elementos Instanciados"</t>
  </si>
  <si>
    <t>"Individuo indicador de método API para selecionar instâncias do projeto"</t>
  </si>
  <si>
    <t>"[ Elementos ]"</t>
  </si>
  <si>
    <t>API_Simbolo</t>
  </si>
  <si>
    <t>"Elementos Tipificados"</t>
  </si>
  <si>
    <t>"Individuo indicador de método API para selecionar elementos tipificados do projeto"</t>
  </si>
  <si>
    <t>"[ Tipos ]"</t>
  </si>
  <si>
    <t>API_Material</t>
  </si>
  <si>
    <t>"Elementos Materiais"</t>
  </si>
  <si>
    <t>"Individuo indicador de método API para selecionar materiais do projeto"</t>
  </si>
  <si>
    <t>"[ Materiais ]"</t>
  </si>
  <si>
    <t>"Climatização"</t>
  </si>
  <si>
    <t>"Ar condicionado"</t>
  </si>
  <si>
    <t>"Exaustão mecânica"</t>
  </si>
  <si>
    <t>código</t>
  </si>
  <si>
    <t>"ART-01"</t>
  </si>
  <si>
    <t>"AIN-01"</t>
  </si>
  <si>
    <t>"EXA-01"</t>
  </si>
  <si>
    <t>Ar.Retornado</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</si>
  <si>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</si>
  <si>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</si>
  <si>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</si>
  <si>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</si>
  <si>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</si>
  <si>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</si>
  <si>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</si>
  <si>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</si>
  <si>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</si>
  <si>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</si>
  <si>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</si>
  <si>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</si>
  <si>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</si>
  <si>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</si>
  <si>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</si>
  <si>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</si>
  <si>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Códigos.Visuais</t>
  </si>
  <si>
    <t>Bloco.de.Código</t>
  </si>
  <si>
    <t>Define um Código escrito em sistemas de programação visual</t>
  </si>
  <si>
    <t>Define un código escrito en sistemas de programación visual</t>
  </si>
  <si>
    <t>Defines a Code written in visual programming systems</t>
  </si>
  <si>
    <t>KML</t>
  </si>
  <si>
    <t>De.Materialidade</t>
  </si>
  <si>
    <t>Materialidades</t>
  </si>
  <si>
    <t>Materiais</t>
  </si>
  <si>
    <t>Tubo.de.Aço</t>
  </si>
  <si>
    <t>Tubo de aço para canalizações.</t>
  </si>
  <si>
    <t>Tubería de acero para fontanería.</t>
  </si>
  <si>
    <t>Steel pipe for plumbing.</t>
  </si>
  <si>
    <t>[ IfcMaterial ]</t>
  </si>
  <si>
    <t>[ 0M.20.20.01.01 ]</t>
  </si>
  <si>
    <t>Tubo.de.Aço.Costura</t>
  </si>
  <si>
    <t>Tubo de aço com costura (especificações NBR 5580 ou NBR 5590).</t>
  </si>
  <si>
    <t>Tubería de acero soldada (especificaciones NBR 5580 o NBR 5590).</t>
  </si>
  <si>
    <t>Welded steel pipe (NBR 5580 or NBR 5590 specifications).</t>
  </si>
  <si>
    <t>Tubo.de.Cobre</t>
  </si>
  <si>
    <t>Tubo de cobre para redes de água quente ou gás.</t>
  </si>
  <si>
    <t>Tubería de cobre para agua caliente o redes de gas.</t>
  </si>
  <si>
    <t>Copper pipe for hot water or gas networks.</t>
  </si>
  <si>
    <t>[ 0M.20.20.05 ]</t>
  </si>
  <si>
    <t>Tubo.de.FoFo</t>
  </si>
  <si>
    <t>Tubo de Ferro Fundido para redes de agua e esgoto de saneamento básico.</t>
  </si>
  <si>
    <t>Tubería de hierro fundido para redes de agua y alcantarillado de saneamiento básico.</t>
  </si>
  <si>
    <t>Cast Iron Pipe for water and sewage networks of basic sanitation.</t>
  </si>
  <si>
    <t>[ 0M.20.20.01.07.03 ]</t>
  </si>
  <si>
    <t>Tubo.de.Latão</t>
  </si>
  <si>
    <t>Tubo de latão para redes de água.</t>
  </si>
  <si>
    <t>Tubería de latón para redes de agua.</t>
  </si>
  <si>
    <t>Brass pipe for water networks.</t>
  </si>
  <si>
    <t>[ 0M.20.20.05.01 ]</t>
  </si>
  <si>
    <t>Tubo.de.PEAD</t>
  </si>
  <si>
    <t>Tubo de termofusão PEAD (Polietileno de Alta Densidade).</t>
  </si>
  <si>
    <t>Tubo de termofusión HDPE (Polietileno de Alta Densidad).</t>
  </si>
  <si>
    <t>HDPE (High Density Polyethylene) thermofusion tube.</t>
  </si>
  <si>
    <t>[ 0M.20.60.07.09 ]</t>
  </si>
  <si>
    <t>Tubo.de.PVC</t>
  </si>
  <si>
    <t>Tubo de PVC (Policloreto de Vinila) para redes de agua e esgoto doméstica.</t>
  </si>
  <si>
    <t>Tubería de PVC (cloruro de polivinilo) para redes domésticas de agua y alcantarillado.</t>
  </si>
  <si>
    <t>PVC (Polyvinyl Chloride) pipe for domestic water and sewage networks.</t>
  </si>
  <si>
    <t>[ 0M.20.60.07.16 ]</t>
  </si>
  <si>
    <t>Tubo.de.PVCO</t>
  </si>
  <si>
    <t xml:space="preserve">Tubo de PVC Orientado (Policloreto de Vinila). Material mais resistente que PVC normal para redes de água e esgoto. </t>
  </si>
  <si>
    <t>Tubería de PVC orientada (cloruro de polivinilo). Material más resistente que el PVC normal para redes de agua y alcantarillado.</t>
  </si>
  <si>
    <t>Oriented PVC Pipe (Polyvinyl Chloride). Material more resistant than normal PVC for water and sewage networks.</t>
  </si>
  <si>
    <t>Tubo.Multicamada</t>
  </si>
  <si>
    <t>Tubo composto por uma camada interna de plástico (PEX), uma camada intermediária de alumínio contínuo (Al) e uma camada externa de plástico protetor. Tubo flexível conectado por crimpagem.</t>
  </si>
  <si>
    <t>Tubo compuesto por una capa interior de plástico (PEX), una capa intermedia de aluminio continuo (Al) y una capa exterior de plástico protector. Tubo flexible conectado mediante crimping.</t>
  </si>
  <si>
    <t>Tube composed of an inner layer of plastic (PEX), a middle layer of continuous aluminium (Al) and an outer layer of protective plastic. Flexible tube connected by crimping.</t>
  </si>
  <si>
    <t>Usado para conduzir água gelada ou quente e em linhas de drenagem de condensado, pois são imunes à corrosão e evitam o incrustamento interno.</t>
  </si>
  <si>
    <t>Usado como selante flexível, resistente a temperatura e umidade. Aplicados em junção de dutos e passagens de tubulações para evitar vazamentos de ar.</t>
  </si>
  <si>
    <t>Usado em tubulações pré-isoladas ou preenchimento de frestas em montagens térmicas para impedir a troca de calor.</t>
  </si>
  <si>
    <t>Usado para fabricação de grelhas, difusores e tomadas de ar externo pela durabilidade e facilidade de acabamento.</t>
  </si>
  <si>
    <t>Usado em espirais de alumínio envolvidas por lã de vidro e filme plástico externo, utilizadas nas conexões finais entre os dutos rígidos e os difusores de ar.</t>
  </si>
  <si>
    <t>Usado como mantas rígidas ou flexíveis aplicadas ao redor de dutos metálicos ou tubulações de grande porte para isolamento térmico e acústico, resistência ao fogo.</t>
  </si>
  <si>
    <t>Usado como material para tubulações de refrigerante (linhas de líquido e sucção). Possui excelente condutividade térmica, alta resistência à corrosão interna e boa maleabilidade para dobras e soldagem a prata/foscoper.</t>
  </si>
  <si>
    <t>Usado como placas compostas por poliuretano ou poliisocianurato revestidas por lâminas de alumínio em ambas as faces. Substituem o duto metálico tradicional, agregando isolamento térmico no próprio painel e reduzindo o peso estrutural.</t>
  </si>
  <si>
    <t>Usado como material de estrutura celular fechada flexível aplicado no isolamento de tubulações de refrigerante e água gelada. Evita a condensação superficial e a perda de eficiência.</t>
  </si>
  <si>
    <t>Usado nas cantoneiras, tirantes e suportes de fixação para absorver vibrações dos compressores e ventiladores, impedindo a transmissão de ruído para a estrutura do edifício.</t>
  </si>
  <si>
    <t>Usado como material padrão para grelhas, difusores e tomadas de ar externo pela durabilidade e facilidade de acabamento.</t>
  </si>
  <si>
    <t>Usado quando há necessidade de dutos leves ou em ambientes com maior umidade e agentes corrosivos (como regiões litorâneas ou laboratórios).</t>
  </si>
  <si>
    <t>Usado em instalações industriais, farmacêuticas ou alimentícias que exigem extrema resistência à corrosão, além de alta higiene e longa durabilidade.</t>
  </si>
  <si>
    <t>Usado como chapa metálica mais comum para a fabricação de dutos de distribuição de ar. O revestimento de zinco protege o aço contra ferrugem em ambientes internos padrão.</t>
  </si>
  <si>
    <t>Usado em sistemas centralizados e chillers para condução de água gelada e água de condensação em diâmetros maiores, devido ao baixo custo em larga escala e alta resistência mecânica.</t>
  </si>
  <si>
    <t>Mat.Aço.Carbono</t>
  </si>
  <si>
    <t>Mat.Aço.Galvanizado</t>
  </si>
  <si>
    <t>Mat.Aço.Inoxidável</t>
  </si>
  <si>
    <t>Mat.Alumínio</t>
  </si>
  <si>
    <t>Mat.Alumínio.Anodizado</t>
  </si>
  <si>
    <t>Mat.Borracha.Antivibratória</t>
  </si>
  <si>
    <t>Mat.Borracha.Elastomérica</t>
  </si>
  <si>
    <t>Mat.Cobre</t>
  </si>
  <si>
    <t>Mat.Espumado.MPU</t>
  </si>
  <si>
    <t>Mat.Espumado.PIR</t>
  </si>
  <si>
    <t xml:space="preserve">Mat.Lã.de.Rocha </t>
  </si>
  <si>
    <t xml:space="preserve">Mat.Lã.de.Vidro </t>
  </si>
  <si>
    <t>Mat.Mastique</t>
  </si>
  <si>
    <t>Mat.Plástico.ABS</t>
  </si>
  <si>
    <t>Mat.Poliuretano.Expandido.PU</t>
  </si>
  <si>
    <t>Mat.Silicone</t>
  </si>
  <si>
    <t>Mat.Termoplástico.PEX</t>
  </si>
  <si>
    <t>Mat.Termoplástico.PPR</t>
  </si>
  <si>
    <t>Projeto_AVAC</t>
  </si>
  <si>
    <t>[ OST_Materials : OST_PipeMaterials : OST_DuctInsulations : OST_DuctLinings : OST_FabricationDuctwork ]</t>
  </si>
  <si>
    <t>Used in centralized systems and chillers for conducting chilled water and condensing water in larger diameters, due to low large-scale cost and high mechanical strength.</t>
  </si>
  <si>
    <t>Used as the most common sheet metal for the fabrication of air distribution ducts. Zinc coating protects steel from rust in standard indoor environments.</t>
  </si>
  <si>
    <t>Used in industrial, pharmaceutical or food facilities that require extreme corrosion resistance, as well as high hygiene and long durability.</t>
  </si>
  <si>
    <t>Used when there is a need for light ducts or in environments with higher humidity and corrosive agents (such as coastal regions or laboratories).</t>
  </si>
  <si>
    <t>Used as standard material for grilles, diffusers and outdoor air intakes for durability and ease of finishing.</t>
  </si>
  <si>
    <t>Used in angles, tie rods and fixing brackets to absorb vibrations from compressors and fans, preventing the transmission of noise to the building structure.</t>
  </si>
  <si>
    <t>Used as flexible closed cell structure material applied in the insulation of refrigerant and chilled water pipelines. Avoids surface condensation and loss of efficiency.</t>
  </si>
  <si>
    <t>Used as a material for refrigerant piping (liquid and suction lines). It has excellent thermal conductivity, high resistance to internal corrosion, and good malleability for bending and silver/foscoper welding.</t>
  </si>
  <si>
    <t>Used as boards composed of polyurethane or polyisocyanurate coated with aluminum sheets on both sides. They replace the traditional metal duct, adding thermal insulation to the panel itself and reducing structural weight.</t>
  </si>
  <si>
    <t>Used as rigid or flexible blankets applied around metal ducts or large pipes for thermal and acoustic insulation, fire resistance.</t>
  </si>
  <si>
    <t>Used in aluminum spirals wrapped by glass wool and outer plastic film, used in the final connections between rigid ducts and air diffusers.</t>
  </si>
  <si>
    <t>Used as a flexible sealant, resistant to temperature and humidity. Applied at the junction of ducts and pipe passages to prevent air leaks.</t>
  </si>
  <si>
    <t>Used for the manufacture of grilles, diffusers and external air outlets for its durability and ease of finishing.</t>
  </si>
  <si>
    <t>Used in pre-insulated piping or gap filling in thermal assemblies to prevent heat exchange.</t>
  </si>
  <si>
    <t>Used to conduct chilled or hot water and in condensate drain lines, as they are immune to corrosion and prevent internal fouling.</t>
  </si>
  <si>
    <t>Air heating installation project.</t>
  </si>
  <si>
    <t>Air cooling installation project (Inflated).</t>
  </si>
  <si>
    <t>Air Cooling Installation Project (Return).</t>
  </si>
  <si>
    <t>Mechanical exhaust installation project.</t>
  </si>
  <si>
    <t>Indoor air ventilation installation project.</t>
  </si>
  <si>
    <t>Indoor air filtration installation project.</t>
  </si>
  <si>
    <t>Outdoor air filtration installation project.</t>
  </si>
  <si>
    <t>Outdoor air intake installation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</si>
</sst>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b/>
      <sz val="6"/>
      <color theme="1"/>
      <name val="Arial Nova Cond Light"/>
      <family val="2"/>
    </font>
    <font>
      <b/>
      <sz val="5"/>
      <color rgb="FF000000"/>
      <name val="Arial Nova Cond Light"/>
      <family val="2"/>
    </font>
    <font>
      <sz val="8"/>
      <color theme="1"/>
      <name val="Arial Nova Cond Light"/>
      <family val="2"/>
    </font>
    <font>
      <b/>
      <sz val="5"/>
      <name val="Arial Nova Cond Light"/>
      <family val="2"/>
    </font>
    <font>
      <b/>
      <sz val="5"/>
      <color rgb="FF000000"/>
      <name val="Aptos Narrow"/>
      <family val="2"/>
      <charset val="1"/>
    </font>
  </fonts>
  <fills count="27">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theme="9" tint="0.59999389629810485"/>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8" tint="0.79998168889431442"/>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5" tint="0.79998168889431442"/>
        <bgColor rgb="FFFEF2CB"/>
      </patternFill>
    </fill>
    <fill>
      <patternFill patternType="solid">
        <fgColor theme="9" tint="0.59999389629810485"/>
        <bgColor rgb="FF000000"/>
      </patternFill>
    </fill>
    <fill>
      <patternFill patternType="solid">
        <fgColor theme="9" tint="0.79998168889431442"/>
        <bgColor rgb="FF000000"/>
      </patternFill>
    </fill>
    <fill>
      <patternFill patternType="solid">
        <fgColor theme="8" tint="0.59999389629810485"/>
        <bgColor rgb="FFFFFFCC"/>
      </patternFill>
    </fill>
    <fill>
      <patternFill patternType="solid">
        <fgColor rgb="FFFFE89F"/>
        <bgColor indexed="64"/>
      </patternFill>
    </fill>
  </fills>
  <borders count="8">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indexed="64"/>
      </left>
      <right/>
      <top style="thin">
        <color indexed="64"/>
      </top>
      <bottom/>
      <diagonal/>
    </border>
  </borders>
  <cellStyleXfs count="1">
    <xf numFmtId="0" fontId="0" fillId="0" borderId="0"/>
  </cellStyleXfs>
  <cellXfs count="75">
    <xf numFmtId="0" fontId="0" fillId="0" borderId="0" xfId="0"/>
    <xf numFmtId="0" fontId="2" fillId="5" borderId="4" xfId="0" applyFont="1" applyFill="1" applyBorder="1" applyAlignment="1">
      <alignment horizontal="left" vertical="center"/>
    </xf>
    <xf numFmtId="0" fontId="7" fillId="4" borderId="6"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0" fontId="6" fillId="0" borderId="4" xfId="0" applyFont="1" applyBorder="1"/>
    <xf numFmtId="22" fontId="6" fillId="0" borderId="4" xfId="0" applyNumberFormat="1" applyFont="1" applyBorder="1" applyAlignment="1">
      <alignment horizontal="left" vertical="center"/>
    </xf>
    <xf numFmtId="0" fontId="6" fillId="0" borderId="4" xfId="0" applyFont="1" applyBorder="1" applyAlignment="1">
      <alignment vertical="center" wrapText="1"/>
    </xf>
    <xf numFmtId="0" fontId="8" fillId="8" borderId="4" xfId="0" applyFont="1" applyFill="1" applyBorder="1" applyAlignment="1">
      <alignment horizontal="left" vertical="center"/>
    </xf>
    <xf numFmtId="0" fontId="4" fillId="9" borderId="4" xfId="0" applyFont="1" applyFill="1" applyBorder="1" applyAlignment="1">
      <alignment horizontal="center" vertical="center"/>
    </xf>
    <xf numFmtId="0" fontId="4" fillId="10" borderId="4" xfId="0" applyFont="1" applyFill="1" applyBorder="1" applyAlignment="1">
      <alignment vertical="center"/>
    </xf>
    <xf numFmtId="0" fontId="6" fillId="11" borderId="4" xfId="0" applyFont="1" applyFill="1" applyBorder="1" applyAlignment="1">
      <alignment horizontal="left" vertical="center"/>
    </xf>
    <xf numFmtId="0" fontId="4" fillId="11" borderId="4" xfId="0" applyFont="1" applyFill="1" applyBorder="1" applyAlignment="1">
      <alignment vertical="center"/>
    </xf>
    <xf numFmtId="0" fontId="4" fillId="11" borderId="4" xfId="0" applyFont="1" applyFill="1" applyBorder="1" applyAlignment="1">
      <alignment horizontal="left" vertical="center"/>
    </xf>
    <xf numFmtId="0" fontId="2" fillId="0" borderId="0" xfId="0" applyFont="1" applyAlignment="1">
      <alignment horizontal="left" vertical="center"/>
    </xf>
    <xf numFmtId="0" fontId="8" fillId="8" borderId="4" xfId="0" applyFont="1" applyFill="1" applyBorder="1" applyAlignment="1">
      <alignment horizontal="left" vertical="center" wrapText="1"/>
    </xf>
    <xf numFmtId="0" fontId="2" fillId="0" borderId="0" xfId="0" applyFont="1" applyAlignment="1">
      <alignment horizontal="center" vertical="center"/>
    </xf>
    <xf numFmtId="0" fontId="3" fillId="13" borderId="4" xfId="0" applyFont="1" applyFill="1" applyBorder="1" applyAlignment="1">
      <alignment horizontal="left" vertical="center" wrapText="1"/>
    </xf>
    <xf numFmtId="0" fontId="3" fillId="14" borderId="4" xfId="0" applyFont="1" applyFill="1" applyBorder="1" applyAlignment="1">
      <alignment horizontal="left" vertical="center" wrapText="1"/>
    </xf>
    <xf numFmtId="0" fontId="2" fillId="15" borderId="4" xfId="0" applyFont="1" applyFill="1" applyBorder="1" applyAlignment="1">
      <alignment horizontal="left" vertical="center" wrapText="1"/>
    </xf>
    <xf numFmtId="0" fontId="2" fillId="15" borderId="4" xfId="0" applyFont="1" applyFill="1" applyBorder="1" applyAlignment="1">
      <alignment horizontal="left" vertical="center"/>
    </xf>
    <xf numFmtId="0" fontId="3" fillId="13" borderId="4" xfId="0" applyFont="1" applyFill="1" applyBorder="1" applyAlignment="1">
      <alignment horizontal="center" vertical="center" wrapText="1"/>
    </xf>
    <xf numFmtId="0" fontId="2" fillId="16" borderId="4" xfId="0" applyFont="1" applyFill="1" applyBorder="1" applyAlignment="1">
      <alignment horizontal="center" vertical="center"/>
    </xf>
    <xf numFmtId="0" fontId="2" fillId="5" borderId="1" xfId="0" applyFont="1" applyFill="1" applyBorder="1" applyAlignment="1">
      <alignment horizontal="left" vertical="center"/>
    </xf>
    <xf numFmtId="0" fontId="2" fillId="5" borderId="4" xfId="0" applyFont="1" applyFill="1" applyBorder="1" applyAlignment="1">
      <alignment horizontal="left" vertical="center" wrapText="1"/>
    </xf>
    <xf numFmtId="0" fontId="2" fillId="17" borderId="4" xfId="0" applyFont="1" applyFill="1" applyBorder="1" applyAlignment="1">
      <alignment horizontal="left" vertical="center"/>
    </xf>
    <xf numFmtId="0" fontId="6" fillId="12" borderId="4" xfId="0" applyFont="1" applyFill="1" applyBorder="1" applyAlignment="1">
      <alignment horizontal="left" vertical="center"/>
    </xf>
    <xf numFmtId="0" fontId="4" fillId="12" borderId="4" xfId="0" applyFont="1" applyFill="1" applyBorder="1" applyAlignment="1">
      <alignment horizontal="left" vertical="center"/>
    </xf>
    <xf numFmtId="0" fontId="4" fillId="19" borderId="4" xfId="0" applyFont="1" applyFill="1" applyBorder="1" applyAlignment="1">
      <alignment horizontal="left" vertical="center"/>
    </xf>
    <xf numFmtId="0" fontId="3" fillId="3" borderId="7" xfId="0" applyFont="1" applyFill="1" applyBorder="1" applyAlignment="1">
      <alignment horizontal="left" vertical="center" wrapText="1"/>
    </xf>
    <xf numFmtId="0" fontId="9" fillId="3" borderId="4" xfId="0" applyFont="1" applyFill="1" applyBorder="1" applyAlignment="1">
      <alignment horizontal="left" vertical="center" wrapText="1"/>
    </xf>
    <xf numFmtId="0" fontId="8" fillId="20" borderId="4" xfId="0" applyFont="1" applyFill="1" applyBorder="1" applyAlignment="1">
      <alignment horizontal="center" vertical="center"/>
    </xf>
    <xf numFmtId="0" fontId="6" fillId="0" borderId="4" xfId="0" applyFont="1" applyBorder="1" applyAlignment="1">
      <alignment horizontal="center" vertical="center"/>
    </xf>
    <xf numFmtId="0" fontId="10" fillId="0" borderId="0" xfId="0" applyFont="1" applyAlignment="1">
      <alignment vertical="center"/>
    </xf>
    <xf numFmtId="0" fontId="0" fillId="0" borderId="0" xfId="0" applyAlignment="1">
      <alignment vertical="center"/>
    </xf>
    <xf numFmtId="0" fontId="0" fillId="0" borderId="0" xfId="0" applyAlignment="1">
      <alignment horizontal="left"/>
    </xf>
    <xf numFmtId="0" fontId="2" fillId="5" borderId="5" xfId="0" applyFont="1" applyFill="1" applyBorder="1" applyAlignment="1">
      <alignment horizontal="left" vertical="center"/>
    </xf>
    <xf numFmtId="0" fontId="2" fillId="15" borderId="5" xfId="0" applyFont="1" applyFill="1" applyBorder="1" applyAlignment="1">
      <alignment horizontal="left" vertical="center"/>
    </xf>
    <xf numFmtId="0" fontId="2" fillId="21" borderId="4" xfId="0" applyFont="1" applyFill="1" applyBorder="1" applyAlignment="1">
      <alignment horizontal="left" vertical="center"/>
    </xf>
    <xf numFmtId="0" fontId="2" fillId="16" borderId="4" xfId="0" applyFont="1" applyFill="1" applyBorder="1" applyAlignment="1">
      <alignment horizontal="right" vertical="center"/>
    </xf>
    <xf numFmtId="0" fontId="0" fillId="0" borderId="0" xfId="0" applyAlignment="1">
      <alignment horizontal="right"/>
    </xf>
    <xf numFmtId="0" fontId="4" fillId="2" borderId="4" xfId="0" applyFont="1" applyFill="1" applyBorder="1" applyAlignment="1">
      <alignment horizontal="left" vertical="center"/>
    </xf>
    <xf numFmtId="0" fontId="9" fillId="2" borderId="4" xfId="0" applyFont="1" applyFill="1" applyBorder="1" applyAlignment="1">
      <alignment horizontal="right" vertical="center" wrapText="1"/>
    </xf>
    <xf numFmtId="0" fontId="9" fillId="2" borderId="4"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2" fillId="0" borderId="0" xfId="0" applyFont="1" applyAlignment="1">
      <alignment horizontal="left"/>
    </xf>
    <xf numFmtId="0" fontId="2" fillId="15" borderId="4" xfId="0" applyFont="1" applyFill="1" applyBorder="1" applyAlignment="1">
      <alignment vertical="center" wrapText="1"/>
    </xf>
    <xf numFmtId="0" fontId="2" fillId="15" borderId="4" xfId="0" applyFont="1" applyFill="1" applyBorder="1" applyAlignment="1">
      <alignment vertical="center"/>
    </xf>
    <xf numFmtId="0" fontId="4" fillId="22" borderId="4" xfId="0" applyFont="1" applyFill="1" applyBorder="1" applyAlignment="1">
      <alignment horizontal="left" vertical="center"/>
    </xf>
    <xf numFmtId="0" fontId="10" fillId="0" borderId="0" xfId="0" applyFont="1" applyAlignment="1">
      <alignment horizontal="left"/>
    </xf>
    <xf numFmtId="0" fontId="6" fillId="5" borderId="4" xfId="0" applyFont="1" applyFill="1" applyBorder="1" applyAlignment="1">
      <alignment horizontal="left" vertical="center"/>
    </xf>
    <xf numFmtId="0" fontId="6" fillId="12" borderId="4" xfId="0" applyFont="1" applyFill="1" applyBorder="1" applyAlignment="1">
      <alignment vertical="center"/>
    </xf>
    <xf numFmtId="0" fontId="4" fillId="10" borderId="4" xfId="0" applyFont="1" applyFill="1" applyBorder="1" applyAlignment="1">
      <alignment horizontal="left" vertical="center"/>
    </xf>
    <xf numFmtId="0" fontId="4" fillId="23" borderId="4" xfId="0" applyFont="1" applyFill="1" applyBorder="1" applyAlignment="1">
      <alignment horizontal="left" vertical="center"/>
    </xf>
    <xf numFmtId="0" fontId="4" fillId="24" borderId="4" xfId="0" applyFont="1" applyFill="1" applyBorder="1" applyAlignment="1">
      <alignment horizontal="left" vertical="center"/>
    </xf>
    <xf numFmtId="0" fontId="2" fillId="25" borderId="4" xfId="0" applyFont="1" applyFill="1" applyBorder="1" applyAlignment="1">
      <alignment vertical="center"/>
    </xf>
    <xf numFmtId="0" fontId="4" fillId="25" borderId="4" xfId="0" applyFont="1" applyFill="1" applyBorder="1" applyAlignment="1">
      <alignment vertical="center"/>
    </xf>
    <xf numFmtId="0" fontId="4" fillId="18" borderId="4" xfId="0" applyFont="1" applyFill="1" applyBorder="1" applyAlignment="1">
      <alignment horizontal="left" vertical="center"/>
    </xf>
    <xf numFmtId="0" fontId="6" fillId="26" borderId="4" xfId="0" applyFont="1" applyFill="1" applyBorder="1" applyAlignment="1">
      <alignment horizontal="left" vertical="center"/>
    </xf>
    <xf numFmtId="0" fontId="6" fillId="15" borderId="4" xfId="0" applyFont="1" applyFill="1" applyBorder="1" applyAlignment="1">
      <alignment horizontal="left" vertical="center"/>
    </xf>
    <xf numFmtId="0" fontId="2" fillId="0" borderId="0" xfId="0" applyFont="1"/>
    <xf numFmtId="0" fontId="2" fillId="15" borderId="4" xfId="0" applyFont="1" applyFill="1" applyBorder="1"/>
    <xf numFmtId="0" fontId="2" fillId="5" borderId="4" xfId="0" applyFont="1" applyFill="1" applyBorder="1"/>
    <xf numFmtId="0" fontId="8" fillId="8" borderId="4" xfId="0"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29">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b val="0"/>
        <i/>
        <strike val="0"/>
        <color rgb="FFFFFFFF"/>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BE79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3"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sheetPr codeName="Planilha1"/>
  <dimension ref="A1:C26"/>
  <sheetViews>
    <sheetView zoomScale="190" zoomScaleNormal="190" workbookViewId="0">
      <pane ySplit="1" topLeftCell="A16" activePane="bottomLeft" state="frozen"/>
      <selection pane="bottomLeft" activeCell="B3" sqref="B3"/>
    </sheetView>
  </sheetViews>
  <sheetFormatPr defaultColWidth="9.15234375" defaultRowHeight="8.6999999999999993" customHeight="1" x14ac:dyDescent="0.4"/>
  <cols>
    <col min="1" max="1" width="10.53515625" bestFit="1" customWidth="1"/>
    <col min="2" max="2" width="37.53515625" bestFit="1" customWidth="1"/>
    <col min="3" max="3" width="3.3828125" style="43" bestFit="1" customWidth="1"/>
  </cols>
  <sheetData>
    <row r="1" spans="1:3" ht="19.399999999999999" customHeight="1" x14ac:dyDescent="0.4">
      <c r="A1" s="12" t="s">
        <v>43</v>
      </c>
      <c r="B1" s="12" t="s">
        <v>44</v>
      </c>
      <c r="C1" s="41" t="s">
        <v>199</v>
      </c>
    </row>
    <row r="2" spans="1:3" ht="8.6999999999999993" customHeight="1" x14ac:dyDescent="0.4">
      <c r="A2" s="13" t="s">
        <v>45</v>
      </c>
      <c r="B2" s="13" t="s">
        <v>46</v>
      </c>
      <c r="C2" s="42" t="s">
        <v>200</v>
      </c>
    </row>
    <row r="3" spans="1:3" ht="8.6999999999999993" customHeight="1" x14ac:dyDescent="0.4">
      <c r="A3" s="13" t="s">
        <v>47</v>
      </c>
      <c r="B3" s="13" t="s">
        <v>168</v>
      </c>
      <c r="C3" s="42" t="s">
        <v>200</v>
      </c>
    </row>
    <row r="4" spans="1:3" ht="8.6999999999999993" customHeight="1" x14ac:dyDescent="0.4">
      <c r="A4" s="14" t="s">
        <v>48</v>
      </c>
      <c r="B4" s="14" t="s">
        <v>32</v>
      </c>
      <c r="C4" s="42" t="s">
        <v>200</v>
      </c>
    </row>
    <row r="5" spans="1:3" ht="8.6999999999999993" customHeight="1" x14ac:dyDescent="0.4">
      <c r="A5" s="14" t="s">
        <v>49</v>
      </c>
      <c r="B5" s="14" t="str">
        <f>_xlfn.CONCAT(B4,"Prop")</f>
        <v>BIMProp</v>
      </c>
      <c r="C5" s="42" t="s">
        <v>200</v>
      </c>
    </row>
    <row r="6" spans="1:3" ht="8.6999999999999993" customHeight="1" x14ac:dyDescent="0.4">
      <c r="A6" s="14" t="s">
        <v>50</v>
      </c>
      <c r="B6" s="14" t="str">
        <f>_xlfn.CONCAT(B4,"Data")</f>
        <v>BIMData</v>
      </c>
      <c r="C6" s="42" t="s">
        <v>200</v>
      </c>
    </row>
    <row r="7" spans="1:3" ht="8.6999999999999993" customHeight="1" x14ac:dyDescent="0.4">
      <c r="A7" s="14" t="s">
        <v>51</v>
      </c>
      <c r="B7" s="15" t="s">
        <v>52</v>
      </c>
      <c r="C7" s="42" t="s">
        <v>200</v>
      </c>
    </row>
    <row r="8" spans="1:3" ht="9" customHeight="1" x14ac:dyDescent="0.4">
      <c r="A8" s="14" t="s">
        <v>53</v>
      </c>
      <c r="B8" s="14" t="s">
        <v>198</v>
      </c>
      <c r="C8" s="42" t="s">
        <v>200</v>
      </c>
    </row>
    <row r="9" spans="1:3" ht="8.6999999999999993" customHeight="1" x14ac:dyDescent="0.4">
      <c r="A9" s="14" t="s">
        <v>54</v>
      </c>
      <c r="B9" s="14" t="s">
        <v>55</v>
      </c>
      <c r="C9" s="42" t="s">
        <v>200</v>
      </c>
    </row>
    <row r="10" spans="1:3" ht="8.6999999999999993" customHeight="1" x14ac:dyDescent="0.4">
      <c r="A10" s="14" t="s">
        <v>56</v>
      </c>
      <c r="B10" s="14" t="s">
        <v>57</v>
      </c>
      <c r="C10" s="42" t="s">
        <v>200</v>
      </c>
    </row>
    <row r="11" spans="1:3" ht="8.6999999999999993" customHeight="1" x14ac:dyDescent="0.4">
      <c r="A11" s="14" t="s">
        <v>58</v>
      </c>
      <c r="B11" s="14" t="s">
        <v>57</v>
      </c>
      <c r="C11" s="42" t="s">
        <v>200</v>
      </c>
    </row>
    <row r="12" spans="1:3" ht="8.6999999999999993" customHeight="1" x14ac:dyDescent="0.4">
      <c r="A12" s="14" t="s">
        <v>59</v>
      </c>
      <c r="B12" s="14" t="s">
        <v>57</v>
      </c>
      <c r="C12" s="42" t="s">
        <v>200</v>
      </c>
    </row>
    <row r="13" spans="1:3" ht="8.6999999999999993" customHeight="1" x14ac:dyDescent="0.4">
      <c r="A13" s="14" t="s">
        <v>60</v>
      </c>
      <c r="B13" s="14" t="s">
        <v>57</v>
      </c>
      <c r="C13" s="42" t="s">
        <v>200</v>
      </c>
    </row>
    <row r="14" spans="1:3" ht="8.6999999999999993" customHeight="1" x14ac:dyDescent="0.4">
      <c r="A14" s="14" t="s">
        <v>61</v>
      </c>
      <c r="B14" s="14" t="s">
        <v>57</v>
      </c>
      <c r="C14" s="42" t="s">
        <v>200</v>
      </c>
    </row>
    <row r="15" spans="1:3" ht="8.6999999999999993" customHeight="1" x14ac:dyDescent="0.4">
      <c r="A15" s="14" t="s">
        <v>62</v>
      </c>
      <c r="B15" s="14" t="s">
        <v>57</v>
      </c>
      <c r="C15" s="42" t="s">
        <v>200</v>
      </c>
    </row>
    <row r="16" spans="1:3" ht="8.6999999999999993" customHeight="1" x14ac:dyDescent="0.4">
      <c r="A16" s="14" t="s">
        <v>63</v>
      </c>
      <c r="B16" s="14" t="s">
        <v>57</v>
      </c>
      <c r="C16" s="42" t="s">
        <v>200</v>
      </c>
    </row>
    <row r="17" spans="1:3" ht="8.6999999999999993" customHeight="1" x14ac:dyDescent="0.4">
      <c r="A17" s="14" t="s">
        <v>64</v>
      </c>
      <c r="B17" s="14" t="s">
        <v>164</v>
      </c>
      <c r="C17" s="42" t="s">
        <v>200</v>
      </c>
    </row>
    <row r="18" spans="1:3" ht="8.6999999999999993" customHeight="1" x14ac:dyDescent="0.4">
      <c r="A18" s="14" t="s">
        <v>65</v>
      </c>
      <c r="B18" s="16">
        <f ca="1">NOW()</f>
        <v>46270.894008564814</v>
      </c>
      <c r="C18" s="42" t="s">
        <v>200</v>
      </c>
    </row>
    <row r="19" spans="1:3" ht="9" customHeight="1" x14ac:dyDescent="0.4">
      <c r="A19" s="14" t="s">
        <v>203</v>
      </c>
      <c r="B19" s="16" t="s">
        <v>204</v>
      </c>
      <c r="C19" s="42" t="s">
        <v>200</v>
      </c>
    </row>
    <row r="20" spans="1:3" ht="9" customHeight="1" x14ac:dyDescent="0.4">
      <c r="A20" s="14" t="s">
        <v>205</v>
      </c>
      <c r="B20" s="16" t="str">
        <f>_xlfn.TRANSLATE(B19,"pt","es")</f>
        <v>Traducciones al español e inglés incorporadas. Las traducciones deben revisarse constantemente</v>
      </c>
      <c r="C20" s="42" t="s">
        <v>201</v>
      </c>
    </row>
    <row r="21" spans="1:3" ht="9" customHeight="1" x14ac:dyDescent="0.4">
      <c r="A21" s="14" t="s">
        <v>206</v>
      </c>
      <c r="B21" s="16" t="str">
        <f>_xlfn.TRANSLATE(B19,"pt","en")</f>
        <v>Translations in Spanish and English incorporated. Translations must be constantly reviewed</v>
      </c>
      <c r="C21" s="42" t="s">
        <v>202</v>
      </c>
    </row>
    <row r="22" spans="1:3" ht="8.6999999999999993" customHeight="1" x14ac:dyDescent="0.4">
      <c r="A22" s="14" t="s">
        <v>66</v>
      </c>
      <c r="B22" s="14" t="s">
        <v>57</v>
      </c>
      <c r="C22" s="42" t="s">
        <v>200</v>
      </c>
    </row>
    <row r="23" spans="1:3" ht="8.6999999999999993" customHeight="1" x14ac:dyDescent="0.4">
      <c r="A23" s="14" t="s">
        <v>67</v>
      </c>
      <c r="B23" s="14" t="s">
        <v>57</v>
      </c>
      <c r="C23" s="42" t="s">
        <v>200</v>
      </c>
    </row>
    <row r="24" spans="1:3" ht="8.6999999999999993" customHeight="1" x14ac:dyDescent="0.4">
      <c r="A24" s="14" t="s">
        <v>68</v>
      </c>
      <c r="B24" s="17" t="s">
        <v>170</v>
      </c>
      <c r="C24" s="42" t="s">
        <v>200</v>
      </c>
    </row>
    <row r="25" spans="1:3" ht="8.6999999999999993" customHeight="1" x14ac:dyDescent="0.4">
      <c r="A25" s="14" t="s">
        <v>69</v>
      </c>
      <c r="B25" s="17" t="s">
        <v>169</v>
      </c>
      <c r="C25" s="42" t="s">
        <v>201</v>
      </c>
    </row>
    <row r="26" spans="1:3" ht="9" customHeight="1" x14ac:dyDescent="0.4">
      <c r="A26" s="14" t="s">
        <v>197</v>
      </c>
      <c r="B26" s="17" t="str">
        <f>_xlfn.TRANSLATE(B24,"pt","en")</f>
        <v>Formalize elements of the BIM project. HVAC.</v>
      </c>
      <c r="C26" s="42" t="s">
        <v>202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2D63-9637-42D9-866B-0BB924A50D8C}">
  <sheetPr codeName="Planilha2"/>
  <dimension ref="A1:AD124"/>
  <sheetViews>
    <sheetView tabSelected="1" zoomScale="205" zoomScaleNormal="205" workbookViewId="0">
      <pane ySplit="1" topLeftCell="A97" activePane="bottomLeft" state="frozen"/>
      <selection activeCell="A179" sqref="A179:XFD190"/>
      <selection pane="bottomLeft" activeCell="O15" sqref="O15"/>
    </sheetView>
  </sheetViews>
  <sheetFormatPr defaultColWidth="7.84375" defaultRowHeight="6.65" customHeight="1" x14ac:dyDescent="0.4"/>
  <cols>
    <col min="1" max="1" width="2.3828125" style="50" customWidth="1"/>
    <col min="2" max="2" width="6.3046875" style="45" bestFit="1" customWidth="1"/>
    <col min="3" max="3" width="9.3046875" style="45" bestFit="1" customWidth="1"/>
    <col min="4" max="4" width="15.15234375" style="45" bestFit="1" customWidth="1"/>
    <col min="5" max="5" width="16.3046875" style="45" bestFit="1" customWidth="1"/>
    <col min="6" max="6" width="20.3828125" style="45" bestFit="1" customWidth="1"/>
    <col min="7" max="11" width="5.84375" style="45" bestFit="1" customWidth="1"/>
    <col min="12" max="12" width="9.3046875" style="45" bestFit="1" customWidth="1"/>
    <col min="13" max="13" width="19.15234375" style="45" bestFit="1" customWidth="1"/>
    <col min="14" max="14" width="16.3046875" style="45" bestFit="1" customWidth="1"/>
    <col min="15" max="15" width="23.3046875" style="45" bestFit="1" customWidth="1"/>
    <col min="16" max="16" width="90.3046875" style="45" bestFit="1" customWidth="1"/>
    <col min="17" max="17" width="68.84375" style="45" bestFit="1" customWidth="1"/>
    <col min="18" max="18" width="88.3828125" style="45" bestFit="1" customWidth="1"/>
    <col min="19" max="19" width="4.3046875" style="45" bestFit="1" customWidth="1"/>
    <col min="20" max="20" width="9.3046875" style="45" bestFit="1" customWidth="1"/>
    <col min="21" max="21" width="19.15234375" style="45" bestFit="1" customWidth="1"/>
    <col min="22" max="22" width="16.3046875" style="45" bestFit="1" customWidth="1"/>
    <col min="23" max="23" width="6.69140625" style="45" bestFit="1" customWidth="1"/>
    <col min="24" max="24" width="8.53515625" style="45" bestFit="1" customWidth="1"/>
    <col min="25" max="25" width="44.53515625" style="45" customWidth="1"/>
    <col min="26" max="26" width="6.84375" style="45" customWidth="1"/>
    <col min="27" max="27" width="22.3046875" style="45" customWidth="1"/>
    <col min="28" max="28" width="6" style="45" customWidth="1"/>
    <col min="29" max="30" width="5.53515625" style="45" bestFit="1" customWidth="1"/>
    <col min="31" max="16384" width="7.84375" style="45"/>
  </cols>
  <sheetData>
    <row r="1" spans="1:30" s="55" customFormat="1" ht="30.45" customHeight="1" x14ac:dyDescent="0.2">
      <c r="A1" s="52">
        <v>1</v>
      </c>
      <c r="B1" s="53" t="s">
        <v>41</v>
      </c>
      <c r="C1" s="53" t="s">
        <v>39</v>
      </c>
      <c r="D1" s="53" t="s">
        <v>40</v>
      </c>
      <c r="E1" s="53" t="s">
        <v>38</v>
      </c>
      <c r="F1" s="53" t="s">
        <v>172</v>
      </c>
      <c r="G1" s="54" t="s">
        <v>0</v>
      </c>
      <c r="H1" s="54" t="s">
        <v>1</v>
      </c>
      <c r="I1" s="54" t="s">
        <v>2</v>
      </c>
      <c r="J1" s="54" t="s">
        <v>3</v>
      </c>
      <c r="K1" s="54" t="s">
        <v>4</v>
      </c>
      <c r="L1" s="40" t="s">
        <v>5</v>
      </c>
      <c r="M1" s="40" t="s">
        <v>6</v>
      </c>
      <c r="N1" s="40" t="s">
        <v>157</v>
      </c>
      <c r="O1" s="40" t="s">
        <v>7</v>
      </c>
      <c r="P1" s="40" t="s">
        <v>36</v>
      </c>
      <c r="Q1" s="40" t="s">
        <v>42</v>
      </c>
      <c r="R1" s="40" t="s">
        <v>196</v>
      </c>
      <c r="S1" s="40" t="s">
        <v>163</v>
      </c>
      <c r="T1" s="40" t="s">
        <v>33</v>
      </c>
      <c r="U1" s="40" t="s">
        <v>37</v>
      </c>
      <c r="V1" s="40" t="s">
        <v>35</v>
      </c>
      <c r="W1" s="40" t="s">
        <v>34</v>
      </c>
      <c r="X1" s="53" t="s">
        <v>8</v>
      </c>
      <c r="Y1" s="39" t="s">
        <v>556</v>
      </c>
      <c r="Z1" s="39" t="s">
        <v>557</v>
      </c>
      <c r="AA1" s="39" t="s">
        <v>555</v>
      </c>
      <c r="AB1" s="39" t="s">
        <v>554</v>
      </c>
      <c r="AC1" s="39" t="s">
        <v>195</v>
      </c>
      <c r="AD1" s="39" t="s">
        <v>644</v>
      </c>
    </row>
    <row r="2" spans="1:30" ht="6.9" customHeight="1" x14ac:dyDescent="0.4">
      <c r="A2" s="49">
        <v>2</v>
      </c>
      <c r="B2" s="1" t="s">
        <v>467</v>
      </c>
      <c r="C2" s="1" t="s">
        <v>645</v>
      </c>
      <c r="D2" s="1" t="s">
        <v>646</v>
      </c>
      <c r="E2" s="1" t="s">
        <v>647</v>
      </c>
      <c r="F2" s="34" t="s">
        <v>648</v>
      </c>
      <c r="G2" s="51" t="s">
        <v>9</v>
      </c>
      <c r="H2" s="51" t="s">
        <v>9</v>
      </c>
      <c r="I2" s="51" t="s">
        <v>9</v>
      </c>
      <c r="J2" s="51" t="s">
        <v>9</v>
      </c>
      <c r="K2" s="51" t="s">
        <v>9</v>
      </c>
      <c r="L2" s="35" t="str">
        <f t="shared" ref="L2:O17" si="0">SUBSTITUTE(CONCATENATE("", C2), ".", " ")</f>
        <v>De Materialidade</v>
      </c>
      <c r="M2" s="35" t="str">
        <f t="shared" si="0"/>
        <v>Materialidades</v>
      </c>
      <c r="N2" s="35" t="str">
        <f t="shared" si="0"/>
        <v>Materiais</v>
      </c>
      <c r="O2" s="35" t="str">
        <f t="shared" si="0"/>
        <v>Tubo de Aço</v>
      </c>
      <c r="P2" s="69" t="s">
        <v>649</v>
      </c>
      <c r="Q2" s="30" t="s">
        <v>650</v>
      </c>
      <c r="R2" s="30" t="s">
        <v>651</v>
      </c>
      <c r="S2" s="30" t="s">
        <v>9</v>
      </c>
      <c r="T2" s="30" t="str">
        <f t="shared" ref="T2:V17" si="1">SUBSTITUTE(C2, ".", " ")</f>
        <v>De Materialidade</v>
      </c>
      <c r="U2" s="30" t="str">
        <f t="shared" si="1"/>
        <v>Materialidades</v>
      </c>
      <c r="V2" s="30" t="str">
        <f t="shared" si="1"/>
        <v>Materiais</v>
      </c>
      <c r="W2" s="30" t="s">
        <v>209</v>
      </c>
      <c r="X2" s="48" t="str">
        <f>CONCATENATE("Key-AVAC-",A2)</f>
        <v>Key-AVAC-2</v>
      </c>
      <c r="Y2" s="30" t="s">
        <v>725</v>
      </c>
      <c r="Z2" s="58" t="s">
        <v>9</v>
      </c>
      <c r="AA2" s="30" t="s">
        <v>652</v>
      </c>
      <c r="AB2" s="58" t="s">
        <v>9</v>
      </c>
      <c r="AC2" s="30" t="s">
        <v>653</v>
      </c>
      <c r="AD2" s="58" t="s">
        <v>9</v>
      </c>
    </row>
    <row r="3" spans="1:30" ht="6.9" customHeight="1" x14ac:dyDescent="0.4">
      <c r="A3" s="49">
        <v>3</v>
      </c>
      <c r="B3" s="1" t="s">
        <v>467</v>
      </c>
      <c r="C3" s="1" t="s">
        <v>645</v>
      </c>
      <c r="D3" s="1" t="s">
        <v>646</v>
      </c>
      <c r="E3" s="1" t="s">
        <v>647</v>
      </c>
      <c r="F3" s="34" t="s">
        <v>654</v>
      </c>
      <c r="G3" s="51" t="s">
        <v>9</v>
      </c>
      <c r="H3" s="51" t="s">
        <v>9</v>
      </c>
      <c r="I3" s="51" t="s">
        <v>9</v>
      </c>
      <c r="J3" s="51" t="s">
        <v>9</v>
      </c>
      <c r="K3" s="51" t="s">
        <v>9</v>
      </c>
      <c r="L3" s="35" t="str">
        <f t="shared" si="0"/>
        <v>De Materialidade</v>
      </c>
      <c r="M3" s="35" t="str">
        <f t="shared" si="0"/>
        <v>Materialidades</v>
      </c>
      <c r="N3" s="35" t="str">
        <f t="shared" si="0"/>
        <v>Materiais</v>
      </c>
      <c r="O3" s="35" t="str">
        <f t="shared" si="0"/>
        <v>Tubo de Aço Costura</v>
      </c>
      <c r="P3" s="69" t="s">
        <v>655</v>
      </c>
      <c r="Q3" s="30" t="s">
        <v>656</v>
      </c>
      <c r="R3" s="30" t="s">
        <v>657</v>
      </c>
      <c r="S3" s="30" t="s">
        <v>9</v>
      </c>
      <c r="T3" s="30" t="str">
        <f t="shared" si="1"/>
        <v>De Materialidade</v>
      </c>
      <c r="U3" s="30" t="str">
        <f t="shared" si="1"/>
        <v>Materialidades</v>
      </c>
      <c r="V3" s="30" t="str">
        <f t="shared" si="1"/>
        <v>Materiais</v>
      </c>
      <c r="W3" s="30" t="s">
        <v>209</v>
      </c>
      <c r="X3" s="48" t="str">
        <f t="shared" ref="X3:X28" si="2">CONCATENATE("Key-AVAC-",A3)</f>
        <v>Key-AVAC-3</v>
      </c>
      <c r="Y3" s="30" t="s">
        <v>725</v>
      </c>
      <c r="Z3" s="58" t="s">
        <v>9</v>
      </c>
      <c r="AA3" s="30" t="s">
        <v>652</v>
      </c>
      <c r="AB3" s="58" t="s">
        <v>9</v>
      </c>
      <c r="AC3" s="30" t="s">
        <v>653</v>
      </c>
      <c r="AD3" s="58" t="s">
        <v>9</v>
      </c>
    </row>
    <row r="4" spans="1:30" ht="6.9" customHeight="1" x14ac:dyDescent="0.4">
      <c r="A4" s="49">
        <v>4</v>
      </c>
      <c r="B4" s="1" t="s">
        <v>467</v>
      </c>
      <c r="C4" s="1" t="s">
        <v>645</v>
      </c>
      <c r="D4" s="1" t="s">
        <v>646</v>
      </c>
      <c r="E4" s="1" t="s">
        <v>647</v>
      </c>
      <c r="F4" s="34" t="s">
        <v>658</v>
      </c>
      <c r="G4" s="51" t="s">
        <v>9</v>
      </c>
      <c r="H4" s="51" t="s">
        <v>9</v>
      </c>
      <c r="I4" s="51" t="s">
        <v>9</v>
      </c>
      <c r="J4" s="51" t="s">
        <v>9</v>
      </c>
      <c r="K4" s="51" t="s">
        <v>9</v>
      </c>
      <c r="L4" s="35" t="str">
        <f t="shared" si="0"/>
        <v>De Materialidade</v>
      </c>
      <c r="M4" s="35" t="str">
        <f t="shared" si="0"/>
        <v>Materialidades</v>
      </c>
      <c r="N4" s="35" t="str">
        <f t="shared" si="0"/>
        <v>Materiais</v>
      </c>
      <c r="O4" s="35" t="str">
        <f t="shared" si="0"/>
        <v>Tubo de Cobre</v>
      </c>
      <c r="P4" s="69" t="s">
        <v>659</v>
      </c>
      <c r="Q4" s="30" t="s">
        <v>660</v>
      </c>
      <c r="R4" s="30" t="s">
        <v>661</v>
      </c>
      <c r="S4" s="30" t="s">
        <v>9</v>
      </c>
      <c r="T4" s="30" t="str">
        <f t="shared" si="1"/>
        <v>De Materialidade</v>
      </c>
      <c r="U4" s="30" t="str">
        <f t="shared" si="1"/>
        <v>Materialidades</v>
      </c>
      <c r="V4" s="30" t="str">
        <f t="shared" si="1"/>
        <v>Materiais</v>
      </c>
      <c r="W4" s="30" t="s">
        <v>209</v>
      </c>
      <c r="X4" s="48" t="str">
        <f t="shared" si="2"/>
        <v>Key-AVAC-4</v>
      </c>
      <c r="Y4" s="30" t="s">
        <v>725</v>
      </c>
      <c r="Z4" s="58" t="s">
        <v>9</v>
      </c>
      <c r="AA4" s="30" t="s">
        <v>652</v>
      </c>
      <c r="AB4" s="58" t="s">
        <v>9</v>
      </c>
      <c r="AC4" s="30" t="s">
        <v>662</v>
      </c>
      <c r="AD4" s="58" t="s">
        <v>9</v>
      </c>
    </row>
    <row r="5" spans="1:30" ht="6.9" customHeight="1" x14ac:dyDescent="0.4">
      <c r="A5" s="49">
        <v>5</v>
      </c>
      <c r="B5" s="1" t="s">
        <v>467</v>
      </c>
      <c r="C5" s="1" t="s">
        <v>645</v>
      </c>
      <c r="D5" s="1" t="s">
        <v>646</v>
      </c>
      <c r="E5" s="1" t="s">
        <v>647</v>
      </c>
      <c r="F5" s="34" t="s">
        <v>663</v>
      </c>
      <c r="G5" s="51" t="s">
        <v>9</v>
      </c>
      <c r="H5" s="51" t="s">
        <v>9</v>
      </c>
      <c r="I5" s="51" t="s">
        <v>9</v>
      </c>
      <c r="J5" s="51" t="s">
        <v>9</v>
      </c>
      <c r="K5" s="51" t="s">
        <v>9</v>
      </c>
      <c r="L5" s="35" t="str">
        <f t="shared" si="0"/>
        <v>De Materialidade</v>
      </c>
      <c r="M5" s="35" t="str">
        <f t="shared" si="0"/>
        <v>Materialidades</v>
      </c>
      <c r="N5" s="35" t="str">
        <f t="shared" si="0"/>
        <v>Materiais</v>
      </c>
      <c r="O5" s="35" t="str">
        <f t="shared" si="0"/>
        <v>Tubo de FoFo</v>
      </c>
      <c r="P5" s="69" t="s">
        <v>664</v>
      </c>
      <c r="Q5" s="30" t="s">
        <v>665</v>
      </c>
      <c r="R5" s="30" t="s">
        <v>666</v>
      </c>
      <c r="S5" s="30" t="s">
        <v>9</v>
      </c>
      <c r="T5" s="30" t="str">
        <f t="shared" si="1"/>
        <v>De Materialidade</v>
      </c>
      <c r="U5" s="30" t="str">
        <f t="shared" si="1"/>
        <v>Materialidades</v>
      </c>
      <c r="V5" s="30" t="str">
        <f t="shared" si="1"/>
        <v>Materiais</v>
      </c>
      <c r="W5" s="30" t="s">
        <v>209</v>
      </c>
      <c r="X5" s="48" t="str">
        <f t="shared" si="2"/>
        <v>Key-AVAC-5</v>
      </c>
      <c r="Y5" s="30" t="s">
        <v>725</v>
      </c>
      <c r="Z5" s="58" t="s">
        <v>9</v>
      </c>
      <c r="AA5" s="30" t="s">
        <v>652</v>
      </c>
      <c r="AB5" s="58" t="s">
        <v>9</v>
      </c>
      <c r="AC5" s="30" t="s">
        <v>667</v>
      </c>
      <c r="AD5" s="58" t="s">
        <v>9</v>
      </c>
    </row>
    <row r="6" spans="1:30" ht="6.9" customHeight="1" x14ac:dyDescent="0.4">
      <c r="A6" s="49">
        <v>6</v>
      </c>
      <c r="B6" s="1" t="s">
        <v>467</v>
      </c>
      <c r="C6" s="1" t="s">
        <v>645</v>
      </c>
      <c r="D6" s="1" t="s">
        <v>646</v>
      </c>
      <c r="E6" s="1" t="s">
        <v>647</v>
      </c>
      <c r="F6" s="34" t="s">
        <v>668</v>
      </c>
      <c r="G6" s="51" t="s">
        <v>9</v>
      </c>
      <c r="H6" s="51" t="s">
        <v>9</v>
      </c>
      <c r="I6" s="51" t="s">
        <v>9</v>
      </c>
      <c r="J6" s="51" t="s">
        <v>9</v>
      </c>
      <c r="K6" s="51" t="s">
        <v>9</v>
      </c>
      <c r="L6" s="35" t="str">
        <f t="shared" si="0"/>
        <v>De Materialidade</v>
      </c>
      <c r="M6" s="35" t="str">
        <f t="shared" si="0"/>
        <v>Materialidades</v>
      </c>
      <c r="N6" s="35" t="str">
        <f t="shared" si="0"/>
        <v>Materiais</v>
      </c>
      <c r="O6" s="35" t="str">
        <f t="shared" si="0"/>
        <v>Tubo de Latão</v>
      </c>
      <c r="P6" s="69" t="s">
        <v>669</v>
      </c>
      <c r="Q6" s="30" t="s">
        <v>670</v>
      </c>
      <c r="R6" s="30" t="s">
        <v>671</v>
      </c>
      <c r="S6" s="30" t="s">
        <v>9</v>
      </c>
      <c r="T6" s="30" t="str">
        <f t="shared" si="1"/>
        <v>De Materialidade</v>
      </c>
      <c r="U6" s="30" t="str">
        <f t="shared" si="1"/>
        <v>Materialidades</v>
      </c>
      <c r="V6" s="30" t="str">
        <f t="shared" si="1"/>
        <v>Materiais</v>
      </c>
      <c r="W6" s="30" t="s">
        <v>209</v>
      </c>
      <c r="X6" s="48" t="str">
        <f t="shared" si="2"/>
        <v>Key-AVAC-6</v>
      </c>
      <c r="Y6" s="30" t="s">
        <v>725</v>
      </c>
      <c r="Z6" s="58" t="s">
        <v>9</v>
      </c>
      <c r="AA6" s="30" t="s">
        <v>652</v>
      </c>
      <c r="AB6" s="58" t="s">
        <v>9</v>
      </c>
      <c r="AC6" s="30" t="s">
        <v>672</v>
      </c>
      <c r="AD6" s="58" t="s">
        <v>9</v>
      </c>
    </row>
    <row r="7" spans="1:30" ht="6.9" customHeight="1" x14ac:dyDescent="0.4">
      <c r="A7" s="49">
        <v>7</v>
      </c>
      <c r="B7" s="1" t="s">
        <v>467</v>
      </c>
      <c r="C7" s="1" t="s">
        <v>645</v>
      </c>
      <c r="D7" s="1" t="s">
        <v>646</v>
      </c>
      <c r="E7" s="1" t="s">
        <v>647</v>
      </c>
      <c r="F7" s="34" t="s">
        <v>673</v>
      </c>
      <c r="G7" s="51" t="s">
        <v>9</v>
      </c>
      <c r="H7" s="51" t="s">
        <v>9</v>
      </c>
      <c r="I7" s="51" t="s">
        <v>9</v>
      </c>
      <c r="J7" s="51" t="s">
        <v>9</v>
      </c>
      <c r="K7" s="51" t="s">
        <v>9</v>
      </c>
      <c r="L7" s="35" t="str">
        <f t="shared" si="0"/>
        <v>De Materialidade</v>
      </c>
      <c r="M7" s="35" t="str">
        <f t="shared" si="0"/>
        <v>Materialidades</v>
      </c>
      <c r="N7" s="35" t="str">
        <f t="shared" si="0"/>
        <v>Materiais</v>
      </c>
      <c r="O7" s="35" t="str">
        <f t="shared" si="0"/>
        <v>Tubo de PEAD</v>
      </c>
      <c r="P7" s="69" t="s">
        <v>674</v>
      </c>
      <c r="Q7" s="30" t="s">
        <v>675</v>
      </c>
      <c r="R7" s="30" t="s">
        <v>676</v>
      </c>
      <c r="S7" s="30" t="s">
        <v>9</v>
      </c>
      <c r="T7" s="30" t="str">
        <f t="shared" si="1"/>
        <v>De Materialidade</v>
      </c>
      <c r="U7" s="30" t="str">
        <f t="shared" si="1"/>
        <v>Materialidades</v>
      </c>
      <c r="V7" s="30" t="str">
        <f t="shared" si="1"/>
        <v>Materiais</v>
      </c>
      <c r="W7" s="30" t="s">
        <v>209</v>
      </c>
      <c r="X7" s="48" t="str">
        <f t="shared" si="2"/>
        <v>Key-AVAC-7</v>
      </c>
      <c r="Y7" s="30" t="s">
        <v>725</v>
      </c>
      <c r="Z7" s="58" t="s">
        <v>9</v>
      </c>
      <c r="AA7" s="30" t="s">
        <v>652</v>
      </c>
      <c r="AB7" s="58" t="s">
        <v>9</v>
      </c>
      <c r="AC7" s="30" t="s">
        <v>677</v>
      </c>
      <c r="AD7" s="58" t="s">
        <v>9</v>
      </c>
    </row>
    <row r="8" spans="1:30" ht="6.9" customHeight="1" x14ac:dyDescent="0.4">
      <c r="A8" s="49">
        <v>8</v>
      </c>
      <c r="B8" s="1" t="s">
        <v>467</v>
      </c>
      <c r="C8" s="1" t="s">
        <v>645</v>
      </c>
      <c r="D8" s="1" t="s">
        <v>646</v>
      </c>
      <c r="E8" s="1" t="s">
        <v>647</v>
      </c>
      <c r="F8" s="34" t="s">
        <v>678</v>
      </c>
      <c r="G8" s="51" t="s">
        <v>9</v>
      </c>
      <c r="H8" s="51" t="s">
        <v>9</v>
      </c>
      <c r="I8" s="51" t="s">
        <v>9</v>
      </c>
      <c r="J8" s="51" t="s">
        <v>9</v>
      </c>
      <c r="K8" s="51" t="s">
        <v>9</v>
      </c>
      <c r="L8" s="35" t="str">
        <f t="shared" si="0"/>
        <v>De Materialidade</v>
      </c>
      <c r="M8" s="35" t="str">
        <f t="shared" si="0"/>
        <v>Materialidades</v>
      </c>
      <c r="N8" s="35" t="str">
        <f t="shared" si="0"/>
        <v>Materiais</v>
      </c>
      <c r="O8" s="35" t="str">
        <f t="shared" si="0"/>
        <v>Tubo de PVC</v>
      </c>
      <c r="P8" s="69" t="s">
        <v>679</v>
      </c>
      <c r="Q8" s="30" t="s">
        <v>680</v>
      </c>
      <c r="R8" s="30" t="s">
        <v>681</v>
      </c>
      <c r="S8" s="30" t="s">
        <v>9</v>
      </c>
      <c r="T8" s="30" t="str">
        <f t="shared" si="1"/>
        <v>De Materialidade</v>
      </c>
      <c r="U8" s="30" t="str">
        <f t="shared" si="1"/>
        <v>Materialidades</v>
      </c>
      <c r="V8" s="30" t="str">
        <f t="shared" si="1"/>
        <v>Materiais</v>
      </c>
      <c r="W8" s="30" t="s">
        <v>209</v>
      </c>
      <c r="X8" s="48" t="str">
        <f t="shared" si="2"/>
        <v>Key-AVAC-8</v>
      </c>
      <c r="Y8" s="30" t="s">
        <v>725</v>
      </c>
      <c r="Z8" s="58" t="s">
        <v>9</v>
      </c>
      <c r="AA8" s="30" t="s">
        <v>652</v>
      </c>
      <c r="AB8" s="58" t="s">
        <v>9</v>
      </c>
      <c r="AC8" s="30" t="s">
        <v>682</v>
      </c>
      <c r="AD8" s="58" t="s">
        <v>9</v>
      </c>
    </row>
    <row r="9" spans="1:30" ht="6.9" customHeight="1" x14ac:dyDescent="0.4">
      <c r="A9" s="49">
        <v>9</v>
      </c>
      <c r="B9" s="1" t="s">
        <v>467</v>
      </c>
      <c r="C9" s="1" t="s">
        <v>645</v>
      </c>
      <c r="D9" s="1" t="s">
        <v>646</v>
      </c>
      <c r="E9" s="1" t="s">
        <v>647</v>
      </c>
      <c r="F9" s="34" t="s">
        <v>683</v>
      </c>
      <c r="G9" s="51" t="s">
        <v>9</v>
      </c>
      <c r="H9" s="51" t="s">
        <v>9</v>
      </c>
      <c r="I9" s="51" t="s">
        <v>9</v>
      </c>
      <c r="J9" s="51" t="s">
        <v>9</v>
      </c>
      <c r="K9" s="51" t="s">
        <v>9</v>
      </c>
      <c r="L9" s="35" t="str">
        <f t="shared" si="0"/>
        <v>De Materialidade</v>
      </c>
      <c r="M9" s="35" t="str">
        <f t="shared" si="0"/>
        <v>Materialidades</v>
      </c>
      <c r="N9" s="35" t="str">
        <f t="shared" si="0"/>
        <v>Materiais</v>
      </c>
      <c r="O9" s="35" t="str">
        <f t="shared" si="0"/>
        <v>Tubo de PVCO</v>
      </c>
      <c r="P9" s="69" t="s">
        <v>684</v>
      </c>
      <c r="Q9" s="30" t="s">
        <v>685</v>
      </c>
      <c r="R9" s="30" t="s">
        <v>686</v>
      </c>
      <c r="S9" s="30" t="s">
        <v>9</v>
      </c>
      <c r="T9" s="30" t="str">
        <f t="shared" si="1"/>
        <v>De Materialidade</v>
      </c>
      <c r="U9" s="30" t="str">
        <f t="shared" si="1"/>
        <v>Materialidades</v>
      </c>
      <c r="V9" s="30" t="str">
        <f t="shared" si="1"/>
        <v>Materiais</v>
      </c>
      <c r="W9" s="30" t="s">
        <v>209</v>
      </c>
      <c r="X9" s="48" t="str">
        <f t="shared" si="2"/>
        <v>Key-AVAC-9</v>
      </c>
      <c r="Y9" s="30" t="s">
        <v>725</v>
      </c>
      <c r="Z9" s="58" t="s">
        <v>9</v>
      </c>
      <c r="AA9" s="30" t="s">
        <v>652</v>
      </c>
      <c r="AB9" s="58" t="s">
        <v>9</v>
      </c>
      <c r="AC9" s="30" t="s">
        <v>682</v>
      </c>
      <c r="AD9" s="58" t="s">
        <v>9</v>
      </c>
    </row>
    <row r="10" spans="1:30" ht="6.9" customHeight="1" x14ac:dyDescent="0.4">
      <c r="A10" s="49">
        <v>10</v>
      </c>
      <c r="B10" s="1" t="s">
        <v>467</v>
      </c>
      <c r="C10" s="1" t="s">
        <v>645</v>
      </c>
      <c r="D10" s="1" t="s">
        <v>646</v>
      </c>
      <c r="E10" s="1" t="s">
        <v>647</v>
      </c>
      <c r="F10" s="34" t="s">
        <v>687</v>
      </c>
      <c r="G10" s="51" t="s">
        <v>9</v>
      </c>
      <c r="H10" s="51" t="s">
        <v>9</v>
      </c>
      <c r="I10" s="51" t="s">
        <v>9</v>
      </c>
      <c r="J10" s="51" t="s">
        <v>9</v>
      </c>
      <c r="K10" s="51" t="s">
        <v>9</v>
      </c>
      <c r="L10" s="35" t="str">
        <f t="shared" si="0"/>
        <v>De Materialidade</v>
      </c>
      <c r="M10" s="35" t="str">
        <f t="shared" si="0"/>
        <v>Materialidades</v>
      </c>
      <c r="N10" s="35" t="str">
        <f t="shared" si="0"/>
        <v>Materiais</v>
      </c>
      <c r="O10" s="35" t="str">
        <f t="shared" si="0"/>
        <v>Tubo Multicamada</v>
      </c>
      <c r="P10" s="69" t="s">
        <v>688</v>
      </c>
      <c r="Q10" s="30" t="s">
        <v>689</v>
      </c>
      <c r="R10" s="30" t="s">
        <v>690</v>
      </c>
      <c r="S10" s="30" t="s">
        <v>9</v>
      </c>
      <c r="T10" s="30" t="str">
        <f t="shared" si="1"/>
        <v>De Materialidade</v>
      </c>
      <c r="U10" s="30" t="str">
        <f t="shared" si="1"/>
        <v>Materialidades</v>
      </c>
      <c r="V10" s="30" t="str">
        <f t="shared" si="1"/>
        <v>Materiais</v>
      </c>
      <c r="W10" s="30" t="s">
        <v>209</v>
      </c>
      <c r="X10" s="48" t="str">
        <f t="shared" si="2"/>
        <v>Key-AVAC-10</v>
      </c>
      <c r="Y10" s="30" t="s">
        <v>725</v>
      </c>
      <c r="Z10" s="58" t="s">
        <v>9</v>
      </c>
      <c r="AA10" s="30" t="s">
        <v>652</v>
      </c>
      <c r="AB10" s="58" t="s">
        <v>9</v>
      </c>
      <c r="AC10" s="30" t="s">
        <v>677</v>
      </c>
      <c r="AD10" s="58" t="s">
        <v>9</v>
      </c>
    </row>
    <row r="11" spans="1:30" s="70" customFormat="1" ht="6.9" customHeight="1" x14ac:dyDescent="0.2">
      <c r="A11" s="49">
        <v>11</v>
      </c>
      <c r="B11" s="1" t="s">
        <v>467</v>
      </c>
      <c r="C11" s="1" t="s">
        <v>645</v>
      </c>
      <c r="D11" s="1" t="s">
        <v>646</v>
      </c>
      <c r="E11" s="1" t="s">
        <v>647</v>
      </c>
      <c r="F11" s="72" t="s">
        <v>706</v>
      </c>
      <c r="G11" s="51" t="s">
        <v>9</v>
      </c>
      <c r="H11" s="51" t="s">
        <v>9</v>
      </c>
      <c r="I11" s="51" t="s">
        <v>9</v>
      </c>
      <c r="J11" s="51" t="s">
        <v>9</v>
      </c>
      <c r="K11" s="51" t="s">
        <v>9</v>
      </c>
      <c r="L11" s="35" t="str">
        <f t="shared" si="0"/>
        <v>De Materialidade</v>
      </c>
      <c r="M11" s="35" t="str">
        <f t="shared" si="0"/>
        <v>Materialidades</v>
      </c>
      <c r="N11" s="35" t="str">
        <f t="shared" si="0"/>
        <v>Materiais</v>
      </c>
      <c r="O11" s="35" t="str">
        <f t="shared" si="0"/>
        <v>Mat Aço Carbono</v>
      </c>
      <c r="P11" s="71" t="s">
        <v>705</v>
      </c>
      <c r="Q11" s="30" t="str">
        <f>_xlfn.TRANSLATE(P11,"pt","es")</f>
        <v>Se utiliza en sistemas centralizados y enfriadores para conducir agua fría y condensar agua en diámetros mayores, debido a su bajo coste a gran escala y alta resistencia mecánica.</v>
      </c>
      <c r="R11" s="30" t="s">
        <v>726</v>
      </c>
      <c r="S11" s="30" t="s">
        <v>9</v>
      </c>
      <c r="T11" s="30" t="str">
        <f t="shared" si="1"/>
        <v>De Materialidade</v>
      </c>
      <c r="U11" s="30" t="str">
        <f t="shared" si="1"/>
        <v>Materialidades</v>
      </c>
      <c r="V11" s="30" t="str">
        <f t="shared" si="1"/>
        <v>Materiais</v>
      </c>
      <c r="W11" s="30" t="s">
        <v>209</v>
      </c>
      <c r="X11" s="48" t="str">
        <f t="shared" si="2"/>
        <v>Key-AVAC-11</v>
      </c>
      <c r="Y11" s="30" t="s">
        <v>725</v>
      </c>
      <c r="Z11" s="58" t="s">
        <v>9</v>
      </c>
      <c r="AA11" s="30" t="s">
        <v>652</v>
      </c>
      <c r="AB11" s="58" t="s">
        <v>9</v>
      </c>
      <c r="AC11" s="30" t="s">
        <v>677</v>
      </c>
      <c r="AD11" s="58" t="s">
        <v>9</v>
      </c>
    </row>
    <row r="12" spans="1:30" s="70" customFormat="1" ht="6.9" customHeight="1" x14ac:dyDescent="0.2">
      <c r="A12" s="49">
        <v>12</v>
      </c>
      <c r="B12" s="1" t="s">
        <v>467</v>
      </c>
      <c r="C12" s="1" t="s">
        <v>645</v>
      </c>
      <c r="D12" s="1" t="s">
        <v>646</v>
      </c>
      <c r="E12" s="1" t="s">
        <v>647</v>
      </c>
      <c r="F12" s="72" t="s">
        <v>707</v>
      </c>
      <c r="G12" s="51" t="s">
        <v>9</v>
      </c>
      <c r="H12" s="51" t="s">
        <v>9</v>
      </c>
      <c r="I12" s="51" t="s">
        <v>9</v>
      </c>
      <c r="J12" s="51" t="s">
        <v>9</v>
      </c>
      <c r="K12" s="51" t="s">
        <v>9</v>
      </c>
      <c r="L12" s="35" t="str">
        <f t="shared" si="0"/>
        <v>De Materialidade</v>
      </c>
      <c r="M12" s="35" t="str">
        <f t="shared" si="0"/>
        <v>Materialidades</v>
      </c>
      <c r="N12" s="35" t="str">
        <f t="shared" si="0"/>
        <v>Materiais</v>
      </c>
      <c r="O12" s="35" t="str">
        <f t="shared" si="0"/>
        <v>Mat Aço Galvanizado</v>
      </c>
      <c r="P12" s="71" t="s">
        <v>704</v>
      </c>
      <c r="Q12" s="30" t="str">
        <f t="shared" ref="Q12:R28" si="3">_xlfn.TRANSLATE(P12,"pt","es")</f>
        <v>Se utiliza como la chapa metálica más común para la fabricación de conductos de distribución de aire. El recubrimiento de zinc protege el acero del óxido en ambientes interiores estándar.</v>
      </c>
      <c r="R12" s="30" t="s">
        <v>727</v>
      </c>
      <c r="S12" s="30" t="s">
        <v>9</v>
      </c>
      <c r="T12" s="30" t="str">
        <f t="shared" si="1"/>
        <v>De Materialidade</v>
      </c>
      <c r="U12" s="30" t="str">
        <f t="shared" si="1"/>
        <v>Materialidades</v>
      </c>
      <c r="V12" s="30" t="str">
        <f t="shared" si="1"/>
        <v>Materiais</v>
      </c>
      <c r="W12" s="30" t="s">
        <v>209</v>
      </c>
      <c r="X12" s="48" t="str">
        <f t="shared" si="2"/>
        <v>Key-AVAC-12</v>
      </c>
      <c r="Y12" s="30" t="s">
        <v>725</v>
      </c>
      <c r="Z12" s="58" t="s">
        <v>9</v>
      </c>
      <c r="AA12" s="30" t="s">
        <v>652</v>
      </c>
      <c r="AB12" s="58" t="s">
        <v>9</v>
      </c>
      <c r="AC12" s="30" t="s">
        <v>677</v>
      </c>
      <c r="AD12" s="58" t="s">
        <v>9</v>
      </c>
    </row>
    <row r="13" spans="1:30" s="70" customFormat="1" ht="6.9" customHeight="1" x14ac:dyDescent="0.2">
      <c r="A13" s="49">
        <v>13</v>
      </c>
      <c r="B13" s="1" t="s">
        <v>467</v>
      </c>
      <c r="C13" s="1" t="s">
        <v>645</v>
      </c>
      <c r="D13" s="1" t="s">
        <v>646</v>
      </c>
      <c r="E13" s="1" t="s">
        <v>647</v>
      </c>
      <c r="F13" s="72" t="s">
        <v>708</v>
      </c>
      <c r="G13" s="51" t="s">
        <v>9</v>
      </c>
      <c r="H13" s="51" t="s">
        <v>9</v>
      </c>
      <c r="I13" s="51" t="s">
        <v>9</v>
      </c>
      <c r="J13" s="51" t="s">
        <v>9</v>
      </c>
      <c r="K13" s="51" t="s">
        <v>9</v>
      </c>
      <c r="L13" s="35" t="str">
        <f t="shared" si="0"/>
        <v>De Materialidade</v>
      </c>
      <c r="M13" s="35" t="str">
        <f t="shared" si="0"/>
        <v>Materialidades</v>
      </c>
      <c r="N13" s="35" t="str">
        <f t="shared" si="0"/>
        <v>Materiais</v>
      </c>
      <c r="O13" s="35" t="str">
        <f t="shared" si="0"/>
        <v>Mat Aço Inoxidável</v>
      </c>
      <c r="P13" s="71" t="s">
        <v>703</v>
      </c>
      <c r="Q13" s="30" t="str">
        <f t="shared" si="3"/>
        <v>Se utiliza en instalaciones industriales, farmacéuticas o alimentarias que requieren una resistencia extrema a la corrosión, así como alta higiene y larga durabilidad.</v>
      </c>
      <c r="R13" s="30" t="s">
        <v>728</v>
      </c>
      <c r="S13" s="30" t="s">
        <v>9</v>
      </c>
      <c r="T13" s="30" t="str">
        <f t="shared" si="1"/>
        <v>De Materialidade</v>
      </c>
      <c r="U13" s="30" t="str">
        <f t="shared" si="1"/>
        <v>Materialidades</v>
      </c>
      <c r="V13" s="30" t="str">
        <f t="shared" si="1"/>
        <v>Materiais</v>
      </c>
      <c r="W13" s="30" t="s">
        <v>209</v>
      </c>
      <c r="X13" s="48" t="str">
        <f t="shared" si="2"/>
        <v>Key-AVAC-13</v>
      </c>
      <c r="Y13" s="30" t="s">
        <v>725</v>
      </c>
      <c r="Z13" s="58" t="s">
        <v>9</v>
      </c>
      <c r="AA13" s="30" t="s">
        <v>652</v>
      </c>
      <c r="AB13" s="58" t="s">
        <v>9</v>
      </c>
      <c r="AC13" s="30" t="s">
        <v>677</v>
      </c>
      <c r="AD13" s="58" t="s">
        <v>9</v>
      </c>
    </row>
    <row r="14" spans="1:30" s="70" customFormat="1" ht="6.9" customHeight="1" x14ac:dyDescent="0.2">
      <c r="A14" s="49">
        <v>14</v>
      </c>
      <c r="B14" s="1" t="s">
        <v>467</v>
      </c>
      <c r="C14" s="1" t="s">
        <v>645</v>
      </c>
      <c r="D14" s="1" t="s">
        <v>646</v>
      </c>
      <c r="E14" s="1" t="s">
        <v>647</v>
      </c>
      <c r="F14" s="72" t="s">
        <v>709</v>
      </c>
      <c r="G14" s="51" t="s">
        <v>9</v>
      </c>
      <c r="H14" s="51" t="s">
        <v>9</v>
      </c>
      <c r="I14" s="51" t="s">
        <v>9</v>
      </c>
      <c r="J14" s="51" t="s">
        <v>9</v>
      </c>
      <c r="K14" s="51" t="s">
        <v>9</v>
      </c>
      <c r="L14" s="35" t="str">
        <f t="shared" si="0"/>
        <v>De Materialidade</v>
      </c>
      <c r="M14" s="35" t="str">
        <f t="shared" si="0"/>
        <v>Materialidades</v>
      </c>
      <c r="N14" s="35" t="str">
        <f t="shared" si="0"/>
        <v>Materiais</v>
      </c>
      <c r="O14" s="35" t="str">
        <f t="shared" si="0"/>
        <v>Mat Alumínio</v>
      </c>
      <c r="P14" s="71" t="s">
        <v>702</v>
      </c>
      <c r="Q14" s="30" t="str">
        <f t="shared" si="3"/>
        <v>Se utiliza cuando se necesitan conductos de luz o en entornos con mayor humedad y agentes corrosivos (como regiones costeras o laboratorios).</v>
      </c>
      <c r="R14" s="30" t="s">
        <v>729</v>
      </c>
      <c r="S14" s="30" t="s">
        <v>9</v>
      </c>
      <c r="T14" s="30" t="str">
        <f t="shared" si="1"/>
        <v>De Materialidade</v>
      </c>
      <c r="U14" s="30" t="str">
        <f t="shared" si="1"/>
        <v>Materialidades</v>
      </c>
      <c r="V14" s="30" t="str">
        <f t="shared" si="1"/>
        <v>Materiais</v>
      </c>
      <c r="W14" s="30" t="s">
        <v>209</v>
      </c>
      <c r="X14" s="48" t="str">
        <f t="shared" si="2"/>
        <v>Key-AVAC-14</v>
      </c>
      <c r="Y14" s="30" t="s">
        <v>725</v>
      </c>
      <c r="Z14" s="58" t="s">
        <v>9</v>
      </c>
      <c r="AA14" s="30" t="s">
        <v>652</v>
      </c>
      <c r="AB14" s="58" t="s">
        <v>9</v>
      </c>
      <c r="AC14" s="30" t="s">
        <v>677</v>
      </c>
      <c r="AD14" s="58" t="s">
        <v>9</v>
      </c>
    </row>
    <row r="15" spans="1:30" s="70" customFormat="1" ht="6.9" customHeight="1" x14ac:dyDescent="0.2">
      <c r="A15" s="49">
        <v>15</v>
      </c>
      <c r="B15" s="1" t="s">
        <v>467</v>
      </c>
      <c r="C15" s="1" t="s">
        <v>645</v>
      </c>
      <c r="D15" s="1" t="s">
        <v>646</v>
      </c>
      <c r="E15" s="1" t="s">
        <v>647</v>
      </c>
      <c r="F15" s="72" t="s">
        <v>710</v>
      </c>
      <c r="G15" s="51" t="s">
        <v>9</v>
      </c>
      <c r="H15" s="51" t="s">
        <v>9</v>
      </c>
      <c r="I15" s="51" t="s">
        <v>9</v>
      </c>
      <c r="J15" s="51" t="s">
        <v>9</v>
      </c>
      <c r="K15" s="51" t="s">
        <v>9</v>
      </c>
      <c r="L15" s="35" t="str">
        <f t="shared" si="0"/>
        <v>De Materialidade</v>
      </c>
      <c r="M15" s="35" t="str">
        <f t="shared" si="0"/>
        <v>Materialidades</v>
      </c>
      <c r="N15" s="35" t="str">
        <f t="shared" si="0"/>
        <v>Materiais</v>
      </c>
      <c r="O15" s="35" t="str">
        <f t="shared" si="0"/>
        <v>Mat Alumínio Anodizado</v>
      </c>
      <c r="P15" s="71" t="s">
        <v>701</v>
      </c>
      <c r="Q15" s="30" t="str">
        <f t="shared" si="3"/>
        <v>Se utiliza como material estándar para rejillas, difusores y tomas de aire exteriores para mayor durabilidad y facilidad de acabado.</v>
      </c>
      <c r="R15" s="30" t="s">
        <v>730</v>
      </c>
      <c r="S15" s="30" t="s">
        <v>9</v>
      </c>
      <c r="T15" s="30" t="str">
        <f t="shared" si="1"/>
        <v>De Materialidade</v>
      </c>
      <c r="U15" s="30" t="str">
        <f t="shared" si="1"/>
        <v>Materialidades</v>
      </c>
      <c r="V15" s="30" t="str">
        <f t="shared" si="1"/>
        <v>Materiais</v>
      </c>
      <c r="W15" s="30" t="s">
        <v>209</v>
      </c>
      <c r="X15" s="48" t="str">
        <f t="shared" si="2"/>
        <v>Key-AVAC-15</v>
      </c>
      <c r="Y15" s="30" t="s">
        <v>725</v>
      </c>
      <c r="Z15" s="58" t="s">
        <v>9</v>
      </c>
      <c r="AA15" s="30" t="s">
        <v>652</v>
      </c>
      <c r="AB15" s="58" t="s">
        <v>9</v>
      </c>
      <c r="AC15" s="30" t="s">
        <v>677</v>
      </c>
      <c r="AD15" s="58" t="s">
        <v>9</v>
      </c>
    </row>
    <row r="16" spans="1:30" s="70" customFormat="1" ht="6.9" customHeight="1" x14ac:dyDescent="0.2">
      <c r="A16" s="49">
        <v>16</v>
      </c>
      <c r="B16" s="1" t="s">
        <v>467</v>
      </c>
      <c r="C16" s="1" t="s">
        <v>645</v>
      </c>
      <c r="D16" s="1" t="s">
        <v>646</v>
      </c>
      <c r="E16" s="1" t="s">
        <v>647</v>
      </c>
      <c r="F16" s="72" t="s">
        <v>711</v>
      </c>
      <c r="G16" s="51" t="s">
        <v>9</v>
      </c>
      <c r="H16" s="51" t="s">
        <v>9</v>
      </c>
      <c r="I16" s="51" t="s">
        <v>9</v>
      </c>
      <c r="J16" s="51" t="s">
        <v>9</v>
      </c>
      <c r="K16" s="51" t="s">
        <v>9</v>
      </c>
      <c r="L16" s="35" t="str">
        <f t="shared" si="0"/>
        <v>De Materialidade</v>
      </c>
      <c r="M16" s="35" t="str">
        <f t="shared" si="0"/>
        <v>Materialidades</v>
      </c>
      <c r="N16" s="35" t="str">
        <f t="shared" si="0"/>
        <v>Materiais</v>
      </c>
      <c r="O16" s="35" t="str">
        <f t="shared" si="0"/>
        <v>Mat Borracha Antivibratória</v>
      </c>
      <c r="P16" s="71" t="s">
        <v>700</v>
      </c>
      <c r="Q16" s="30" t="str">
        <f t="shared" si="3"/>
        <v>Se utiliza en ángulos, tirantes y soportes de fijación para absorber las vibraciones de compresores y ventiladores, evitando la transmisión de ruido a la estructura del edificio.</v>
      </c>
      <c r="R16" s="30" t="s">
        <v>731</v>
      </c>
      <c r="S16" s="30" t="s">
        <v>9</v>
      </c>
      <c r="T16" s="30" t="str">
        <f t="shared" si="1"/>
        <v>De Materialidade</v>
      </c>
      <c r="U16" s="30" t="str">
        <f t="shared" si="1"/>
        <v>Materialidades</v>
      </c>
      <c r="V16" s="30" t="str">
        <f t="shared" si="1"/>
        <v>Materiais</v>
      </c>
      <c r="W16" s="30" t="s">
        <v>209</v>
      </c>
      <c r="X16" s="48" t="str">
        <f t="shared" si="2"/>
        <v>Key-AVAC-16</v>
      </c>
      <c r="Y16" s="30" t="s">
        <v>725</v>
      </c>
      <c r="Z16" s="58" t="s">
        <v>9</v>
      </c>
      <c r="AA16" s="30" t="s">
        <v>652</v>
      </c>
      <c r="AB16" s="58" t="s">
        <v>9</v>
      </c>
      <c r="AC16" s="30" t="s">
        <v>677</v>
      </c>
      <c r="AD16" s="58" t="s">
        <v>9</v>
      </c>
    </row>
    <row r="17" spans="1:30" s="70" customFormat="1" ht="6.9" customHeight="1" x14ac:dyDescent="0.2">
      <c r="A17" s="49">
        <v>17</v>
      </c>
      <c r="B17" s="1" t="s">
        <v>467</v>
      </c>
      <c r="C17" s="1" t="s">
        <v>645</v>
      </c>
      <c r="D17" s="1" t="s">
        <v>646</v>
      </c>
      <c r="E17" s="1" t="s">
        <v>647</v>
      </c>
      <c r="F17" s="72" t="s">
        <v>712</v>
      </c>
      <c r="G17" s="51" t="s">
        <v>9</v>
      </c>
      <c r="H17" s="51" t="s">
        <v>9</v>
      </c>
      <c r="I17" s="51" t="s">
        <v>9</v>
      </c>
      <c r="J17" s="51" t="s">
        <v>9</v>
      </c>
      <c r="K17" s="51" t="s">
        <v>9</v>
      </c>
      <c r="L17" s="35" t="str">
        <f t="shared" si="0"/>
        <v>De Materialidade</v>
      </c>
      <c r="M17" s="35" t="str">
        <f t="shared" si="0"/>
        <v>Materialidades</v>
      </c>
      <c r="N17" s="35" t="str">
        <f t="shared" si="0"/>
        <v>Materiais</v>
      </c>
      <c r="O17" s="35" t="str">
        <f t="shared" si="0"/>
        <v>Mat Borracha Elastomérica</v>
      </c>
      <c r="P17" s="71" t="s">
        <v>699</v>
      </c>
      <c r="Q17" s="30" t="str">
        <f t="shared" si="3"/>
        <v>Se utiliza como material flexible para estructura de celda cerrada aplicado en el aislamiento de tuberías de refrigerante y agua fría. Evita la condensación superficial y la pérdida de eficiencia.</v>
      </c>
      <c r="R17" s="30" t="s">
        <v>732</v>
      </c>
      <c r="S17" s="30" t="s">
        <v>9</v>
      </c>
      <c r="T17" s="30" t="str">
        <f t="shared" si="1"/>
        <v>De Materialidade</v>
      </c>
      <c r="U17" s="30" t="str">
        <f t="shared" si="1"/>
        <v>Materialidades</v>
      </c>
      <c r="V17" s="30" t="str">
        <f t="shared" si="1"/>
        <v>Materiais</v>
      </c>
      <c r="W17" s="30" t="s">
        <v>209</v>
      </c>
      <c r="X17" s="48" t="str">
        <f t="shared" si="2"/>
        <v>Key-AVAC-17</v>
      </c>
      <c r="Y17" s="30" t="s">
        <v>725</v>
      </c>
      <c r="Z17" s="58" t="s">
        <v>9</v>
      </c>
      <c r="AA17" s="30" t="s">
        <v>652</v>
      </c>
      <c r="AB17" s="58" t="s">
        <v>9</v>
      </c>
      <c r="AC17" s="30" t="s">
        <v>677</v>
      </c>
      <c r="AD17" s="58" t="s">
        <v>9</v>
      </c>
    </row>
    <row r="18" spans="1:30" s="70" customFormat="1" ht="6.9" customHeight="1" x14ac:dyDescent="0.2">
      <c r="A18" s="49">
        <v>18</v>
      </c>
      <c r="B18" s="1" t="s">
        <v>467</v>
      </c>
      <c r="C18" s="1" t="s">
        <v>645</v>
      </c>
      <c r="D18" s="1" t="s">
        <v>646</v>
      </c>
      <c r="E18" s="1" t="s">
        <v>647</v>
      </c>
      <c r="F18" s="72" t="s">
        <v>713</v>
      </c>
      <c r="G18" s="51" t="s">
        <v>9</v>
      </c>
      <c r="H18" s="51" t="s">
        <v>9</v>
      </c>
      <c r="I18" s="51" t="s">
        <v>9</v>
      </c>
      <c r="J18" s="51" t="s">
        <v>9</v>
      </c>
      <c r="K18" s="51" t="s">
        <v>9</v>
      </c>
      <c r="L18" s="35" t="str">
        <f t="shared" ref="L18:O28" si="4">SUBSTITUTE(CONCATENATE("", C18), ".", " ")</f>
        <v>De Materialidade</v>
      </c>
      <c r="M18" s="35" t="str">
        <f t="shared" si="4"/>
        <v>Materialidades</v>
      </c>
      <c r="N18" s="35" t="str">
        <f t="shared" si="4"/>
        <v>Materiais</v>
      </c>
      <c r="O18" s="35" t="str">
        <f t="shared" si="4"/>
        <v>Mat Cobre</v>
      </c>
      <c r="P18" s="71" t="s">
        <v>697</v>
      </c>
      <c r="Q18" s="30" t="str">
        <f t="shared" si="3"/>
        <v>Se utiliza como material para tuberías de refrigerante (líquidos y líneas de succión). Tiene una excelente conductividad térmica, alta resistencia a la corrosión interna y buena maleabilidad para flexión y soldadura de plata/foscoper.</v>
      </c>
      <c r="R18" s="30" t="s">
        <v>733</v>
      </c>
      <c r="S18" s="30" t="s">
        <v>9</v>
      </c>
      <c r="T18" s="30" t="str">
        <f t="shared" ref="T18:V28" si="5">SUBSTITUTE(C18, ".", " ")</f>
        <v>De Materialidade</v>
      </c>
      <c r="U18" s="30" t="str">
        <f t="shared" si="5"/>
        <v>Materialidades</v>
      </c>
      <c r="V18" s="30" t="str">
        <f t="shared" si="5"/>
        <v>Materiais</v>
      </c>
      <c r="W18" s="30" t="s">
        <v>209</v>
      </c>
      <c r="X18" s="48" t="str">
        <f t="shared" si="2"/>
        <v>Key-AVAC-18</v>
      </c>
      <c r="Y18" s="30" t="s">
        <v>725</v>
      </c>
      <c r="Z18" s="58" t="s">
        <v>9</v>
      </c>
      <c r="AA18" s="30" t="s">
        <v>652</v>
      </c>
      <c r="AB18" s="58" t="s">
        <v>9</v>
      </c>
      <c r="AC18" s="30" t="s">
        <v>677</v>
      </c>
      <c r="AD18" s="58" t="s">
        <v>9</v>
      </c>
    </row>
    <row r="19" spans="1:30" s="70" customFormat="1" ht="6.9" customHeight="1" x14ac:dyDescent="0.2">
      <c r="A19" s="49">
        <v>19</v>
      </c>
      <c r="B19" s="1" t="s">
        <v>467</v>
      </c>
      <c r="C19" s="1" t="s">
        <v>645</v>
      </c>
      <c r="D19" s="1" t="s">
        <v>646</v>
      </c>
      <c r="E19" s="1" t="s">
        <v>647</v>
      </c>
      <c r="F19" s="72" t="s">
        <v>714</v>
      </c>
      <c r="G19" s="51" t="s">
        <v>9</v>
      </c>
      <c r="H19" s="51" t="s">
        <v>9</v>
      </c>
      <c r="I19" s="51" t="s">
        <v>9</v>
      </c>
      <c r="J19" s="51" t="s">
        <v>9</v>
      </c>
      <c r="K19" s="51" t="s">
        <v>9</v>
      </c>
      <c r="L19" s="35" t="str">
        <f t="shared" si="4"/>
        <v>De Materialidade</v>
      </c>
      <c r="M19" s="35" t="str">
        <f t="shared" si="4"/>
        <v>Materialidades</v>
      </c>
      <c r="N19" s="35" t="str">
        <f t="shared" si="4"/>
        <v>Materiais</v>
      </c>
      <c r="O19" s="35" t="str">
        <f t="shared" si="4"/>
        <v>Mat Espumado MPU</v>
      </c>
      <c r="P19" s="71" t="s">
        <v>698</v>
      </c>
      <c r="Q19" s="30" t="str">
        <f t="shared" si="3"/>
        <v>Se utilizan como paneles compuestos de poliuretano o poliisocianurato recubiertos con láminas de aluminio en ambos lados. Sustituyen el tradicional conducto metálico, añadiendo aislamiento térmico al propio panel y reduciendo el peso estructural.</v>
      </c>
      <c r="R19" s="30" t="s">
        <v>734</v>
      </c>
      <c r="S19" s="30" t="s">
        <v>9</v>
      </c>
      <c r="T19" s="30" t="str">
        <f t="shared" si="5"/>
        <v>De Materialidade</v>
      </c>
      <c r="U19" s="30" t="str">
        <f t="shared" si="5"/>
        <v>Materialidades</v>
      </c>
      <c r="V19" s="30" t="str">
        <f t="shared" si="5"/>
        <v>Materiais</v>
      </c>
      <c r="W19" s="30" t="s">
        <v>209</v>
      </c>
      <c r="X19" s="48" t="str">
        <f t="shared" si="2"/>
        <v>Key-AVAC-19</v>
      </c>
      <c r="Y19" s="30" t="s">
        <v>725</v>
      </c>
      <c r="Z19" s="58" t="s">
        <v>9</v>
      </c>
      <c r="AA19" s="30" t="s">
        <v>652</v>
      </c>
      <c r="AB19" s="58" t="s">
        <v>9</v>
      </c>
      <c r="AC19" s="30" t="s">
        <v>677</v>
      </c>
      <c r="AD19" s="58" t="s">
        <v>9</v>
      </c>
    </row>
    <row r="20" spans="1:30" s="70" customFormat="1" ht="6.9" customHeight="1" x14ac:dyDescent="0.2">
      <c r="A20" s="49">
        <v>20</v>
      </c>
      <c r="B20" s="1" t="s">
        <v>467</v>
      </c>
      <c r="C20" s="1" t="s">
        <v>645</v>
      </c>
      <c r="D20" s="1" t="s">
        <v>646</v>
      </c>
      <c r="E20" s="1" t="s">
        <v>647</v>
      </c>
      <c r="F20" s="72" t="s">
        <v>715</v>
      </c>
      <c r="G20" s="51" t="s">
        <v>9</v>
      </c>
      <c r="H20" s="51" t="s">
        <v>9</v>
      </c>
      <c r="I20" s="51" t="s">
        <v>9</v>
      </c>
      <c r="J20" s="51" t="s">
        <v>9</v>
      </c>
      <c r="K20" s="51" t="s">
        <v>9</v>
      </c>
      <c r="L20" s="35" t="str">
        <f t="shared" si="4"/>
        <v>De Materialidade</v>
      </c>
      <c r="M20" s="35" t="str">
        <f t="shared" si="4"/>
        <v>Materialidades</v>
      </c>
      <c r="N20" s="35" t="str">
        <f t="shared" si="4"/>
        <v>Materiais</v>
      </c>
      <c r="O20" s="35" t="str">
        <f t="shared" si="4"/>
        <v>Mat Espumado PIR</v>
      </c>
      <c r="P20" s="71" t="s">
        <v>698</v>
      </c>
      <c r="Q20" s="30" t="str">
        <f t="shared" si="3"/>
        <v>Se utilizan como paneles compuestos de poliuretano o poliisocianurato recubiertos con láminas de aluminio en ambos lados. Sustituyen el tradicional conducto metálico, añadiendo aislamiento térmico al propio panel y reduciendo el peso estructural.</v>
      </c>
      <c r="R20" s="30" t="s">
        <v>734</v>
      </c>
      <c r="S20" s="30" t="s">
        <v>9</v>
      </c>
      <c r="T20" s="30" t="str">
        <f t="shared" si="5"/>
        <v>De Materialidade</v>
      </c>
      <c r="U20" s="30" t="str">
        <f t="shared" si="5"/>
        <v>Materialidades</v>
      </c>
      <c r="V20" s="30" t="str">
        <f t="shared" si="5"/>
        <v>Materiais</v>
      </c>
      <c r="W20" s="30" t="s">
        <v>209</v>
      </c>
      <c r="X20" s="48" t="str">
        <f t="shared" si="2"/>
        <v>Key-AVAC-20</v>
      </c>
      <c r="Y20" s="30" t="s">
        <v>725</v>
      </c>
      <c r="Z20" s="58" t="s">
        <v>9</v>
      </c>
      <c r="AA20" s="30" t="s">
        <v>652</v>
      </c>
      <c r="AB20" s="58" t="s">
        <v>9</v>
      </c>
      <c r="AC20" s="30" t="s">
        <v>677</v>
      </c>
      <c r="AD20" s="58" t="s">
        <v>9</v>
      </c>
    </row>
    <row r="21" spans="1:30" s="70" customFormat="1" ht="6.9" customHeight="1" x14ac:dyDescent="0.2">
      <c r="A21" s="49">
        <v>21</v>
      </c>
      <c r="B21" s="1" t="s">
        <v>467</v>
      </c>
      <c r="C21" s="1" t="s">
        <v>645</v>
      </c>
      <c r="D21" s="1" t="s">
        <v>646</v>
      </c>
      <c r="E21" s="1" t="s">
        <v>647</v>
      </c>
      <c r="F21" s="72" t="s">
        <v>716</v>
      </c>
      <c r="G21" s="51" t="s">
        <v>9</v>
      </c>
      <c r="H21" s="51" t="s">
        <v>9</v>
      </c>
      <c r="I21" s="51" t="s">
        <v>9</v>
      </c>
      <c r="J21" s="51" t="s">
        <v>9</v>
      </c>
      <c r="K21" s="51" t="s">
        <v>9</v>
      </c>
      <c r="L21" s="35" t="str">
        <f t="shared" si="4"/>
        <v>De Materialidade</v>
      </c>
      <c r="M21" s="35" t="str">
        <f t="shared" si="4"/>
        <v>Materialidades</v>
      </c>
      <c r="N21" s="35" t="str">
        <f t="shared" si="4"/>
        <v>Materiais</v>
      </c>
      <c r="O21" s="35" t="str">
        <f t="shared" si="4"/>
        <v xml:space="preserve">Mat Lã de Rocha </v>
      </c>
      <c r="P21" s="71" t="s">
        <v>696</v>
      </c>
      <c r="Q21" s="30" t="str">
        <f t="shared" si="3"/>
        <v>Se utiliza como mantas rígidas o flexibles aplicadas alrededor de conductos metálicos o tuberías grandes para aislamiento térmico y acústico, resistencia al fuego.</v>
      </c>
      <c r="R21" s="30" t="s">
        <v>735</v>
      </c>
      <c r="S21" s="30" t="s">
        <v>9</v>
      </c>
      <c r="T21" s="30" t="str">
        <f t="shared" si="5"/>
        <v>De Materialidade</v>
      </c>
      <c r="U21" s="30" t="str">
        <f t="shared" si="5"/>
        <v>Materialidades</v>
      </c>
      <c r="V21" s="30" t="str">
        <f t="shared" si="5"/>
        <v>Materiais</v>
      </c>
      <c r="W21" s="30" t="s">
        <v>209</v>
      </c>
      <c r="X21" s="48" t="str">
        <f t="shared" si="2"/>
        <v>Key-AVAC-21</v>
      </c>
      <c r="Y21" s="30" t="s">
        <v>725</v>
      </c>
      <c r="Z21" s="58" t="s">
        <v>9</v>
      </c>
      <c r="AA21" s="30" t="s">
        <v>652</v>
      </c>
      <c r="AB21" s="58" t="s">
        <v>9</v>
      </c>
      <c r="AC21" s="30" t="s">
        <v>677</v>
      </c>
      <c r="AD21" s="58" t="s">
        <v>9</v>
      </c>
    </row>
    <row r="22" spans="1:30" s="70" customFormat="1" ht="6.9" customHeight="1" x14ac:dyDescent="0.2">
      <c r="A22" s="49">
        <v>22</v>
      </c>
      <c r="B22" s="1" t="s">
        <v>467</v>
      </c>
      <c r="C22" s="1" t="s">
        <v>645</v>
      </c>
      <c r="D22" s="1" t="s">
        <v>646</v>
      </c>
      <c r="E22" s="1" t="s">
        <v>647</v>
      </c>
      <c r="F22" s="72" t="s">
        <v>717</v>
      </c>
      <c r="G22" s="51" t="s">
        <v>9</v>
      </c>
      <c r="H22" s="51" t="s">
        <v>9</v>
      </c>
      <c r="I22" s="51" t="s">
        <v>9</v>
      </c>
      <c r="J22" s="51" t="s">
        <v>9</v>
      </c>
      <c r="K22" s="51" t="s">
        <v>9</v>
      </c>
      <c r="L22" s="35" t="str">
        <f t="shared" si="4"/>
        <v>De Materialidade</v>
      </c>
      <c r="M22" s="35" t="str">
        <f t="shared" si="4"/>
        <v>Materialidades</v>
      </c>
      <c r="N22" s="35" t="str">
        <f t="shared" si="4"/>
        <v>Materiais</v>
      </c>
      <c r="O22" s="35" t="str">
        <f t="shared" si="4"/>
        <v xml:space="preserve">Mat Lã de Vidro </v>
      </c>
      <c r="P22" s="71" t="s">
        <v>695</v>
      </c>
      <c r="Q22" s="30" t="str">
        <f t="shared" si="3"/>
        <v>Utilizado en espirales de aluminio envueltas en lana de vidrio y película plástica exterior, empleado en las conexiones finales entre conductos rígidos y difusores de aire.</v>
      </c>
      <c r="R22" s="30" t="s">
        <v>736</v>
      </c>
      <c r="S22" s="30" t="s">
        <v>9</v>
      </c>
      <c r="T22" s="30" t="str">
        <f t="shared" si="5"/>
        <v>De Materialidade</v>
      </c>
      <c r="U22" s="30" t="str">
        <f t="shared" si="5"/>
        <v>Materialidades</v>
      </c>
      <c r="V22" s="30" t="str">
        <f t="shared" si="5"/>
        <v>Materiais</v>
      </c>
      <c r="W22" s="30" t="s">
        <v>209</v>
      </c>
      <c r="X22" s="48" t="str">
        <f t="shared" si="2"/>
        <v>Key-AVAC-22</v>
      </c>
      <c r="Y22" s="30" t="s">
        <v>725</v>
      </c>
      <c r="Z22" s="58" t="s">
        <v>9</v>
      </c>
      <c r="AA22" s="30" t="s">
        <v>652</v>
      </c>
      <c r="AB22" s="58" t="s">
        <v>9</v>
      </c>
      <c r="AC22" s="30" t="s">
        <v>677</v>
      </c>
      <c r="AD22" s="58" t="s">
        <v>9</v>
      </c>
    </row>
    <row r="23" spans="1:30" s="70" customFormat="1" ht="6.9" customHeight="1" x14ac:dyDescent="0.2">
      <c r="A23" s="49">
        <v>23</v>
      </c>
      <c r="B23" s="1" t="s">
        <v>467</v>
      </c>
      <c r="C23" s="1" t="s">
        <v>645</v>
      </c>
      <c r="D23" s="1" t="s">
        <v>646</v>
      </c>
      <c r="E23" s="1" t="s">
        <v>647</v>
      </c>
      <c r="F23" s="72" t="s">
        <v>718</v>
      </c>
      <c r="G23" s="51" t="s">
        <v>9</v>
      </c>
      <c r="H23" s="51" t="s">
        <v>9</v>
      </c>
      <c r="I23" s="51" t="s">
        <v>9</v>
      </c>
      <c r="J23" s="51" t="s">
        <v>9</v>
      </c>
      <c r="K23" s="51" t="s">
        <v>9</v>
      </c>
      <c r="L23" s="35" t="str">
        <f t="shared" si="4"/>
        <v>De Materialidade</v>
      </c>
      <c r="M23" s="35" t="str">
        <f t="shared" si="4"/>
        <v>Materialidades</v>
      </c>
      <c r="N23" s="35" t="str">
        <f t="shared" si="4"/>
        <v>Materiais</v>
      </c>
      <c r="O23" s="35" t="str">
        <f t="shared" si="4"/>
        <v>Mat Mastique</v>
      </c>
      <c r="P23" s="71" t="s">
        <v>692</v>
      </c>
      <c r="Q23" s="30" t="str">
        <f t="shared" si="3"/>
        <v>Se utiliza como sellador flexible, resistente a la temperatura y la humedad. Se aplica en la unión de conductos y conductos de tubería para evitar fugas de aire.</v>
      </c>
      <c r="R23" s="30" t="s">
        <v>737</v>
      </c>
      <c r="S23" s="30" t="s">
        <v>9</v>
      </c>
      <c r="T23" s="30" t="str">
        <f t="shared" si="5"/>
        <v>De Materialidade</v>
      </c>
      <c r="U23" s="30" t="str">
        <f t="shared" si="5"/>
        <v>Materialidades</v>
      </c>
      <c r="V23" s="30" t="str">
        <f t="shared" si="5"/>
        <v>Materiais</v>
      </c>
      <c r="W23" s="30" t="s">
        <v>209</v>
      </c>
      <c r="X23" s="48" t="str">
        <f t="shared" si="2"/>
        <v>Key-AVAC-23</v>
      </c>
      <c r="Y23" s="30" t="s">
        <v>725</v>
      </c>
      <c r="Z23" s="58" t="s">
        <v>9</v>
      </c>
      <c r="AA23" s="30" t="s">
        <v>652</v>
      </c>
      <c r="AB23" s="58" t="s">
        <v>9</v>
      </c>
      <c r="AC23" s="30" t="s">
        <v>677</v>
      </c>
      <c r="AD23" s="58" t="s">
        <v>9</v>
      </c>
    </row>
    <row r="24" spans="1:30" s="70" customFormat="1" ht="6.9" customHeight="1" x14ac:dyDescent="0.2">
      <c r="A24" s="49">
        <v>24</v>
      </c>
      <c r="B24" s="1" t="s">
        <v>467</v>
      </c>
      <c r="C24" s="1" t="s">
        <v>645</v>
      </c>
      <c r="D24" s="1" t="s">
        <v>646</v>
      </c>
      <c r="E24" s="1" t="s">
        <v>647</v>
      </c>
      <c r="F24" s="72" t="s">
        <v>719</v>
      </c>
      <c r="G24" s="51" t="s">
        <v>9</v>
      </c>
      <c r="H24" s="51" t="s">
        <v>9</v>
      </c>
      <c r="I24" s="51" t="s">
        <v>9</v>
      </c>
      <c r="J24" s="51" t="s">
        <v>9</v>
      </c>
      <c r="K24" s="51" t="s">
        <v>9</v>
      </c>
      <c r="L24" s="35" t="str">
        <f t="shared" si="4"/>
        <v>De Materialidade</v>
      </c>
      <c r="M24" s="35" t="str">
        <f t="shared" si="4"/>
        <v>Materialidades</v>
      </c>
      <c r="N24" s="35" t="str">
        <f t="shared" si="4"/>
        <v>Materiais</v>
      </c>
      <c r="O24" s="35" t="str">
        <f t="shared" si="4"/>
        <v>Mat Plástico ABS</v>
      </c>
      <c r="P24" s="71" t="s">
        <v>694</v>
      </c>
      <c r="Q24" s="30" t="str">
        <f t="shared" si="3"/>
        <v>Se utiliza para la fabricación de rejillas, difusores y salidas de aire exteriores por su durabilidad y facilidad de acabado.</v>
      </c>
      <c r="R24" s="30" t="s">
        <v>738</v>
      </c>
      <c r="S24" s="30" t="s">
        <v>9</v>
      </c>
      <c r="T24" s="30" t="str">
        <f t="shared" si="5"/>
        <v>De Materialidade</v>
      </c>
      <c r="U24" s="30" t="str">
        <f t="shared" si="5"/>
        <v>Materialidades</v>
      </c>
      <c r="V24" s="30" t="str">
        <f t="shared" si="5"/>
        <v>Materiais</v>
      </c>
      <c r="W24" s="30" t="s">
        <v>209</v>
      </c>
      <c r="X24" s="48" t="str">
        <f t="shared" si="2"/>
        <v>Key-AVAC-24</v>
      </c>
      <c r="Y24" s="30" t="s">
        <v>725</v>
      </c>
      <c r="Z24" s="58" t="s">
        <v>9</v>
      </c>
      <c r="AA24" s="30" t="s">
        <v>652</v>
      </c>
      <c r="AB24" s="58" t="s">
        <v>9</v>
      </c>
      <c r="AC24" s="30" t="s">
        <v>677</v>
      </c>
      <c r="AD24" s="58" t="s">
        <v>9</v>
      </c>
    </row>
    <row r="25" spans="1:30" s="70" customFormat="1" ht="6.9" customHeight="1" x14ac:dyDescent="0.2">
      <c r="A25" s="49">
        <v>25</v>
      </c>
      <c r="B25" s="1" t="s">
        <v>467</v>
      </c>
      <c r="C25" s="1" t="s">
        <v>645</v>
      </c>
      <c r="D25" s="1" t="s">
        <v>646</v>
      </c>
      <c r="E25" s="1" t="s">
        <v>647</v>
      </c>
      <c r="F25" s="72" t="s">
        <v>720</v>
      </c>
      <c r="G25" s="51" t="s">
        <v>9</v>
      </c>
      <c r="H25" s="51" t="s">
        <v>9</v>
      </c>
      <c r="I25" s="51" t="s">
        <v>9</v>
      </c>
      <c r="J25" s="51" t="s">
        <v>9</v>
      </c>
      <c r="K25" s="51" t="s">
        <v>9</v>
      </c>
      <c r="L25" s="35" t="str">
        <f t="shared" si="4"/>
        <v>De Materialidade</v>
      </c>
      <c r="M25" s="35" t="str">
        <f t="shared" si="4"/>
        <v>Materialidades</v>
      </c>
      <c r="N25" s="35" t="str">
        <f t="shared" si="4"/>
        <v>Materiais</v>
      </c>
      <c r="O25" s="35" t="str">
        <f t="shared" si="4"/>
        <v>Mat Poliuretano Expandido PU</v>
      </c>
      <c r="P25" s="71" t="s">
        <v>693</v>
      </c>
      <c r="Q25" s="30" t="str">
        <f t="shared" si="3"/>
        <v>Se utiliza en tuberías preaisladas o en relleno de huecos en conjuntos térmicos para evitar el intercambio de calor.</v>
      </c>
      <c r="R25" s="30" t="s">
        <v>739</v>
      </c>
      <c r="S25" s="30" t="s">
        <v>9</v>
      </c>
      <c r="T25" s="30" t="str">
        <f t="shared" si="5"/>
        <v>De Materialidade</v>
      </c>
      <c r="U25" s="30" t="str">
        <f t="shared" si="5"/>
        <v>Materialidades</v>
      </c>
      <c r="V25" s="30" t="str">
        <f t="shared" si="5"/>
        <v>Materiais</v>
      </c>
      <c r="W25" s="30" t="s">
        <v>209</v>
      </c>
      <c r="X25" s="48" t="str">
        <f t="shared" si="2"/>
        <v>Key-AVAC-25</v>
      </c>
      <c r="Y25" s="30" t="s">
        <v>725</v>
      </c>
      <c r="Z25" s="58" t="s">
        <v>9</v>
      </c>
      <c r="AA25" s="30" t="s">
        <v>652</v>
      </c>
      <c r="AB25" s="58" t="s">
        <v>9</v>
      </c>
      <c r="AC25" s="30" t="s">
        <v>677</v>
      </c>
      <c r="AD25" s="58" t="s">
        <v>9</v>
      </c>
    </row>
    <row r="26" spans="1:30" s="70" customFormat="1" ht="6.9" customHeight="1" x14ac:dyDescent="0.2">
      <c r="A26" s="49">
        <v>26</v>
      </c>
      <c r="B26" s="1" t="s">
        <v>467</v>
      </c>
      <c r="C26" s="1" t="s">
        <v>645</v>
      </c>
      <c r="D26" s="1" t="s">
        <v>646</v>
      </c>
      <c r="E26" s="1" t="s">
        <v>647</v>
      </c>
      <c r="F26" s="72" t="s">
        <v>721</v>
      </c>
      <c r="G26" s="51" t="s">
        <v>9</v>
      </c>
      <c r="H26" s="51" t="s">
        <v>9</v>
      </c>
      <c r="I26" s="51" t="s">
        <v>9</v>
      </c>
      <c r="J26" s="51" t="s">
        <v>9</v>
      </c>
      <c r="K26" s="51" t="s">
        <v>9</v>
      </c>
      <c r="L26" s="35" t="str">
        <f t="shared" si="4"/>
        <v>De Materialidade</v>
      </c>
      <c r="M26" s="35" t="str">
        <f t="shared" si="4"/>
        <v>Materialidades</v>
      </c>
      <c r="N26" s="35" t="str">
        <f t="shared" si="4"/>
        <v>Materiais</v>
      </c>
      <c r="O26" s="35" t="str">
        <f t="shared" si="4"/>
        <v>Mat Silicone</v>
      </c>
      <c r="P26" s="71" t="s">
        <v>692</v>
      </c>
      <c r="Q26" s="30" t="str">
        <f t="shared" si="3"/>
        <v>Se utiliza como sellador flexible, resistente a la temperatura y la humedad. Se aplica en la unión de conductos y conductos de tubería para evitar fugas de aire.</v>
      </c>
      <c r="R26" s="30" t="s">
        <v>737</v>
      </c>
      <c r="S26" s="30" t="s">
        <v>9</v>
      </c>
      <c r="T26" s="30" t="str">
        <f t="shared" si="5"/>
        <v>De Materialidade</v>
      </c>
      <c r="U26" s="30" t="str">
        <f t="shared" si="5"/>
        <v>Materialidades</v>
      </c>
      <c r="V26" s="30" t="str">
        <f t="shared" si="5"/>
        <v>Materiais</v>
      </c>
      <c r="W26" s="30" t="s">
        <v>209</v>
      </c>
      <c r="X26" s="48" t="str">
        <f t="shared" si="2"/>
        <v>Key-AVAC-26</v>
      </c>
      <c r="Y26" s="30" t="s">
        <v>725</v>
      </c>
      <c r="Z26" s="58" t="s">
        <v>9</v>
      </c>
      <c r="AA26" s="30" t="s">
        <v>652</v>
      </c>
      <c r="AB26" s="58" t="s">
        <v>9</v>
      </c>
      <c r="AC26" s="30" t="s">
        <v>677</v>
      </c>
      <c r="AD26" s="58" t="s">
        <v>9</v>
      </c>
    </row>
    <row r="27" spans="1:30" s="70" customFormat="1" ht="6.9" customHeight="1" x14ac:dyDescent="0.2">
      <c r="A27" s="49">
        <v>27</v>
      </c>
      <c r="B27" s="1" t="s">
        <v>467</v>
      </c>
      <c r="C27" s="1" t="s">
        <v>645</v>
      </c>
      <c r="D27" s="1" t="s">
        <v>646</v>
      </c>
      <c r="E27" s="1" t="s">
        <v>647</v>
      </c>
      <c r="F27" s="72" t="s">
        <v>722</v>
      </c>
      <c r="G27" s="51" t="s">
        <v>9</v>
      </c>
      <c r="H27" s="51" t="s">
        <v>9</v>
      </c>
      <c r="I27" s="51" t="s">
        <v>9</v>
      </c>
      <c r="J27" s="51" t="s">
        <v>9</v>
      </c>
      <c r="K27" s="51" t="s">
        <v>9</v>
      </c>
      <c r="L27" s="35" t="str">
        <f t="shared" si="4"/>
        <v>De Materialidade</v>
      </c>
      <c r="M27" s="35" t="str">
        <f t="shared" si="4"/>
        <v>Materialidades</v>
      </c>
      <c r="N27" s="35" t="str">
        <f t="shared" si="4"/>
        <v>Materiais</v>
      </c>
      <c r="O27" s="35" t="str">
        <f t="shared" si="4"/>
        <v>Mat Termoplástico PEX</v>
      </c>
      <c r="P27" s="71" t="s">
        <v>691</v>
      </c>
      <c r="Q27" s="30" t="str">
        <f t="shared" si="3"/>
        <v>Se utiliza para conducir agua fría o caliente y en tuberías de drenaje de condensados, ya que son inmunes a la corrosión y previenen incrustaciones internas.</v>
      </c>
      <c r="R27" s="30" t="s">
        <v>740</v>
      </c>
      <c r="S27" s="30" t="s">
        <v>9</v>
      </c>
      <c r="T27" s="30" t="str">
        <f t="shared" si="5"/>
        <v>De Materialidade</v>
      </c>
      <c r="U27" s="30" t="str">
        <f t="shared" si="5"/>
        <v>Materialidades</v>
      </c>
      <c r="V27" s="30" t="str">
        <f t="shared" si="5"/>
        <v>Materiais</v>
      </c>
      <c r="W27" s="30" t="s">
        <v>209</v>
      </c>
      <c r="X27" s="48" t="str">
        <f t="shared" si="2"/>
        <v>Key-AVAC-27</v>
      </c>
      <c r="Y27" s="30" t="s">
        <v>725</v>
      </c>
      <c r="Z27" s="58" t="s">
        <v>9</v>
      </c>
      <c r="AA27" s="30" t="s">
        <v>652</v>
      </c>
      <c r="AB27" s="58" t="s">
        <v>9</v>
      </c>
      <c r="AC27" s="30" t="s">
        <v>677</v>
      </c>
      <c r="AD27" s="58" t="s">
        <v>9</v>
      </c>
    </row>
    <row r="28" spans="1:30" s="70" customFormat="1" ht="6.9" customHeight="1" x14ac:dyDescent="0.2">
      <c r="A28" s="49">
        <v>28</v>
      </c>
      <c r="B28" s="1" t="s">
        <v>467</v>
      </c>
      <c r="C28" s="1" t="s">
        <v>645</v>
      </c>
      <c r="D28" s="1" t="s">
        <v>646</v>
      </c>
      <c r="E28" s="1" t="s">
        <v>647</v>
      </c>
      <c r="F28" s="72" t="s">
        <v>723</v>
      </c>
      <c r="G28" s="51" t="s">
        <v>9</v>
      </c>
      <c r="H28" s="51" t="s">
        <v>9</v>
      </c>
      <c r="I28" s="51" t="s">
        <v>9</v>
      </c>
      <c r="J28" s="51" t="s">
        <v>9</v>
      </c>
      <c r="K28" s="51" t="s">
        <v>9</v>
      </c>
      <c r="L28" s="35" t="str">
        <f t="shared" si="4"/>
        <v>De Materialidade</v>
      </c>
      <c r="M28" s="35" t="str">
        <f t="shared" si="4"/>
        <v>Materialidades</v>
      </c>
      <c r="N28" s="35" t="str">
        <f t="shared" si="4"/>
        <v>Materiais</v>
      </c>
      <c r="O28" s="35" t="str">
        <f t="shared" si="4"/>
        <v>Mat Termoplástico PPR</v>
      </c>
      <c r="P28" s="71" t="s">
        <v>691</v>
      </c>
      <c r="Q28" s="30" t="str">
        <f t="shared" si="3"/>
        <v>Se utiliza para conducir agua fría o caliente y en tuberías de drenaje de condensados, ya que son inmunes a la corrosión y previenen incrustaciones internas.</v>
      </c>
      <c r="R28" s="30" t="s">
        <v>740</v>
      </c>
      <c r="S28" s="30" t="s">
        <v>9</v>
      </c>
      <c r="T28" s="30" t="str">
        <f t="shared" si="5"/>
        <v>De Materialidade</v>
      </c>
      <c r="U28" s="30" t="str">
        <f t="shared" si="5"/>
        <v>Materialidades</v>
      </c>
      <c r="V28" s="30" t="str">
        <f t="shared" si="5"/>
        <v>Materiais</v>
      </c>
      <c r="W28" s="30" t="s">
        <v>209</v>
      </c>
      <c r="X28" s="48" t="str">
        <f t="shared" si="2"/>
        <v>Key-AVAC-28</v>
      </c>
      <c r="Y28" s="30" t="s">
        <v>725</v>
      </c>
      <c r="Z28" s="58" t="s">
        <v>9</v>
      </c>
      <c r="AA28" s="30" t="s">
        <v>652</v>
      </c>
      <c r="AB28" s="58" t="s">
        <v>9</v>
      </c>
      <c r="AC28" s="30" t="s">
        <v>677</v>
      </c>
      <c r="AD28" s="58" t="s">
        <v>9</v>
      </c>
    </row>
    <row r="29" spans="1:30" ht="6.65" customHeight="1" x14ac:dyDescent="0.4">
      <c r="A29" s="49">
        <v>29</v>
      </c>
      <c r="B29" s="1" t="s">
        <v>467</v>
      </c>
      <c r="C29" s="1" t="s">
        <v>563</v>
      </c>
      <c r="D29" s="46" t="s">
        <v>564</v>
      </c>
      <c r="E29" s="46" t="s">
        <v>568</v>
      </c>
      <c r="F29" s="46" t="s">
        <v>445</v>
      </c>
      <c r="G29" s="51" t="s">
        <v>9</v>
      </c>
      <c r="H29" s="51" t="s">
        <v>9</v>
      </c>
      <c r="I29" s="51" t="s">
        <v>9</v>
      </c>
      <c r="J29" s="51" t="s">
        <v>9</v>
      </c>
      <c r="K29" s="51" t="s">
        <v>9</v>
      </c>
      <c r="L29" s="35" t="str">
        <f t="shared" ref="L29:M39" si="6">CONCATENATE("", C29)</f>
        <v>De.AVAC</v>
      </c>
      <c r="M29" s="35" t="str">
        <f t="shared" si="6"/>
        <v>Sistemas.Elétricos.de.Avac</v>
      </c>
      <c r="N29" s="35" t="str">
        <f t="shared" ref="N29:N39" si="7">(SUBSTITUTE(SUBSTITUTE(CONCATENATE("",E29),"."," ")," De "," de "))</f>
        <v>Elétrica de Avac</v>
      </c>
      <c r="O29" s="30" t="str">
        <f t="shared" ref="O29:O31" si="8">IF(ISNUMBER(FIND("Ifc",F29)),CONCATENATE("Classe IFC:   ",F29),CONCATENATE("",F29))</f>
        <v>Circuito.Elétrico.de.Ar.Condicionado</v>
      </c>
      <c r="P29" s="47" t="s">
        <v>268</v>
      </c>
      <c r="Q29" s="47" t="s">
        <v>271</v>
      </c>
      <c r="R29" s="30" t="s">
        <v>471</v>
      </c>
      <c r="S29" s="30" t="s">
        <v>9</v>
      </c>
      <c r="T29" s="30" t="str">
        <f t="shared" ref="T29:V44" si="9">SUBSTITUTE(C29, "_", " ")</f>
        <v>De.AVAC</v>
      </c>
      <c r="U29" s="30" t="str">
        <f t="shared" si="9"/>
        <v>Sistemas.Elétricos.de.Avac</v>
      </c>
      <c r="V29" s="30" t="str">
        <f t="shared" si="9"/>
        <v>Elétrica.de.Avac</v>
      </c>
      <c r="W29" s="30" t="s">
        <v>209</v>
      </c>
      <c r="X29" s="48" t="str">
        <f t="shared" ref="X29:X88" si="10">CONCATENATE("Key-AVAC-",A29)</f>
        <v>Key-AVAC-29</v>
      </c>
      <c r="Y29" s="29" t="s">
        <v>265</v>
      </c>
      <c r="Z29" s="58" t="s">
        <v>9</v>
      </c>
      <c r="AA29" s="29" t="s">
        <v>254</v>
      </c>
      <c r="AB29" s="58" t="s">
        <v>9</v>
      </c>
      <c r="AC29" s="30" t="s">
        <v>266</v>
      </c>
      <c r="AD29" s="58" t="s">
        <v>9</v>
      </c>
    </row>
    <row r="30" spans="1:30" ht="6.65" customHeight="1" x14ac:dyDescent="0.4">
      <c r="A30" s="49">
        <v>30</v>
      </c>
      <c r="B30" s="1" t="s">
        <v>467</v>
      </c>
      <c r="C30" s="1" t="s">
        <v>563</v>
      </c>
      <c r="D30" s="46" t="s">
        <v>564</v>
      </c>
      <c r="E30" s="46" t="s">
        <v>568</v>
      </c>
      <c r="F30" s="46" t="s">
        <v>446</v>
      </c>
      <c r="G30" s="51" t="s">
        <v>9</v>
      </c>
      <c r="H30" s="51" t="s">
        <v>9</v>
      </c>
      <c r="I30" s="51" t="s">
        <v>9</v>
      </c>
      <c r="J30" s="51" t="s">
        <v>9</v>
      </c>
      <c r="K30" s="51" t="s">
        <v>9</v>
      </c>
      <c r="L30" s="35" t="str">
        <f t="shared" si="6"/>
        <v>De.AVAC</v>
      </c>
      <c r="M30" s="35" t="str">
        <f t="shared" si="6"/>
        <v>Sistemas.Elétricos.de.Avac</v>
      </c>
      <c r="N30" s="35" t="str">
        <f t="shared" si="7"/>
        <v>Elétrica de Avac</v>
      </c>
      <c r="O30" s="30" t="str">
        <f t="shared" si="8"/>
        <v>Circuito.Elétrico.de.Aquecimento</v>
      </c>
      <c r="P30" s="47" t="s">
        <v>269</v>
      </c>
      <c r="Q30" s="47" t="s">
        <v>272</v>
      </c>
      <c r="R30" s="30" t="s">
        <v>472</v>
      </c>
      <c r="S30" s="30" t="s">
        <v>9</v>
      </c>
      <c r="T30" s="30" t="str">
        <f t="shared" si="9"/>
        <v>De.AVAC</v>
      </c>
      <c r="U30" s="30" t="str">
        <f t="shared" si="9"/>
        <v>Sistemas.Elétricos.de.Avac</v>
      </c>
      <c r="V30" s="30" t="str">
        <f t="shared" si="9"/>
        <v>Elétrica.de.Avac</v>
      </c>
      <c r="W30" s="30" t="s">
        <v>209</v>
      </c>
      <c r="X30" s="48" t="str">
        <f t="shared" si="10"/>
        <v>Key-AVAC-30</v>
      </c>
      <c r="Y30" s="29" t="s">
        <v>265</v>
      </c>
      <c r="Z30" s="58" t="s">
        <v>9</v>
      </c>
      <c r="AA30" s="29" t="s">
        <v>259</v>
      </c>
      <c r="AB30" s="58" t="s">
        <v>9</v>
      </c>
      <c r="AC30" s="30" t="s">
        <v>266</v>
      </c>
      <c r="AD30" s="58" t="s">
        <v>9</v>
      </c>
    </row>
    <row r="31" spans="1:30" ht="6.65" customHeight="1" x14ac:dyDescent="0.4">
      <c r="A31" s="49">
        <v>31</v>
      </c>
      <c r="B31" s="1" t="s">
        <v>467</v>
      </c>
      <c r="C31" s="1" t="s">
        <v>563</v>
      </c>
      <c r="D31" s="46" t="s">
        <v>564</v>
      </c>
      <c r="E31" s="46" t="s">
        <v>568</v>
      </c>
      <c r="F31" s="46" t="s">
        <v>447</v>
      </c>
      <c r="G31" s="51" t="s">
        <v>9</v>
      </c>
      <c r="H31" s="51" t="s">
        <v>9</v>
      </c>
      <c r="I31" s="51" t="s">
        <v>9</v>
      </c>
      <c r="J31" s="51" t="s">
        <v>9</v>
      </c>
      <c r="K31" s="51" t="s">
        <v>9</v>
      </c>
      <c r="L31" s="35" t="str">
        <f t="shared" si="6"/>
        <v>De.AVAC</v>
      </c>
      <c r="M31" s="35" t="str">
        <f t="shared" si="6"/>
        <v>Sistemas.Elétricos.de.Avac</v>
      </c>
      <c r="N31" s="35" t="str">
        <f t="shared" si="7"/>
        <v>Elétrica de Avac</v>
      </c>
      <c r="O31" s="30" t="str">
        <f t="shared" si="8"/>
        <v>Circuito.Elétrico.de.Exaustão</v>
      </c>
      <c r="P31" s="47" t="s">
        <v>270</v>
      </c>
      <c r="Q31" s="47" t="s">
        <v>273</v>
      </c>
      <c r="R31" s="30" t="s">
        <v>473</v>
      </c>
      <c r="S31" s="30" t="s">
        <v>9</v>
      </c>
      <c r="T31" s="30" t="str">
        <f t="shared" si="9"/>
        <v>De.AVAC</v>
      </c>
      <c r="U31" s="30" t="str">
        <f t="shared" si="9"/>
        <v>Sistemas.Elétricos.de.Avac</v>
      </c>
      <c r="V31" s="30" t="str">
        <f t="shared" si="9"/>
        <v>Elétrica.de.Avac</v>
      </c>
      <c r="W31" s="30" t="s">
        <v>209</v>
      </c>
      <c r="X31" s="48" t="str">
        <f t="shared" si="10"/>
        <v>Key-AVAC-31</v>
      </c>
      <c r="Y31" s="29" t="s">
        <v>265</v>
      </c>
      <c r="Z31" s="58" t="s">
        <v>9</v>
      </c>
      <c r="AA31" s="29" t="s">
        <v>258</v>
      </c>
      <c r="AB31" s="58" t="s">
        <v>9</v>
      </c>
      <c r="AC31" s="30" t="s">
        <v>266</v>
      </c>
      <c r="AD31" s="58" t="s">
        <v>9</v>
      </c>
    </row>
    <row r="32" spans="1:30" ht="6.65" customHeight="1" x14ac:dyDescent="0.4">
      <c r="A32" s="49">
        <v>32</v>
      </c>
      <c r="B32" s="1" t="s">
        <v>467</v>
      </c>
      <c r="C32" s="1" t="s">
        <v>563</v>
      </c>
      <c r="D32" s="46" t="s">
        <v>565</v>
      </c>
      <c r="E32" s="1" t="s">
        <v>567</v>
      </c>
      <c r="F32" s="34" t="s">
        <v>175</v>
      </c>
      <c r="G32" s="51" t="s">
        <v>9</v>
      </c>
      <c r="H32" s="51" t="s">
        <v>9</v>
      </c>
      <c r="I32" s="51" t="s">
        <v>9</v>
      </c>
      <c r="J32" s="51" t="s">
        <v>9</v>
      </c>
      <c r="K32" s="51" t="s">
        <v>9</v>
      </c>
      <c r="L32" s="35" t="str">
        <f t="shared" si="6"/>
        <v>De.AVAC</v>
      </c>
      <c r="M32" s="35" t="str">
        <f t="shared" si="6"/>
        <v>Sistemas.de.Avac</v>
      </c>
      <c r="N32" s="35" t="str">
        <f t="shared" si="7"/>
        <v>Sistema Avac</v>
      </c>
      <c r="O32" s="30" t="str">
        <f t="shared" ref="O32:O76" si="11">IF(ISNUMBER(FIND("Ifc",F32)),CONCATENATE("",F32),CONCATENATE("",F32))</f>
        <v>Ar.Condicionado</v>
      </c>
      <c r="P32" s="30" t="s">
        <v>101</v>
      </c>
      <c r="Q32" s="30" t="s">
        <v>148</v>
      </c>
      <c r="R32" s="30" t="s">
        <v>474</v>
      </c>
      <c r="S32" s="30" t="s">
        <v>9</v>
      </c>
      <c r="T32" s="30" t="str">
        <f t="shared" si="9"/>
        <v>De.AVAC</v>
      </c>
      <c r="U32" s="30" t="str">
        <f t="shared" si="9"/>
        <v>Sistemas.de.Avac</v>
      </c>
      <c r="V32" s="30" t="str">
        <f t="shared" si="9"/>
        <v>Sistema.Avac</v>
      </c>
      <c r="W32" s="30" t="s">
        <v>209</v>
      </c>
      <c r="X32" s="48" t="str">
        <f t="shared" si="10"/>
        <v>Key-AVAC-32</v>
      </c>
      <c r="Y32" s="30" t="s">
        <v>253</v>
      </c>
      <c r="Z32" s="58" t="s">
        <v>9</v>
      </c>
      <c r="AA32" s="29" t="s">
        <v>254</v>
      </c>
      <c r="AB32" s="58" t="s">
        <v>9</v>
      </c>
      <c r="AC32" s="30" t="s">
        <v>264</v>
      </c>
      <c r="AD32" s="58" t="s">
        <v>9</v>
      </c>
    </row>
    <row r="33" spans="1:30" ht="6.65" customHeight="1" x14ac:dyDescent="0.4">
      <c r="A33" s="49">
        <v>33</v>
      </c>
      <c r="B33" s="1" t="s">
        <v>467</v>
      </c>
      <c r="C33" s="1" t="s">
        <v>563</v>
      </c>
      <c r="D33" s="46" t="s">
        <v>565</v>
      </c>
      <c r="E33" s="1" t="s">
        <v>567</v>
      </c>
      <c r="F33" s="34" t="s">
        <v>118</v>
      </c>
      <c r="G33" s="51" t="s">
        <v>9</v>
      </c>
      <c r="H33" s="51" t="s">
        <v>9</v>
      </c>
      <c r="I33" s="51" t="s">
        <v>9</v>
      </c>
      <c r="J33" s="51" t="s">
        <v>9</v>
      </c>
      <c r="K33" s="51" t="s">
        <v>9</v>
      </c>
      <c r="L33" s="35" t="str">
        <f t="shared" si="6"/>
        <v>De.AVAC</v>
      </c>
      <c r="M33" s="35" t="str">
        <f t="shared" si="6"/>
        <v>Sistemas.de.Avac</v>
      </c>
      <c r="N33" s="35" t="str">
        <f t="shared" si="7"/>
        <v>Sistema Avac</v>
      </c>
      <c r="O33" s="30" t="str">
        <f t="shared" si="11"/>
        <v>Água.Gelada</v>
      </c>
      <c r="P33" s="30" t="s">
        <v>102</v>
      </c>
      <c r="Q33" s="30" t="s">
        <v>149</v>
      </c>
      <c r="R33" s="30" t="s">
        <v>475</v>
      </c>
      <c r="S33" s="30" t="s">
        <v>9</v>
      </c>
      <c r="T33" s="30" t="str">
        <f t="shared" si="9"/>
        <v>De.AVAC</v>
      </c>
      <c r="U33" s="30" t="str">
        <f t="shared" si="9"/>
        <v>Sistemas.de.Avac</v>
      </c>
      <c r="V33" s="30" t="str">
        <f t="shared" si="9"/>
        <v>Sistema.Avac</v>
      </c>
      <c r="W33" s="30" t="s">
        <v>209</v>
      </c>
      <c r="X33" s="48" t="str">
        <f t="shared" si="10"/>
        <v>Key-AVAC-33</v>
      </c>
      <c r="Y33" s="30" t="s">
        <v>253</v>
      </c>
      <c r="Z33" s="58" t="s">
        <v>9</v>
      </c>
      <c r="AA33" s="29" t="s">
        <v>255</v>
      </c>
      <c r="AB33" s="58" t="s">
        <v>9</v>
      </c>
      <c r="AC33" s="30" t="s">
        <v>264</v>
      </c>
      <c r="AD33" s="58" t="s">
        <v>9</v>
      </c>
    </row>
    <row r="34" spans="1:30" ht="6.65" customHeight="1" x14ac:dyDescent="0.4">
      <c r="A34" s="49">
        <v>34</v>
      </c>
      <c r="B34" s="1" t="s">
        <v>467</v>
      </c>
      <c r="C34" s="1" t="s">
        <v>563</v>
      </c>
      <c r="D34" s="46" t="s">
        <v>565</v>
      </c>
      <c r="E34" s="1" t="s">
        <v>567</v>
      </c>
      <c r="F34" s="34" t="s">
        <v>437</v>
      </c>
      <c r="G34" s="51" t="s">
        <v>9</v>
      </c>
      <c r="H34" s="51" t="s">
        <v>9</v>
      </c>
      <c r="I34" s="51" t="s">
        <v>9</v>
      </c>
      <c r="J34" s="51" t="s">
        <v>9</v>
      </c>
      <c r="K34" s="51" t="s">
        <v>9</v>
      </c>
      <c r="L34" s="35" t="str">
        <f t="shared" si="6"/>
        <v>De.AVAC</v>
      </c>
      <c r="M34" s="35" t="str">
        <f t="shared" si="6"/>
        <v>Sistemas.de.Avac</v>
      </c>
      <c r="N34" s="35" t="str">
        <f t="shared" si="7"/>
        <v>Sistema Avac</v>
      </c>
      <c r="O34" s="30" t="str">
        <f t="shared" si="11"/>
        <v>Água.Condensador</v>
      </c>
      <c r="P34" s="30" t="s">
        <v>104</v>
      </c>
      <c r="Q34" s="30" t="s">
        <v>151</v>
      </c>
      <c r="R34" s="30" t="s">
        <v>476</v>
      </c>
      <c r="S34" s="30" t="s">
        <v>9</v>
      </c>
      <c r="T34" s="30" t="str">
        <f t="shared" si="9"/>
        <v>De.AVAC</v>
      </c>
      <c r="U34" s="30" t="str">
        <f t="shared" si="9"/>
        <v>Sistemas.de.Avac</v>
      </c>
      <c r="V34" s="30" t="str">
        <f t="shared" si="9"/>
        <v>Sistema.Avac</v>
      </c>
      <c r="W34" s="30" t="s">
        <v>209</v>
      </c>
      <c r="X34" s="48" t="str">
        <f t="shared" si="10"/>
        <v>Key-AVAC-34</v>
      </c>
      <c r="Y34" s="30" t="s">
        <v>253</v>
      </c>
      <c r="Z34" s="58" t="s">
        <v>9</v>
      </c>
      <c r="AA34" s="29" t="s">
        <v>257</v>
      </c>
      <c r="AB34" s="58" t="s">
        <v>9</v>
      </c>
      <c r="AC34" s="30" t="s">
        <v>264</v>
      </c>
      <c r="AD34" s="58" t="s">
        <v>9</v>
      </c>
    </row>
    <row r="35" spans="1:30" ht="6.65" customHeight="1" x14ac:dyDescent="0.4">
      <c r="A35" s="49">
        <v>35</v>
      </c>
      <c r="B35" s="1" t="s">
        <v>467</v>
      </c>
      <c r="C35" s="1" t="s">
        <v>563</v>
      </c>
      <c r="D35" s="46" t="s">
        <v>565</v>
      </c>
      <c r="E35" s="1" t="s">
        <v>567</v>
      </c>
      <c r="F35" s="34" t="s">
        <v>179</v>
      </c>
      <c r="G35" s="51" t="s">
        <v>9</v>
      </c>
      <c r="H35" s="51" t="s">
        <v>9</v>
      </c>
      <c r="I35" s="51" t="s">
        <v>9</v>
      </c>
      <c r="J35" s="51" t="s">
        <v>9</v>
      </c>
      <c r="K35" s="51" t="s">
        <v>9</v>
      </c>
      <c r="L35" s="35" t="str">
        <f t="shared" si="6"/>
        <v>De.AVAC</v>
      </c>
      <c r="M35" s="35" t="str">
        <f t="shared" si="6"/>
        <v>Sistemas.de.Avac</v>
      </c>
      <c r="N35" s="35" t="str">
        <f t="shared" si="7"/>
        <v>Sistema Avac</v>
      </c>
      <c r="O35" s="30" t="str">
        <f t="shared" si="11"/>
        <v>Ar.Comprimido</v>
      </c>
      <c r="P35" s="30" t="s">
        <v>103</v>
      </c>
      <c r="Q35" s="30" t="s">
        <v>150</v>
      </c>
      <c r="R35" s="30" t="s">
        <v>477</v>
      </c>
      <c r="S35" s="30" t="s">
        <v>9</v>
      </c>
      <c r="T35" s="30" t="str">
        <f t="shared" si="9"/>
        <v>De.AVAC</v>
      </c>
      <c r="U35" s="30" t="str">
        <f t="shared" si="9"/>
        <v>Sistemas.de.Avac</v>
      </c>
      <c r="V35" s="30" t="str">
        <f t="shared" si="9"/>
        <v>Sistema.Avac</v>
      </c>
      <c r="W35" s="30" t="s">
        <v>209</v>
      </c>
      <c r="X35" s="48" t="str">
        <f t="shared" si="10"/>
        <v>Key-AVAC-35</v>
      </c>
      <c r="Y35" s="30" t="s">
        <v>253</v>
      </c>
      <c r="Z35" s="58" t="s">
        <v>9</v>
      </c>
      <c r="AA35" s="29" t="s">
        <v>256</v>
      </c>
      <c r="AB35" s="58" t="s">
        <v>9</v>
      </c>
      <c r="AC35" s="30" t="s">
        <v>264</v>
      </c>
      <c r="AD35" s="58" t="s">
        <v>9</v>
      </c>
    </row>
    <row r="36" spans="1:30" ht="6.65" customHeight="1" x14ac:dyDescent="0.4">
      <c r="A36" s="49">
        <v>36</v>
      </c>
      <c r="B36" s="1" t="s">
        <v>467</v>
      </c>
      <c r="C36" s="1" t="s">
        <v>563</v>
      </c>
      <c r="D36" s="46" t="s">
        <v>565</v>
      </c>
      <c r="E36" s="1" t="s">
        <v>567</v>
      </c>
      <c r="F36" s="34" t="s">
        <v>180</v>
      </c>
      <c r="G36" s="51" t="s">
        <v>9</v>
      </c>
      <c r="H36" s="51" t="s">
        <v>9</v>
      </c>
      <c r="I36" s="51" t="s">
        <v>9</v>
      </c>
      <c r="J36" s="51" t="s">
        <v>9</v>
      </c>
      <c r="K36" s="51" t="s">
        <v>9</v>
      </c>
      <c r="L36" s="35" t="str">
        <f t="shared" si="6"/>
        <v>De.AVAC</v>
      </c>
      <c r="M36" s="35" t="str">
        <f t="shared" si="6"/>
        <v>Sistemas.de.Avac</v>
      </c>
      <c r="N36" s="35" t="str">
        <f t="shared" si="7"/>
        <v>Sistema Avac</v>
      </c>
      <c r="O36" s="30" t="str">
        <f t="shared" si="11"/>
        <v>Exaustão</v>
      </c>
      <c r="P36" s="30" t="s">
        <v>105</v>
      </c>
      <c r="Q36" s="30" t="s">
        <v>152</v>
      </c>
      <c r="R36" s="30" t="s">
        <v>478</v>
      </c>
      <c r="S36" s="30" t="s">
        <v>9</v>
      </c>
      <c r="T36" s="30" t="str">
        <f t="shared" si="9"/>
        <v>De.AVAC</v>
      </c>
      <c r="U36" s="30" t="str">
        <f t="shared" si="9"/>
        <v>Sistemas.de.Avac</v>
      </c>
      <c r="V36" s="30" t="str">
        <f t="shared" si="9"/>
        <v>Sistema.Avac</v>
      </c>
      <c r="W36" s="30" t="s">
        <v>209</v>
      </c>
      <c r="X36" s="48" t="str">
        <f t="shared" si="10"/>
        <v>Key-AVAC-36</v>
      </c>
      <c r="Y36" s="30" t="s">
        <v>253</v>
      </c>
      <c r="Z36" s="58" t="s">
        <v>9</v>
      </c>
      <c r="AA36" s="29" t="s">
        <v>258</v>
      </c>
      <c r="AB36" s="58" t="s">
        <v>9</v>
      </c>
      <c r="AC36" s="30" t="s">
        <v>264</v>
      </c>
      <c r="AD36" s="58" t="s">
        <v>9</v>
      </c>
    </row>
    <row r="37" spans="1:30" ht="6.65" customHeight="1" x14ac:dyDescent="0.4">
      <c r="A37" s="49">
        <v>37</v>
      </c>
      <c r="B37" s="1" t="s">
        <v>467</v>
      </c>
      <c r="C37" s="1" t="s">
        <v>563</v>
      </c>
      <c r="D37" s="46" t="s">
        <v>565</v>
      </c>
      <c r="E37" s="1" t="s">
        <v>567</v>
      </c>
      <c r="F37" s="34" t="s">
        <v>176</v>
      </c>
      <c r="G37" s="51" t="s">
        <v>9</v>
      </c>
      <c r="H37" s="51" t="s">
        <v>9</v>
      </c>
      <c r="I37" s="51" t="s">
        <v>9</v>
      </c>
      <c r="J37" s="51" t="s">
        <v>9</v>
      </c>
      <c r="K37" s="51" t="s">
        <v>9</v>
      </c>
      <c r="L37" s="35" t="str">
        <f t="shared" si="6"/>
        <v>De.AVAC</v>
      </c>
      <c r="M37" s="35" t="str">
        <f t="shared" si="6"/>
        <v>Sistemas.de.Avac</v>
      </c>
      <c r="N37" s="35" t="str">
        <f t="shared" si="7"/>
        <v>Sistema Avac</v>
      </c>
      <c r="O37" s="30" t="str">
        <f t="shared" si="11"/>
        <v>Aquecimento</v>
      </c>
      <c r="P37" s="30" t="s">
        <v>106</v>
      </c>
      <c r="Q37" s="30" t="s">
        <v>153</v>
      </c>
      <c r="R37" s="30" t="s">
        <v>479</v>
      </c>
      <c r="S37" s="30" t="s">
        <v>9</v>
      </c>
      <c r="T37" s="30" t="str">
        <f t="shared" si="9"/>
        <v>De.AVAC</v>
      </c>
      <c r="U37" s="30" t="str">
        <f t="shared" si="9"/>
        <v>Sistemas.de.Avac</v>
      </c>
      <c r="V37" s="30" t="str">
        <f t="shared" si="9"/>
        <v>Sistema.Avac</v>
      </c>
      <c r="W37" s="30" t="s">
        <v>209</v>
      </c>
      <c r="X37" s="48" t="str">
        <f t="shared" si="10"/>
        <v>Key-AVAC-37</v>
      </c>
      <c r="Y37" s="30" t="s">
        <v>253</v>
      </c>
      <c r="Z37" s="58" t="s">
        <v>9</v>
      </c>
      <c r="AA37" s="29" t="s">
        <v>259</v>
      </c>
      <c r="AB37" s="58" t="s">
        <v>9</v>
      </c>
      <c r="AC37" s="30" t="s">
        <v>264</v>
      </c>
      <c r="AD37" s="58" t="s">
        <v>9</v>
      </c>
    </row>
    <row r="38" spans="1:30" ht="6.65" customHeight="1" x14ac:dyDescent="0.4">
      <c r="A38" s="49">
        <v>38</v>
      </c>
      <c r="B38" s="1" t="s">
        <v>467</v>
      </c>
      <c r="C38" s="1" t="s">
        <v>563</v>
      </c>
      <c r="D38" s="46" t="s">
        <v>565</v>
      </c>
      <c r="E38" s="1" t="s">
        <v>567</v>
      </c>
      <c r="F38" s="34" t="s">
        <v>171</v>
      </c>
      <c r="G38" s="51" t="s">
        <v>9</v>
      </c>
      <c r="H38" s="51" t="s">
        <v>9</v>
      </c>
      <c r="I38" s="51" t="s">
        <v>9</v>
      </c>
      <c r="J38" s="51" t="s">
        <v>9</v>
      </c>
      <c r="K38" s="51" t="s">
        <v>9</v>
      </c>
      <c r="L38" s="35" t="str">
        <f t="shared" si="6"/>
        <v>De.AVAC</v>
      </c>
      <c r="M38" s="35" t="str">
        <f t="shared" si="6"/>
        <v>Sistemas.de.Avac</v>
      </c>
      <c r="N38" s="35" t="str">
        <f t="shared" si="7"/>
        <v>Sistema Avac</v>
      </c>
      <c r="O38" s="30" t="str">
        <f t="shared" si="11"/>
        <v>Ventilação</v>
      </c>
      <c r="P38" s="30" t="s">
        <v>109</v>
      </c>
      <c r="Q38" s="30" t="s">
        <v>156</v>
      </c>
      <c r="R38" s="30" t="s">
        <v>480</v>
      </c>
      <c r="S38" s="30" t="s">
        <v>9</v>
      </c>
      <c r="T38" s="30" t="str">
        <f t="shared" si="9"/>
        <v>De.AVAC</v>
      </c>
      <c r="U38" s="30" t="str">
        <f t="shared" si="9"/>
        <v>Sistemas.de.Avac</v>
      </c>
      <c r="V38" s="30" t="str">
        <f t="shared" si="9"/>
        <v>Sistema.Avac</v>
      </c>
      <c r="W38" s="30" t="s">
        <v>209</v>
      </c>
      <c r="X38" s="48" t="str">
        <f t="shared" si="10"/>
        <v>Key-AVAC-38</v>
      </c>
      <c r="Y38" s="30" t="s">
        <v>253</v>
      </c>
      <c r="Z38" s="58" t="s">
        <v>9</v>
      </c>
      <c r="AA38" s="29" t="s">
        <v>263</v>
      </c>
      <c r="AB38" s="58" t="s">
        <v>9</v>
      </c>
      <c r="AC38" s="30" t="s">
        <v>264</v>
      </c>
      <c r="AD38" s="58" t="s">
        <v>9</v>
      </c>
    </row>
    <row r="39" spans="1:30" ht="6.65" customHeight="1" x14ac:dyDescent="0.4">
      <c r="A39" s="49">
        <v>39</v>
      </c>
      <c r="B39" s="1" t="s">
        <v>467</v>
      </c>
      <c r="C39" s="1" t="s">
        <v>563</v>
      </c>
      <c r="D39" s="46" t="s">
        <v>565</v>
      </c>
      <c r="E39" s="1" t="s">
        <v>567</v>
      </c>
      <c r="F39" s="34" t="s">
        <v>177</v>
      </c>
      <c r="G39" s="51" t="s">
        <v>9</v>
      </c>
      <c r="H39" s="51" t="s">
        <v>9</v>
      </c>
      <c r="I39" s="51" t="s">
        <v>9</v>
      </c>
      <c r="J39" s="51" t="s">
        <v>9</v>
      </c>
      <c r="K39" s="51" t="s">
        <v>9</v>
      </c>
      <c r="L39" s="35" t="str">
        <f t="shared" si="6"/>
        <v>De.AVAC</v>
      </c>
      <c r="M39" s="35" t="str">
        <f t="shared" si="6"/>
        <v>Sistemas.de.Avac</v>
      </c>
      <c r="N39" s="35" t="str">
        <f t="shared" si="7"/>
        <v>Sistema Avac</v>
      </c>
      <c r="O39" s="30" t="str">
        <f t="shared" si="11"/>
        <v>Refrigeração</v>
      </c>
      <c r="P39" s="30" t="s">
        <v>107</v>
      </c>
      <c r="Q39" s="30" t="s">
        <v>154</v>
      </c>
      <c r="R39" s="30" t="s">
        <v>481</v>
      </c>
      <c r="S39" s="30" t="s">
        <v>9</v>
      </c>
      <c r="T39" s="30" t="str">
        <f t="shared" si="9"/>
        <v>De.AVAC</v>
      </c>
      <c r="U39" s="30" t="str">
        <f t="shared" si="9"/>
        <v>Sistemas.de.Avac</v>
      </c>
      <c r="V39" s="30" t="str">
        <f t="shared" si="9"/>
        <v>Sistema.Avac</v>
      </c>
      <c r="W39" s="30" t="s">
        <v>209</v>
      </c>
      <c r="X39" s="48" t="str">
        <f t="shared" si="10"/>
        <v>Key-AVAC-39</v>
      </c>
      <c r="Y39" s="30" t="s">
        <v>253</v>
      </c>
      <c r="Z39" s="58" t="s">
        <v>9</v>
      </c>
      <c r="AA39" s="29" t="s">
        <v>260</v>
      </c>
      <c r="AB39" s="58" t="s">
        <v>9</v>
      </c>
      <c r="AC39" s="30" t="s">
        <v>264</v>
      </c>
      <c r="AD39" s="58" t="s">
        <v>9</v>
      </c>
    </row>
    <row r="40" spans="1:30" ht="6.65" customHeight="1" x14ac:dyDescent="0.4">
      <c r="A40" s="49">
        <v>40</v>
      </c>
      <c r="B40" s="1" t="s">
        <v>467</v>
      </c>
      <c r="C40" s="1" t="s">
        <v>563</v>
      </c>
      <c r="D40" s="46" t="s">
        <v>565</v>
      </c>
      <c r="E40" s="1" t="s">
        <v>567</v>
      </c>
      <c r="F40" s="34" t="s">
        <v>443</v>
      </c>
      <c r="G40" s="51" t="s">
        <v>9</v>
      </c>
      <c r="H40" s="51" t="s">
        <v>9</v>
      </c>
      <c r="I40" s="51" t="s">
        <v>9</v>
      </c>
      <c r="J40" s="51" t="s">
        <v>9</v>
      </c>
      <c r="K40" s="51" t="s">
        <v>9</v>
      </c>
      <c r="L40" s="35" t="str">
        <f t="shared" ref="L40:M58" si="12">CONCATENATE("", C40)</f>
        <v>De.AVAC</v>
      </c>
      <c r="M40" s="35" t="str">
        <f t="shared" si="12"/>
        <v>Sistemas.de.Avac</v>
      </c>
      <c r="N40" s="35" t="str">
        <f t="shared" ref="N40:O85" si="13">(SUBSTITUTE(SUBSTITUTE(CONCATENATE("",E40),"."," ")," De "," de "))</f>
        <v>Sistema Avac</v>
      </c>
      <c r="O40" s="30" t="str">
        <f t="shared" si="11"/>
        <v>Insuflamento</v>
      </c>
      <c r="P40" s="30" t="s">
        <v>438</v>
      </c>
      <c r="Q40" s="30" t="s">
        <v>440</v>
      </c>
      <c r="R40" s="30" t="s">
        <v>482</v>
      </c>
      <c r="S40" s="30" t="s">
        <v>9</v>
      </c>
      <c r="T40" s="30" t="str">
        <f t="shared" si="9"/>
        <v>De.AVAC</v>
      </c>
      <c r="U40" s="30" t="str">
        <f t="shared" si="9"/>
        <v>Sistemas.de.Avac</v>
      </c>
      <c r="V40" s="30" t="str">
        <f t="shared" si="9"/>
        <v>Sistema.Avac</v>
      </c>
      <c r="W40" s="30" t="s">
        <v>209</v>
      </c>
      <c r="X40" s="48" t="str">
        <f t="shared" si="10"/>
        <v>Key-AVAC-40</v>
      </c>
      <c r="Y40" s="30" t="s">
        <v>253</v>
      </c>
      <c r="Z40" s="58" t="s">
        <v>9</v>
      </c>
      <c r="AA40" s="29" t="s">
        <v>261</v>
      </c>
      <c r="AB40" s="58" t="s">
        <v>9</v>
      </c>
      <c r="AC40" s="30" t="s">
        <v>264</v>
      </c>
      <c r="AD40" s="58" t="s">
        <v>9</v>
      </c>
    </row>
    <row r="41" spans="1:30" ht="6.65" customHeight="1" x14ac:dyDescent="0.4">
      <c r="A41" s="49">
        <v>41</v>
      </c>
      <c r="B41" s="1" t="s">
        <v>467</v>
      </c>
      <c r="C41" s="1" t="s">
        <v>563</v>
      </c>
      <c r="D41" s="46" t="s">
        <v>565</v>
      </c>
      <c r="E41" s="1" t="s">
        <v>567</v>
      </c>
      <c r="F41" s="34" t="s">
        <v>444</v>
      </c>
      <c r="G41" s="51" t="s">
        <v>9</v>
      </c>
      <c r="H41" s="51" t="s">
        <v>9</v>
      </c>
      <c r="I41" s="51" t="s">
        <v>9</v>
      </c>
      <c r="J41" s="51" t="s">
        <v>9</v>
      </c>
      <c r="K41" s="51" t="s">
        <v>9</v>
      </c>
      <c r="L41" s="35" t="str">
        <f t="shared" si="12"/>
        <v>De.AVAC</v>
      </c>
      <c r="M41" s="35" t="str">
        <f t="shared" si="12"/>
        <v>Sistemas.de.Avac</v>
      </c>
      <c r="N41" s="35" t="str">
        <f t="shared" si="13"/>
        <v>Sistema Avac</v>
      </c>
      <c r="O41" s="30" t="str">
        <f t="shared" si="11"/>
        <v>Retorno</v>
      </c>
      <c r="P41" s="30" t="s">
        <v>439</v>
      </c>
      <c r="Q41" s="30" t="s">
        <v>441</v>
      </c>
      <c r="R41" s="30" t="s">
        <v>483</v>
      </c>
      <c r="S41" s="30" t="s">
        <v>9</v>
      </c>
      <c r="T41" s="30" t="str">
        <f t="shared" si="9"/>
        <v>De.AVAC</v>
      </c>
      <c r="U41" s="30" t="str">
        <f t="shared" si="9"/>
        <v>Sistemas.de.Avac</v>
      </c>
      <c r="V41" s="30" t="str">
        <f t="shared" si="9"/>
        <v>Sistema.Avac</v>
      </c>
      <c r="W41" s="30" t="s">
        <v>209</v>
      </c>
      <c r="X41" s="48" t="str">
        <f t="shared" si="10"/>
        <v>Key-AVAC-41</v>
      </c>
      <c r="Y41" s="30" t="s">
        <v>253</v>
      </c>
      <c r="Z41" s="58" t="s">
        <v>9</v>
      </c>
      <c r="AA41" s="29" t="s">
        <v>261</v>
      </c>
      <c r="AB41" s="58" t="s">
        <v>9</v>
      </c>
      <c r="AC41" s="30" t="s">
        <v>264</v>
      </c>
      <c r="AD41" s="58" t="s">
        <v>9</v>
      </c>
    </row>
    <row r="42" spans="1:30" ht="6.65" customHeight="1" x14ac:dyDescent="0.4">
      <c r="A42" s="49">
        <v>42</v>
      </c>
      <c r="B42" s="1" t="s">
        <v>467</v>
      </c>
      <c r="C42" s="1" t="s">
        <v>563</v>
      </c>
      <c r="D42" s="46" t="s">
        <v>565</v>
      </c>
      <c r="E42" s="1" t="s">
        <v>567</v>
      </c>
      <c r="F42" s="34" t="s">
        <v>178</v>
      </c>
      <c r="G42" s="51" t="s">
        <v>9</v>
      </c>
      <c r="H42" s="51" t="s">
        <v>9</v>
      </c>
      <c r="I42" s="51" t="s">
        <v>9</v>
      </c>
      <c r="J42" s="51" t="s">
        <v>9</v>
      </c>
      <c r="K42" s="51" t="s">
        <v>9</v>
      </c>
      <c r="L42" s="35" t="str">
        <f t="shared" si="12"/>
        <v>De.AVAC</v>
      </c>
      <c r="M42" s="35" t="str">
        <f t="shared" si="12"/>
        <v>Sistemas.de.Avac</v>
      </c>
      <c r="N42" s="35" t="str">
        <f t="shared" si="13"/>
        <v>Sistema Avac</v>
      </c>
      <c r="O42" s="30" t="str">
        <f t="shared" si="11"/>
        <v>Vácuo</v>
      </c>
      <c r="P42" s="30" t="s">
        <v>108</v>
      </c>
      <c r="Q42" s="30" t="s">
        <v>155</v>
      </c>
      <c r="R42" s="30" t="s">
        <v>484</v>
      </c>
      <c r="S42" s="30" t="s">
        <v>9</v>
      </c>
      <c r="T42" s="30" t="str">
        <f t="shared" si="9"/>
        <v>De.AVAC</v>
      </c>
      <c r="U42" s="30" t="str">
        <f t="shared" si="9"/>
        <v>Sistemas.de.Avac</v>
      </c>
      <c r="V42" s="30" t="str">
        <f t="shared" si="9"/>
        <v>Sistema.Avac</v>
      </c>
      <c r="W42" s="30" t="s">
        <v>209</v>
      </c>
      <c r="X42" s="48" t="str">
        <f t="shared" si="10"/>
        <v>Key-AVAC-42</v>
      </c>
      <c r="Y42" s="30" t="s">
        <v>253</v>
      </c>
      <c r="Z42" s="58" t="s">
        <v>9</v>
      </c>
      <c r="AA42" s="29" t="s">
        <v>262</v>
      </c>
      <c r="AB42" s="58" t="s">
        <v>9</v>
      </c>
      <c r="AC42" s="30" t="s">
        <v>264</v>
      </c>
      <c r="AD42" s="58" t="s">
        <v>9</v>
      </c>
    </row>
    <row r="43" spans="1:30" ht="6.65" customHeight="1" x14ac:dyDescent="0.4">
      <c r="A43" s="49">
        <v>43</v>
      </c>
      <c r="B43" s="1" t="s">
        <v>467</v>
      </c>
      <c r="C43" s="1" t="s">
        <v>563</v>
      </c>
      <c r="D43" s="1" t="s">
        <v>434</v>
      </c>
      <c r="E43" s="1" t="s">
        <v>267</v>
      </c>
      <c r="F43" s="34" t="s">
        <v>116</v>
      </c>
      <c r="G43" s="51" t="s">
        <v>9</v>
      </c>
      <c r="H43" s="51" t="s">
        <v>9</v>
      </c>
      <c r="I43" s="51" t="s">
        <v>9</v>
      </c>
      <c r="J43" s="51" t="s">
        <v>9</v>
      </c>
      <c r="K43" s="51" t="s">
        <v>9</v>
      </c>
      <c r="L43" s="35" t="str">
        <f t="shared" si="12"/>
        <v>De.AVAC</v>
      </c>
      <c r="M43" s="35" t="str">
        <f t="shared" si="12"/>
        <v>Elementos.de.Dutagem</v>
      </c>
      <c r="N43" s="35" t="str">
        <f t="shared" si="13"/>
        <v>Avac Dutos</v>
      </c>
      <c r="O43" s="30" t="str">
        <f t="shared" si="11"/>
        <v>Duto.Conexão</v>
      </c>
      <c r="P43" s="30" t="s">
        <v>158</v>
      </c>
      <c r="Q43" s="30" t="s">
        <v>120</v>
      </c>
      <c r="R43" s="30" t="s">
        <v>485</v>
      </c>
      <c r="S43" s="30" t="s">
        <v>9</v>
      </c>
      <c r="T43" s="30" t="str">
        <f t="shared" si="9"/>
        <v>De.AVAC</v>
      </c>
      <c r="U43" s="30" t="str">
        <f t="shared" si="9"/>
        <v>Elementos.de.Dutagem</v>
      </c>
      <c r="V43" s="30" t="str">
        <f t="shared" si="9"/>
        <v>Avac.Dutos</v>
      </c>
      <c r="W43" s="30" t="s">
        <v>209</v>
      </c>
      <c r="X43" s="48" t="str">
        <f t="shared" si="10"/>
        <v>Key-AVAC-43</v>
      </c>
      <c r="Y43" s="30" t="s">
        <v>213</v>
      </c>
      <c r="Z43" s="58" t="s">
        <v>9</v>
      </c>
      <c r="AA43" s="29" t="s">
        <v>214</v>
      </c>
      <c r="AB43" s="58" t="s">
        <v>9</v>
      </c>
      <c r="AC43" s="30" t="s">
        <v>264</v>
      </c>
      <c r="AD43" s="58" t="s">
        <v>9</v>
      </c>
    </row>
    <row r="44" spans="1:30" ht="6.65" customHeight="1" x14ac:dyDescent="0.4">
      <c r="A44" s="49">
        <v>44</v>
      </c>
      <c r="B44" s="1" t="s">
        <v>467</v>
      </c>
      <c r="C44" s="1" t="s">
        <v>563</v>
      </c>
      <c r="D44" s="1" t="s">
        <v>434</v>
      </c>
      <c r="E44" s="1" t="s">
        <v>267</v>
      </c>
      <c r="F44" s="1" t="s">
        <v>162</v>
      </c>
      <c r="G44" s="51" t="s">
        <v>9</v>
      </c>
      <c r="H44" s="51" t="s">
        <v>9</v>
      </c>
      <c r="I44" s="51" t="s">
        <v>9</v>
      </c>
      <c r="J44" s="51" t="s">
        <v>9</v>
      </c>
      <c r="K44" s="51" t="s">
        <v>9</v>
      </c>
      <c r="L44" s="35" t="str">
        <f t="shared" si="12"/>
        <v>De.AVAC</v>
      </c>
      <c r="M44" s="35" t="str">
        <f t="shared" si="12"/>
        <v>Elementos.de.Dutagem</v>
      </c>
      <c r="N44" s="35" t="str">
        <f t="shared" si="13"/>
        <v>Avac Dutos</v>
      </c>
      <c r="O44" s="30" t="str">
        <f t="shared" si="11"/>
        <v>Duto.Flexível</v>
      </c>
      <c r="P44" s="30" t="s">
        <v>97</v>
      </c>
      <c r="Q44" s="30" t="s">
        <v>122</v>
      </c>
      <c r="R44" s="30" t="s">
        <v>486</v>
      </c>
      <c r="S44" s="30" t="s">
        <v>9</v>
      </c>
      <c r="T44" s="30" t="str">
        <f t="shared" si="9"/>
        <v>De.AVAC</v>
      </c>
      <c r="U44" s="30" t="str">
        <f t="shared" si="9"/>
        <v>Elementos.de.Dutagem</v>
      </c>
      <c r="V44" s="30" t="str">
        <f t="shared" si="9"/>
        <v>Avac.Dutos</v>
      </c>
      <c r="W44" s="30" t="s">
        <v>209</v>
      </c>
      <c r="X44" s="48" t="str">
        <f t="shared" si="10"/>
        <v>Key-AVAC-44</v>
      </c>
      <c r="Y44" s="30" t="s">
        <v>215</v>
      </c>
      <c r="Z44" s="58" t="s">
        <v>9</v>
      </c>
      <c r="AA44" s="29" t="s">
        <v>216</v>
      </c>
      <c r="AB44" s="58" t="s">
        <v>9</v>
      </c>
      <c r="AC44" s="30" t="s">
        <v>264</v>
      </c>
      <c r="AD44" s="58" t="s">
        <v>9</v>
      </c>
    </row>
    <row r="45" spans="1:30" ht="6.65" customHeight="1" x14ac:dyDescent="0.4">
      <c r="A45" s="49">
        <v>45</v>
      </c>
      <c r="B45" s="1" t="s">
        <v>467</v>
      </c>
      <c r="C45" s="1" t="s">
        <v>563</v>
      </c>
      <c r="D45" s="1" t="s">
        <v>434</v>
      </c>
      <c r="E45" s="1" t="s">
        <v>267</v>
      </c>
      <c r="F45" s="34" t="s">
        <v>117</v>
      </c>
      <c r="G45" s="51" t="s">
        <v>9</v>
      </c>
      <c r="H45" s="51" t="s">
        <v>9</v>
      </c>
      <c r="I45" s="51" t="s">
        <v>9</v>
      </c>
      <c r="J45" s="51" t="s">
        <v>9</v>
      </c>
      <c r="K45" s="51" t="s">
        <v>9</v>
      </c>
      <c r="L45" s="35" t="str">
        <f t="shared" si="12"/>
        <v>De.AVAC</v>
      </c>
      <c r="M45" s="35" t="str">
        <f t="shared" si="12"/>
        <v>Elementos.de.Dutagem</v>
      </c>
      <c r="N45" s="35" t="str">
        <f t="shared" si="13"/>
        <v>Avac Dutos</v>
      </c>
      <c r="O45" s="30" t="str">
        <f t="shared" si="11"/>
        <v>Duto.Segmento</v>
      </c>
      <c r="P45" s="30" t="s">
        <v>96</v>
      </c>
      <c r="Q45" s="30" t="s">
        <v>121</v>
      </c>
      <c r="R45" s="30" t="s">
        <v>487</v>
      </c>
      <c r="S45" s="30" t="s">
        <v>9</v>
      </c>
      <c r="T45" s="30" t="str">
        <f t="shared" ref="T45:V60" si="14">SUBSTITUTE(C45, "_", " ")</f>
        <v>De.AVAC</v>
      </c>
      <c r="U45" s="30" t="str">
        <f t="shared" si="14"/>
        <v>Elementos.de.Dutagem</v>
      </c>
      <c r="V45" s="30" t="str">
        <f t="shared" si="14"/>
        <v>Avac.Dutos</v>
      </c>
      <c r="W45" s="30" t="s">
        <v>209</v>
      </c>
      <c r="X45" s="48" t="str">
        <f t="shared" si="10"/>
        <v>Key-AVAC-45</v>
      </c>
      <c r="Y45" s="30" t="s">
        <v>217</v>
      </c>
      <c r="Z45" s="58" t="s">
        <v>9</v>
      </c>
      <c r="AA45" s="29" t="s">
        <v>216</v>
      </c>
      <c r="AB45" s="58" t="s">
        <v>9</v>
      </c>
      <c r="AC45" s="30" t="s">
        <v>264</v>
      </c>
      <c r="AD45" s="58" t="s">
        <v>9</v>
      </c>
    </row>
    <row r="46" spans="1:30" ht="6.65" customHeight="1" x14ac:dyDescent="0.4">
      <c r="A46" s="49">
        <v>46</v>
      </c>
      <c r="B46" s="1" t="s">
        <v>467</v>
      </c>
      <c r="C46" s="1" t="s">
        <v>563</v>
      </c>
      <c r="D46" s="1" t="s">
        <v>434</v>
      </c>
      <c r="E46" s="1" t="s">
        <v>267</v>
      </c>
      <c r="F46" s="34" t="s">
        <v>173</v>
      </c>
      <c r="G46" s="51" t="s">
        <v>9</v>
      </c>
      <c r="H46" s="51" t="s">
        <v>9</v>
      </c>
      <c r="I46" s="51" t="s">
        <v>9</v>
      </c>
      <c r="J46" s="51" t="s">
        <v>9</v>
      </c>
      <c r="K46" s="51" t="s">
        <v>9</v>
      </c>
      <c r="L46" s="35" t="str">
        <f t="shared" si="12"/>
        <v>De.AVAC</v>
      </c>
      <c r="M46" s="35" t="str">
        <f t="shared" si="12"/>
        <v>Elementos.de.Dutagem</v>
      </c>
      <c r="N46" s="35" t="str">
        <f t="shared" si="13"/>
        <v>Avac Dutos</v>
      </c>
      <c r="O46" s="30" t="str">
        <f t="shared" si="11"/>
        <v>Duto.Silenciador</v>
      </c>
      <c r="P46" s="30" t="s">
        <v>98</v>
      </c>
      <c r="Q46" s="30" t="s">
        <v>123</v>
      </c>
      <c r="R46" s="30" t="s">
        <v>488</v>
      </c>
      <c r="S46" s="30" t="s">
        <v>9</v>
      </c>
      <c r="T46" s="30" t="str">
        <f t="shared" si="14"/>
        <v>De.AVAC</v>
      </c>
      <c r="U46" s="30" t="str">
        <f t="shared" si="14"/>
        <v>Elementos.de.Dutagem</v>
      </c>
      <c r="V46" s="30" t="str">
        <f t="shared" si="14"/>
        <v>Avac.Dutos</v>
      </c>
      <c r="W46" s="30" t="s">
        <v>209</v>
      </c>
      <c r="X46" s="48" t="str">
        <f t="shared" si="10"/>
        <v>Key-AVAC-46</v>
      </c>
      <c r="Y46" s="30" t="s">
        <v>218</v>
      </c>
      <c r="Z46" s="58" t="s">
        <v>9</v>
      </c>
      <c r="AA46" s="29" t="s">
        <v>219</v>
      </c>
      <c r="AB46" s="58" t="s">
        <v>9</v>
      </c>
      <c r="AC46" s="30" t="s">
        <v>264</v>
      </c>
      <c r="AD46" s="58" t="s">
        <v>9</v>
      </c>
    </row>
    <row r="47" spans="1:30" ht="6.65" customHeight="1" x14ac:dyDescent="0.4">
      <c r="A47" s="49">
        <v>47</v>
      </c>
      <c r="B47" s="1" t="s">
        <v>467</v>
      </c>
      <c r="C47" s="1" t="s">
        <v>563</v>
      </c>
      <c r="D47" s="1" t="s">
        <v>434</v>
      </c>
      <c r="E47" s="1" t="s">
        <v>267</v>
      </c>
      <c r="F47" s="1" t="s">
        <v>174</v>
      </c>
      <c r="G47" s="51" t="s">
        <v>9</v>
      </c>
      <c r="H47" s="51" t="s">
        <v>9</v>
      </c>
      <c r="I47" s="51" t="s">
        <v>9</v>
      </c>
      <c r="J47" s="51" t="s">
        <v>9</v>
      </c>
      <c r="K47" s="51" t="s">
        <v>9</v>
      </c>
      <c r="L47" s="35" t="str">
        <f t="shared" si="12"/>
        <v>De.AVAC</v>
      </c>
      <c r="M47" s="35" t="str">
        <f t="shared" si="12"/>
        <v>Elementos.de.Dutagem</v>
      </c>
      <c r="N47" s="35" t="str">
        <f t="shared" si="13"/>
        <v>Avac Dutos</v>
      </c>
      <c r="O47" s="30" t="str">
        <f t="shared" si="11"/>
        <v>Duto.Silenciador.Conexão</v>
      </c>
      <c r="P47" s="30" t="s">
        <v>160</v>
      </c>
      <c r="Q47" s="30" t="s">
        <v>161</v>
      </c>
      <c r="R47" s="30" t="s">
        <v>489</v>
      </c>
      <c r="S47" s="30" t="s">
        <v>9</v>
      </c>
      <c r="T47" s="30" t="str">
        <f t="shared" si="14"/>
        <v>De.AVAC</v>
      </c>
      <c r="U47" s="30" t="str">
        <f t="shared" si="14"/>
        <v>Elementos.de.Dutagem</v>
      </c>
      <c r="V47" s="30" t="str">
        <f t="shared" si="14"/>
        <v>Avac.Dutos</v>
      </c>
      <c r="W47" s="30" t="s">
        <v>209</v>
      </c>
      <c r="X47" s="48" t="str">
        <f t="shared" si="10"/>
        <v>Key-AVAC-47</v>
      </c>
      <c r="Y47" s="30" t="s">
        <v>220</v>
      </c>
      <c r="Z47" s="58" t="s">
        <v>9</v>
      </c>
      <c r="AA47" s="29" t="s">
        <v>219</v>
      </c>
      <c r="AB47" s="58" t="s">
        <v>9</v>
      </c>
      <c r="AC47" s="30" t="s">
        <v>264</v>
      </c>
      <c r="AD47" s="58" t="s">
        <v>9</v>
      </c>
    </row>
    <row r="48" spans="1:30" ht="6.65" customHeight="1" x14ac:dyDescent="0.4">
      <c r="A48" s="49">
        <v>48</v>
      </c>
      <c r="B48" s="1" t="s">
        <v>467</v>
      </c>
      <c r="C48" s="1" t="s">
        <v>563</v>
      </c>
      <c r="D48" s="1" t="s">
        <v>434</v>
      </c>
      <c r="E48" s="1" t="s">
        <v>397</v>
      </c>
      <c r="F48" s="34" t="s">
        <v>192</v>
      </c>
      <c r="G48" s="51" t="s">
        <v>9</v>
      </c>
      <c r="H48" s="51" t="s">
        <v>9</v>
      </c>
      <c r="I48" s="51" t="s">
        <v>9</v>
      </c>
      <c r="J48" s="51" t="s">
        <v>9</v>
      </c>
      <c r="K48" s="51" t="s">
        <v>9</v>
      </c>
      <c r="L48" s="35" t="str">
        <f t="shared" si="12"/>
        <v>De.AVAC</v>
      </c>
      <c r="M48" s="35" t="str">
        <f t="shared" si="12"/>
        <v>Elementos.de.Dutagem</v>
      </c>
      <c r="N48" s="35" t="str">
        <f t="shared" si="13"/>
        <v>Avac Tubos</v>
      </c>
      <c r="O48" s="30" t="str">
        <f t="shared" si="11"/>
        <v>Avac.Tubo.Conexão</v>
      </c>
      <c r="P48" s="30" t="s">
        <v>159</v>
      </c>
      <c r="Q48" s="30" t="s">
        <v>124</v>
      </c>
      <c r="R48" s="30" t="s">
        <v>490</v>
      </c>
      <c r="S48" s="30" t="s">
        <v>9</v>
      </c>
      <c r="T48" s="30" t="str">
        <f t="shared" si="14"/>
        <v>De.AVAC</v>
      </c>
      <c r="U48" s="30" t="str">
        <f t="shared" si="14"/>
        <v>Elementos.de.Dutagem</v>
      </c>
      <c r="V48" s="30" t="str">
        <f t="shared" si="14"/>
        <v>Avac.Tubos</v>
      </c>
      <c r="W48" s="30" t="s">
        <v>209</v>
      </c>
      <c r="X48" s="48" t="str">
        <f t="shared" si="10"/>
        <v>Key-AVAC-48</v>
      </c>
      <c r="Y48" s="30" t="s">
        <v>225</v>
      </c>
      <c r="Z48" s="58" t="s">
        <v>9</v>
      </c>
      <c r="AA48" s="29" t="s">
        <v>226</v>
      </c>
      <c r="AB48" s="58" t="s">
        <v>9</v>
      </c>
      <c r="AC48" s="30" t="s">
        <v>264</v>
      </c>
      <c r="AD48" s="58" t="s">
        <v>9</v>
      </c>
    </row>
    <row r="49" spans="1:30" ht="6.65" customHeight="1" x14ac:dyDescent="0.4">
      <c r="A49" s="49">
        <v>49</v>
      </c>
      <c r="B49" s="1" t="s">
        <v>467</v>
      </c>
      <c r="C49" s="1" t="s">
        <v>563</v>
      </c>
      <c r="D49" s="1" t="s">
        <v>434</v>
      </c>
      <c r="E49" s="1" t="s">
        <v>397</v>
      </c>
      <c r="F49" s="34" t="s">
        <v>193</v>
      </c>
      <c r="G49" s="51" t="s">
        <v>9</v>
      </c>
      <c r="H49" s="51" t="s">
        <v>9</v>
      </c>
      <c r="I49" s="51" t="s">
        <v>9</v>
      </c>
      <c r="J49" s="51" t="s">
        <v>9</v>
      </c>
      <c r="K49" s="51" t="s">
        <v>9</v>
      </c>
      <c r="L49" s="35" t="str">
        <f t="shared" si="12"/>
        <v>De.AVAC</v>
      </c>
      <c r="M49" s="35" t="str">
        <f t="shared" si="12"/>
        <v>Elementos.de.Dutagem</v>
      </c>
      <c r="N49" s="35" t="str">
        <f t="shared" si="13"/>
        <v>Avac Tubos</v>
      </c>
      <c r="O49" s="30" t="str">
        <f t="shared" si="11"/>
        <v>Avac.Tubo.Segmento</v>
      </c>
      <c r="P49" s="30" t="s">
        <v>110</v>
      </c>
      <c r="Q49" s="30" t="s">
        <v>125</v>
      </c>
      <c r="R49" s="30" t="s">
        <v>491</v>
      </c>
      <c r="S49" s="30" t="s">
        <v>9</v>
      </c>
      <c r="T49" s="30" t="str">
        <f t="shared" si="14"/>
        <v>De.AVAC</v>
      </c>
      <c r="U49" s="30" t="str">
        <f t="shared" si="14"/>
        <v>Elementos.de.Dutagem</v>
      </c>
      <c r="V49" s="30" t="str">
        <f t="shared" si="14"/>
        <v>Avac.Tubos</v>
      </c>
      <c r="W49" s="30" t="s">
        <v>209</v>
      </c>
      <c r="X49" s="48" t="str">
        <f t="shared" si="10"/>
        <v>Key-AVAC-49</v>
      </c>
      <c r="Y49" s="30" t="s">
        <v>227</v>
      </c>
      <c r="Z49" s="58" t="s">
        <v>9</v>
      </c>
      <c r="AA49" s="29" t="s">
        <v>228</v>
      </c>
      <c r="AB49" s="58" t="s">
        <v>9</v>
      </c>
      <c r="AC49" s="30" t="s">
        <v>264</v>
      </c>
      <c r="AD49" s="58" t="s">
        <v>9</v>
      </c>
    </row>
    <row r="50" spans="1:30" ht="6.65" customHeight="1" x14ac:dyDescent="0.4">
      <c r="A50" s="49">
        <v>50</v>
      </c>
      <c r="B50" s="1" t="s">
        <v>467</v>
      </c>
      <c r="C50" s="1" t="s">
        <v>563</v>
      </c>
      <c r="D50" s="1" t="s">
        <v>434</v>
      </c>
      <c r="E50" s="1" t="s">
        <v>397</v>
      </c>
      <c r="F50" s="34" t="s">
        <v>194</v>
      </c>
      <c r="G50" s="51" t="s">
        <v>9</v>
      </c>
      <c r="H50" s="51" t="s">
        <v>9</v>
      </c>
      <c r="I50" s="51" t="s">
        <v>9</v>
      </c>
      <c r="J50" s="51" t="s">
        <v>9</v>
      </c>
      <c r="K50" s="51" t="s">
        <v>9</v>
      </c>
      <c r="L50" s="35" t="str">
        <f t="shared" si="12"/>
        <v>De.AVAC</v>
      </c>
      <c r="M50" s="35" t="str">
        <f t="shared" si="12"/>
        <v>Elementos.de.Dutagem</v>
      </c>
      <c r="N50" s="35" t="str">
        <f t="shared" si="13"/>
        <v>Avac Tubos</v>
      </c>
      <c r="O50" s="30" t="str">
        <f t="shared" si="11"/>
        <v>Avac.Tubo.Válvula</v>
      </c>
      <c r="P50" s="30" t="s">
        <v>111</v>
      </c>
      <c r="Q50" s="30" t="s">
        <v>146</v>
      </c>
      <c r="R50" s="30" t="s">
        <v>492</v>
      </c>
      <c r="S50" s="30" t="s">
        <v>9</v>
      </c>
      <c r="T50" s="30" t="str">
        <f t="shared" si="14"/>
        <v>De.AVAC</v>
      </c>
      <c r="U50" s="30" t="str">
        <f t="shared" si="14"/>
        <v>Elementos.de.Dutagem</v>
      </c>
      <c r="V50" s="30" t="str">
        <f t="shared" si="14"/>
        <v>Avac.Tubos</v>
      </c>
      <c r="W50" s="30" t="s">
        <v>209</v>
      </c>
      <c r="X50" s="48" t="str">
        <f t="shared" si="10"/>
        <v>Key-AVAC-50</v>
      </c>
      <c r="Y50" s="30" t="s">
        <v>225</v>
      </c>
      <c r="Z50" s="58" t="s">
        <v>9</v>
      </c>
      <c r="AA50" s="29" t="s">
        <v>229</v>
      </c>
      <c r="AB50" s="58" t="s">
        <v>9</v>
      </c>
      <c r="AC50" s="30" t="s">
        <v>264</v>
      </c>
      <c r="AD50" s="58" t="s">
        <v>9</v>
      </c>
    </row>
    <row r="51" spans="1:30" ht="6.65" customHeight="1" x14ac:dyDescent="0.4">
      <c r="A51" s="49">
        <v>51</v>
      </c>
      <c r="B51" s="1" t="s">
        <v>467</v>
      </c>
      <c r="C51" s="1" t="s">
        <v>563</v>
      </c>
      <c r="D51" s="1" t="s">
        <v>434</v>
      </c>
      <c r="E51" s="1" t="s">
        <v>398</v>
      </c>
      <c r="F51" s="1" t="s">
        <v>119</v>
      </c>
      <c r="G51" s="51" t="s">
        <v>9</v>
      </c>
      <c r="H51" s="51" t="s">
        <v>9</v>
      </c>
      <c r="I51" s="51" t="s">
        <v>9</v>
      </c>
      <c r="J51" s="51" t="s">
        <v>9</v>
      </c>
      <c r="K51" s="51" t="s">
        <v>9</v>
      </c>
      <c r="L51" s="35" t="str">
        <f t="shared" si="12"/>
        <v>De.AVAC</v>
      </c>
      <c r="M51" s="35" t="str">
        <f t="shared" si="12"/>
        <v>Elementos.de.Dutagem</v>
      </c>
      <c r="N51" s="35" t="str">
        <f t="shared" si="13"/>
        <v>Avac Terminais</v>
      </c>
      <c r="O51" s="30" t="str">
        <f t="shared" si="11"/>
        <v>Duto.Terminal</v>
      </c>
      <c r="P51" s="30" t="s">
        <v>181</v>
      </c>
      <c r="Q51" s="30" t="s">
        <v>182</v>
      </c>
      <c r="R51" s="30" t="s">
        <v>493</v>
      </c>
      <c r="S51" s="30" t="s">
        <v>9</v>
      </c>
      <c r="T51" s="30" t="str">
        <f t="shared" si="14"/>
        <v>De.AVAC</v>
      </c>
      <c r="U51" s="30" t="str">
        <f t="shared" si="14"/>
        <v>Elementos.de.Dutagem</v>
      </c>
      <c r="V51" s="30" t="str">
        <f t="shared" si="14"/>
        <v>Avac.Terminais</v>
      </c>
      <c r="W51" s="30" t="s">
        <v>209</v>
      </c>
      <c r="X51" s="48" t="str">
        <f t="shared" si="10"/>
        <v>Key-AVAC-51</v>
      </c>
      <c r="Y51" s="30" t="s">
        <v>221</v>
      </c>
      <c r="Z51" s="58" t="s">
        <v>9</v>
      </c>
      <c r="AA51" s="29" t="s">
        <v>222</v>
      </c>
      <c r="AB51" s="58" t="s">
        <v>9</v>
      </c>
      <c r="AC51" s="30" t="s">
        <v>264</v>
      </c>
      <c r="AD51" s="58" t="s">
        <v>9</v>
      </c>
    </row>
    <row r="52" spans="1:30" ht="6.65" customHeight="1" x14ac:dyDescent="0.4">
      <c r="A52" s="49">
        <v>52</v>
      </c>
      <c r="B52" s="1" t="s">
        <v>467</v>
      </c>
      <c r="C52" s="1" t="s">
        <v>563</v>
      </c>
      <c r="D52" s="1" t="s">
        <v>434</v>
      </c>
      <c r="E52" s="1" t="s">
        <v>398</v>
      </c>
      <c r="F52" s="34" t="s">
        <v>399</v>
      </c>
      <c r="G52" s="51" t="s">
        <v>9</v>
      </c>
      <c r="H52" s="51" t="s">
        <v>9</v>
      </c>
      <c r="I52" s="51" t="s">
        <v>9</v>
      </c>
      <c r="J52" s="51" t="s">
        <v>9</v>
      </c>
      <c r="K52" s="51" t="s">
        <v>9</v>
      </c>
      <c r="L52" s="35" t="str">
        <f t="shared" si="12"/>
        <v>De.AVAC</v>
      </c>
      <c r="M52" s="35" t="str">
        <f t="shared" si="12"/>
        <v>Elementos.de.Dutagem</v>
      </c>
      <c r="N52" s="35" t="str">
        <f t="shared" si="13"/>
        <v>Avac Terminais</v>
      </c>
      <c r="O52" s="30" t="str">
        <f t="shared" si="11"/>
        <v>Avac.Caixa.Junção</v>
      </c>
      <c r="P52" s="30" t="s">
        <v>81</v>
      </c>
      <c r="Q52" s="30" t="s">
        <v>129</v>
      </c>
      <c r="R52" s="30" t="s">
        <v>494</v>
      </c>
      <c r="S52" s="30" t="s">
        <v>9</v>
      </c>
      <c r="T52" s="30" t="str">
        <f t="shared" si="14"/>
        <v>De.AVAC</v>
      </c>
      <c r="U52" s="30" t="str">
        <f t="shared" si="14"/>
        <v>Elementos.de.Dutagem</v>
      </c>
      <c r="V52" s="30" t="str">
        <f t="shared" si="14"/>
        <v>Avac.Terminais</v>
      </c>
      <c r="W52" s="30" t="s">
        <v>209</v>
      </c>
      <c r="X52" s="48" t="str">
        <f t="shared" si="10"/>
        <v>Key-AVAC-52</v>
      </c>
      <c r="Y52" s="30" t="s">
        <v>213</v>
      </c>
      <c r="Z52" s="58" t="s">
        <v>9</v>
      </c>
      <c r="AA52" s="29" t="s">
        <v>223</v>
      </c>
      <c r="AB52" s="58" t="s">
        <v>9</v>
      </c>
      <c r="AC52" s="30" t="s">
        <v>264</v>
      </c>
      <c r="AD52" s="58" t="s">
        <v>9</v>
      </c>
    </row>
    <row r="53" spans="1:30" ht="6.65" customHeight="1" x14ac:dyDescent="0.4">
      <c r="A53" s="49">
        <v>53</v>
      </c>
      <c r="B53" s="1" t="s">
        <v>467</v>
      </c>
      <c r="C53" s="1" t="s">
        <v>563</v>
      </c>
      <c r="D53" s="1" t="s">
        <v>434</v>
      </c>
      <c r="E53" s="1" t="s">
        <v>398</v>
      </c>
      <c r="F53" s="34" t="s">
        <v>400</v>
      </c>
      <c r="G53" s="51" t="s">
        <v>9</v>
      </c>
      <c r="H53" s="51" t="s">
        <v>9</v>
      </c>
      <c r="I53" s="51" t="s">
        <v>9</v>
      </c>
      <c r="J53" s="51" t="s">
        <v>9</v>
      </c>
      <c r="K53" s="51" t="s">
        <v>9</v>
      </c>
      <c r="L53" s="35" t="str">
        <f t="shared" si="12"/>
        <v>De.AVAC</v>
      </c>
      <c r="M53" s="35" t="str">
        <f t="shared" si="12"/>
        <v>Elementos.de.Dutagem</v>
      </c>
      <c r="N53" s="35" t="str">
        <f t="shared" si="13"/>
        <v>Avac Terminais</v>
      </c>
      <c r="O53" s="30" t="str">
        <f t="shared" si="11"/>
        <v>Avac.Caixa.Terminal</v>
      </c>
      <c r="P53" s="30" t="s">
        <v>191</v>
      </c>
      <c r="Q53" s="30" t="s">
        <v>190</v>
      </c>
      <c r="R53" s="30" t="s">
        <v>495</v>
      </c>
      <c r="S53" s="30" t="s">
        <v>9</v>
      </c>
      <c r="T53" s="30" t="str">
        <f t="shared" si="14"/>
        <v>De.AVAC</v>
      </c>
      <c r="U53" s="30" t="str">
        <f t="shared" si="14"/>
        <v>Elementos.de.Dutagem</v>
      </c>
      <c r="V53" s="30" t="str">
        <f t="shared" si="14"/>
        <v>Avac.Terminais</v>
      </c>
      <c r="W53" s="30" t="s">
        <v>209</v>
      </c>
      <c r="X53" s="48" t="str">
        <f t="shared" si="10"/>
        <v>Key-AVAC-53</v>
      </c>
      <c r="Y53" s="30" t="s">
        <v>213</v>
      </c>
      <c r="Z53" s="58" t="s">
        <v>9</v>
      </c>
      <c r="AA53" s="29" t="s">
        <v>224</v>
      </c>
      <c r="AB53" s="58" t="s">
        <v>9</v>
      </c>
      <c r="AC53" s="30" t="s">
        <v>264</v>
      </c>
      <c r="AD53" s="58" t="s">
        <v>9</v>
      </c>
    </row>
    <row r="54" spans="1:30" ht="6.65" customHeight="1" x14ac:dyDescent="0.4">
      <c r="A54" s="49">
        <v>54</v>
      </c>
      <c r="B54" s="1" t="s">
        <v>467</v>
      </c>
      <c r="C54" s="1" t="s">
        <v>563</v>
      </c>
      <c r="D54" s="1" t="s">
        <v>566</v>
      </c>
      <c r="E54" s="1" t="s">
        <v>396</v>
      </c>
      <c r="F54" s="34" t="s">
        <v>184</v>
      </c>
      <c r="G54" s="51" t="s">
        <v>9</v>
      </c>
      <c r="H54" s="51" t="s">
        <v>9</v>
      </c>
      <c r="I54" s="51" t="s">
        <v>9</v>
      </c>
      <c r="J54" s="51" t="s">
        <v>9</v>
      </c>
      <c r="K54" s="51" t="s">
        <v>9</v>
      </c>
      <c r="L54" s="35" t="str">
        <f t="shared" si="12"/>
        <v>De.AVAC</v>
      </c>
      <c r="M54" s="35" t="str">
        <f t="shared" si="12"/>
        <v>Elementos.de.Avac</v>
      </c>
      <c r="N54" s="35" t="str">
        <f t="shared" si="13"/>
        <v>Avac Equipamentos</v>
      </c>
      <c r="O54" s="30" t="str">
        <f t="shared" si="11"/>
        <v>Avac.Compressor</v>
      </c>
      <c r="P54" s="30" t="s">
        <v>95</v>
      </c>
      <c r="Q54" s="30" t="s">
        <v>143</v>
      </c>
      <c r="R54" s="30" t="s">
        <v>496</v>
      </c>
      <c r="S54" s="30" t="s">
        <v>9</v>
      </c>
      <c r="T54" s="30" t="str">
        <f t="shared" si="14"/>
        <v>De.AVAC</v>
      </c>
      <c r="U54" s="30" t="str">
        <f t="shared" si="14"/>
        <v>Elementos.de.Avac</v>
      </c>
      <c r="V54" s="30" t="str">
        <f t="shared" si="14"/>
        <v>Avac.Equipamentos</v>
      </c>
      <c r="W54" s="30" t="s">
        <v>209</v>
      </c>
      <c r="X54" s="48" t="str">
        <f t="shared" si="10"/>
        <v>Key-AVAC-54</v>
      </c>
      <c r="Y54" s="29" t="s">
        <v>230</v>
      </c>
      <c r="Z54" s="58" t="s">
        <v>9</v>
      </c>
      <c r="AA54" s="29" t="s">
        <v>231</v>
      </c>
      <c r="AB54" s="58" t="s">
        <v>9</v>
      </c>
      <c r="AC54" s="30" t="s">
        <v>264</v>
      </c>
      <c r="AD54" s="58" t="s">
        <v>9</v>
      </c>
    </row>
    <row r="55" spans="1:30" ht="6.65" customHeight="1" x14ac:dyDescent="0.4">
      <c r="A55" s="49">
        <v>55</v>
      </c>
      <c r="B55" s="1" t="s">
        <v>467</v>
      </c>
      <c r="C55" s="1" t="s">
        <v>563</v>
      </c>
      <c r="D55" s="1" t="s">
        <v>566</v>
      </c>
      <c r="E55" s="1" t="s">
        <v>396</v>
      </c>
      <c r="F55" s="34" t="s">
        <v>183</v>
      </c>
      <c r="G55" s="51" t="s">
        <v>9</v>
      </c>
      <c r="H55" s="51" t="s">
        <v>9</v>
      </c>
      <c r="I55" s="51" t="s">
        <v>9</v>
      </c>
      <c r="J55" s="51" t="s">
        <v>9</v>
      </c>
      <c r="K55" s="51" t="s">
        <v>9</v>
      </c>
      <c r="L55" s="35" t="str">
        <f t="shared" si="12"/>
        <v>De.AVAC</v>
      </c>
      <c r="M55" s="35" t="str">
        <f t="shared" si="12"/>
        <v>Elementos.de.Avac</v>
      </c>
      <c r="N55" s="35" t="str">
        <f t="shared" si="13"/>
        <v>Avac Equipamentos</v>
      </c>
      <c r="O55" s="30" t="str">
        <f t="shared" si="11"/>
        <v>Avac.Filtro</v>
      </c>
      <c r="P55" s="30" t="s">
        <v>100</v>
      </c>
      <c r="Q55" s="30" t="s">
        <v>145</v>
      </c>
      <c r="R55" s="30" t="s">
        <v>497</v>
      </c>
      <c r="S55" s="30" t="s">
        <v>9</v>
      </c>
      <c r="T55" s="30" t="str">
        <f t="shared" si="14"/>
        <v>De.AVAC</v>
      </c>
      <c r="U55" s="30" t="str">
        <f t="shared" si="14"/>
        <v>Elementos.de.Avac</v>
      </c>
      <c r="V55" s="30" t="str">
        <f t="shared" si="14"/>
        <v>Avac.Equipamentos</v>
      </c>
      <c r="W55" s="30" t="s">
        <v>209</v>
      </c>
      <c r="X55" s="48" t="str">
        <f t="shared" si="10"/>
        <v>Key-AVAC-55</v>
      </c>
      <c r="Y55" s="29" t="s">
        <v>230</v>
      </c>
      <c r="Z55" s="58" t="s">
        <v>9</v>
      </c>
      <c r="AA55" s="29" t="s">
        <v>232</v>
      </c>
      <c r="AB55" s="58" t="s">
        <v>9</v>
      </c>
      <c r="AC55" s="30" t="s">
        <v>264</v>
      </c>
      <c r="AD55" s="58" t="s">
        <v>9</v>
      </c>
    </row>
    <row r="56" spans="1:30" ht="6.65" customHeight="1" x14ac:dyDescent="0.4">
      <c r="A56" s="49">
        <v>56</v>
      </c>
      <c r="B56" s="1" t="s">
        <v>467</v>
      </c>
      <c r="C56" s="1" t="s">
        <v>563</v>
      </c>
      <c r="D56" s="1" t="s">
        <v>566</v>
      </c>
      <c r="E56" s="1" t="s">
        <v>396</v>
      </c>
      <c r="F56" s="34" t="s">
        <v>185</v>
      </c>
      <c r="G56" s="51" t="s">
        <v>9</v>
      </c>
      <c r="H56" s="51" t="s">
        <v>9</v>
      </c>
      <c r="I56" s="51" t="s">
        <v>9</v>
      </c>
      <c r="J56" s="51" t="s">
        <v>9</v>
      </c>
      <c r="K56" s="51" t="s">
        <v>9</v>
      </c>
      <c r="L56" s="35" t="str">
        <f t="shared" si="12"/>
        <v>De.AVAC</v>
      </c>
      <c r="M56" s="35" t="str">
        <f t="shared" si="12"/>
        <v>Elementos.de.Avac</v>
      </c>
      <c r="N56" s="35" t="str">
        <f t="shared" si="13"/>
        <v>Avac Equipamentos</v>
      </c>
      <c r="O56" s="30" t="str">
        <f t="shared" si="11"/>
        <v>Avac.Unitário</v>
      </c>
      <c r="P56" s="30" t="s">
        <v>99</v>
      </c>
      <c r="Q56" s="30" t="s">
        <v>144</v>
      </c>
      <c r="R56" s="30" t="s">
        <v>498</v>
      </c>
      <c r="S56" s="30" t="s">
        <v>9</v>
      </c>
      <c r="T56" s="30" t="str">
        <f t="shared" si="14"/>
        <v>De.AVAC</v>
      </c>
      <c r="U56" s="30" t="str">
        <f t="shared" si="14"/>
        <v>Elementos.de.Avac</v>
      </c>
      <c r="V56" s="30" t="str">
        <f t="shared" si="14"/>
        <v>Avac.Equipamentos</v>
      </c>
      <c r="W56" s="30" t="s">
        <v>209</v>
      </c>
      <c r="X56" s="48" t="str">
        <f t="shared" si="10"/>
        <v>Key-AVAC-56</v>
      </c>
      <c r="Y56" s="29" t="s">
        <v>230</v>
      </c>
      <c r="Z56" s="58" t="s">
        <v>9</v>
      </c>
      <c r="AA56" s="29" t="s">
        <v>233</v>
      </c>
      <c r="AB56" s="58" t="s">
        <v>9</v>
      </c>
      <c r="AC56" s="30" t="s">
        <v>264</v>
      </c>
      <c r="AD56" s="58" t="s">
        <v>9</v>
      </c>
    </row>
    <row r="57" spans="1:30" ht="6.65" customHeight="1" x14ac:dyDescent="0.4">
      <c r="A57" s="49">
        <v>57</v>
      </c>
      <c r="B57" s="1" t="s">
        <v>467</v>
      </c>
      <c r="C57" s="1" t="s">
        <v>563</v>
      </c>
      <c r="D57" s="1" t="s">
        <v>566</v>
      </c>
      <c r="E57" s="1" t="s">
        <v>396</v>
      </c>
      <c r="F57" s="34" t="s">
        <v>341</v>
      </c>
      <c r="G57" s="51" t="s">
        <v>9</v>
      </c>
      <c r="H57" s="51" t="s">
        <v>9</v>
      </c>
      <c r="I57" s="51" t="s">
        <v>9</v>
      </c>
      <c r="J57" s="51" t="s">
        <v>9</v>
      </c>
      <c r="K57" s="51" t="s">
        <v>9</v>
      </c>
      <c r="L57" s="35" t="str">
        <f t="shared" si="12"/>
        <v>De.AVAC</v>
      </c>
      <c r="M57" s="35" t="str">
        <f t="shared" si="12"/>
        <v>Elementos.de.Avac</v>
      </c>
      <c r="N57" s="35" t="str">
        <f t="shared" si="13"/>
        <v>Avac Equipamentos</v>
      </c>
      <c r="O57" s="30" t="str">
        <f t="shared" si="11"/>
        <v>Avac.Bobina.de.Tubos</v>
      </c>
      <c r="P57" s="30" t="s">
        <v>88</v>
      </c>
      <c r="Q57" s="30" t="s">
        <v>136</v>
      </c>
      <c r="R57" s="30" t="s">
        <v>499</v>
      </c>
      <c r="S57" s="30" t="s">
        <v>9</v>
      </c>
      <c r="T57" s="30" t="str">
        <f t="shared" si="14"/>
        <v>De.AVAC</v>
      </c>
      <c r="U57" s="30" t="str">
        <f t="shared" si="14"/>
        <v>Elementos.de.Avac</v>
      </c>
      <c r="V57" s="30" t="str">
        <f t="shared" si="14"/>
        <v>Avac.Equipamentos</v>
      </c>
      <c r="W57" s="30" t="s">
        <v>209</v>
      </c>
      <c r="X57" s="48" t="str">
        <f t="shared" si="10"/>
        <v>Key-AVAC-57</v>
      </c>
      <c r="Y57" s="29" t="s">
        <v>230</v>
      </c>
      <c r="Z57" s="58" t="s">
        <v>9</v>
      </c>
      <c r="AA57" s="29" t="s">
        <v>234</v>
      </c>
      <c r="AB57" s="58" t="s">
        <v>9</v>
      </c>
      <c r="AC57" s="30" t="s">
        <v>264</v>
      </c>
      <c r="AD57" s="58" t="s">
        <v>9</v>
      </c>
    </row>
    <row r="58" spans="1:30" ht="6.65" customHeight="1" x14ac:dyDescent="0.4">
      <c r="A58" s="49">
        <v>58</v>
      </c>
      <c r="B58" s="1" t="s">
        <v>467</v>
      </c>
      <c r="C58" s="1" t="s">
        <v>563</v>
      </c>
      <c r="D58" s="1" t="s">
        <v>566</v>
      </c>
      <c r="E58" s="1" t="s">
        <v>396</v>
      </c>
      <c r="F58" s="34" t="s">
        <v>342</v>
      </c>
      <c r="G58" s="51" t="s">
        <v>9</v>
      </c>
      <c r="H58" s="51" t="s">
        <v>9</v>
      </c>
      <c r="I58" s="51" t="s">
        <v>9</v>
      </c>
      <c r="J58" s="51" t="s">
        <v>9</v>
      </c>
      <c r="K58" s="51" t="s">
        <v>9</v>
      </c>
      <c r="L58" s="35" t="str">
        <f t="shared" si="12"/>
        <v>De.AVAC</v>
      </c>
      <c r="M58" s="35" t="str">
        <f t="shared" si="12"/>
        <v>Elementos.de.Avac</v>
      </c>
      <c r="N58" s="35" t="str">
        <f t="shared" si="13"/>
        <v>Avac Equipamentos</v>
      </c>
      <c r="O58" s="30" t="str">
        <f t="shared" si="11"/>
        <v>Avac.Caldeira</v>
      </c>
      <c r="P58" s="30" t="s">
        <v>82</v>
      </c>
      <c r="Q58" s="30" t="s">
        <v>130</v>
      </c>
      <c r="R58" s="30" t="s">
        <v>500</v>
      </c>
      <c r="S58" s="30" t="s">
        <v>9</v>
      </c>
      <c r="T58" s="30" t="str">
        <f t="shared" si="14"/>
        <v>De.AVAC</v>
      </c>
      <c r="U58" s="30" t="str">
        <f t="shared" si="14"/>
        <v>Elementos.de.Avac</v>
      </c>
      <c r="V58" s="30" t="str">
        <f t="shared" si="14"/>
        <v>Avac.Equipamentos</v>
      </c>
      <c r="W58" s="30" t="s">
        <v>209</v>
      </c>
      <c r="X58" s="48" t="str">
        <f t="shared" si="10"/>
        <v>Key-AVAC-58</v>
      </c>
      <c r="Y58" s="29" t="s">
        <v>230</v>
      </c>
      <c r="Z58" s="58" t="s">
        <v>9</v>
      </c>
      <c r="AA58" s="29" t="s">
        <v>235</v>
      </c>
      <c r="AB58" s="58" t="s">
        <v>9</v>
      </c>
      <c r="AC58" s="30" t="s">
        <v>264</v>
      </c>
      <c r="AD58" s="58" t="s">
        <v>9</v>
      </c>
    </row>
    <row r="59" spans="1:30" ht="6.65" customHeight="1" x14ac:dyDescent="0.4">
      <c r="A59" s="49">
        <v>59</v>
      </c>
      <c r="B59" s="1" t="s">
        <v>467</v>
      </c>
      <c r="C59" s="1" t="s">
        <v>563</v>
      </c>
      <c r="D59" s="1" t="s">
        <v>566</v>
      </c>
      <c r="E59" s="1" t="s">
        <v>396</v>
      </c>
      <c r="F59" s="34" t="s">
        <v>343</v>
      </c>
      <c r="G59" s="51" t="s">
        <v>9</v>
      </c>
      <c r="H59" s="51" t="s">
        <v>9</v>
      </c>
      <c r="I59" s="51" t="s">
        <v>9</v>
      </c>
      <c r="J59" s="51" t="s">
        <v>9</v>
      </c>
      <c r="K59" s="51" t="s">
        <v>9</v>
      </c>
      <c r="L59" s="35" t="str">
        <f t="shared" ref="L59:M111" si="15">CONCATENATE("", C59)</f>
        <v>De.AVAC</v>
      </c>
      <c r="M59" s="35" t="str">
        <f t="shared" si="15"/>
        <v>Elementos.de.Avac</v>
      </c>
      <c r="N59" s="35" t="str">
        <f t="shared" si="13"/>
        <v>Avac Equipamentos</v>
      </c>
      <c r="O59" s="30" t="str">
        <f t="shared" si="11"/>
        <v>Avac.Chaminé</v>
      </c>
      <c r="P59" s="30" t="s">
        <v>85</v>
      </c>
      <c r="Q59" s="30" t="s">
        <v>133</v>
      </c>
      <c r="R59" s="30" t="s">
        <v>501</v>
      </c>
      <c r="S59" s="30" t="s">
        <v>9</v>
      </c>
      <c r="T59" s="30" t="str">
        <f t="shared" si="14"/>
        <v>De.AVAC</v>
      </c>
      <c r="U59" s="30" t="str">
        <f t="shared" si="14"/>
        <v>Elementos.de.Avac</v>
      </c>
      <c r="V59" s="30" t="str">
        <f t="shared" si="14"/>
        <v>Avac.Equipamentos</v>
      </c>
      <c r="W59" s="30" t="s">
        <v>209</v>
      </c>
      <c r="X59" s="48" t="str">
        <f t="shared" si="10"/>
        <v>Key-AVAC-59</v>
      </c>
      <c r="Y59" s="29" t="s">
        <v>230</v>
      </c>
      <c r="Z59" s="58" t="s">
        <v>9</v>
      </c>
      <c r="AA59" s="29" t="s">
        <v>236</v>
      </c>
      <c r="AB59" s="58" t="s">
        <v>9</v>
      </c>
      <c r="AC59" s="30" t="s">
        <v>264</v>
      </c>
      <c r="AD59" s="58" t="s">
        <v>9</v>
      </c>
    </row>
    <row r="60" spans="1:30" ht="6.65" customHeight="1" x14ac:dyDescent="0.4">
      <c r="A60" s="49">
        <v>60</v>
      </c>
      <c r="B60" s="1" t="s">
        <v>467</v>
      </c>
      <c r="C60" s="1" t="s">
        <v>563</v>
      </c>
      <c r="D60" s="1" t="s">
        <v>566</v>
      </c>
      <c r="E60" s="1" t="s">
        <v>396</v>
      </c>
      <c r="F60" s="34" t="s">
        <v>344</v>
      </c>
      <c r="G60" s="51" t="s">
        <v>9</v>
      </c>
      <c r="H60" s="51" t="s">
        <v>9</v>
      </c>
      <c r="I60" s="51" t="s">
        <v>9</v>
      </c>
      <c r="J60" s="51" t="s">
        <v>9</v>
      </c>
      <c r="K60" s="51" t="s">
        <v>9</v>
      </c>
      <c r="L60" s="35" t="str">
        <f t="shared" si="15"/>
        <v>De.AVAC</v>
      </c>
      <c r="M60" s="35" t="str">
        <f t="shared" si="15"/>
        <v>Elementos.de.Avac</v>
      </c>
      <c r="N60" s="35" t="str">
        <f t="shared" si="13"/>
        <v>Avac Equipamentos</v>
      </c>
      <c r="O60" s="30" t="str">
        <f t="shared" si="11"/>
        <v>Avac.Chiller</v>
      </c>
      <c r="P60" s="30" t="s">
        <v>84</v>
      </c>
      <c r="Q60" s="30" t="s">
        <v>132</v>
      </c>
      <c r="R60" s="30" t="s">
        <v>502</v>
      </c>
      <c r="S60" s="30" t="s">
        <v>9</v>
      </c>
      <c r="T60" s="30" t="str">
        <f t="shared" si="14"/>
        <v>De.AVAC</v>
      </c>
      <c r="U60" s="30" t="str">
        <f t="shared" si="14"/>
        <v>Elementos.de.Avac</v>
      </c>
      <c r="V60" s="30" t="str">
        <f t="shared" si="14"/>
        <v>Avac.Equipamentos</v>
      </c>
      <c r="W60" s="30" t="s">
        <v>209</v>
      </c>
      <c r="X60" s="48" t="str">
        <f t="shared" si="10"/>
        <v>Key-AVAC-60</v>
      </c>
      <c r="Y60" s="29" t="s">
        <v>230</v>
      </c>
      <c r="Z60" s="58" t="s">
        <v>9</v>
      </c>
      <c r="AA60" s="29" t="s">
        <v>237</v>
      </c>
      <c r="AB60" s="58" t="s">
        <v>9</v>
      </c>
      <c r="AC60" s="30" t="s">
        <v>264</v>
      </c>
      <c r="AD60" s="58" t="s">
        <v>9</v>
      </c>
    </row>
    <row r="61" spans="1:30" ht="6.65" customHeight="1" x14ac:dyDescent="0.4">
      <c r="A61" s="49">
        <v>61</v>
      </c>
      <c r="B61" s="1" t="s">
        <v>467</v>
      </c>
      <c r="C61" s="1" t="s">
        <v>563</v>
      </c>
      <c r="D61" s="1" t="s">
        <v>566</v>
      </c>
      <c r="E61" s="1" t="s">
        <v>396</v>
      </c>
      <c r="F61" s="34" t="s">
        <v>345</v>
      </c>
      <c r="G61" s="51" t="s">
        <v>9</v>
      </c>
      <c r="H61" s="51" t="s">
        <v>9</v>
      </c>
      <c r="I61" s="51" t="s">
        <v>9</v>
      </c>
      <c r="J61" s="51" t="s">
        <v>9</v>
      </c>
      <c r="K61" s="51" t="s">
        <v>9</v>
      </c>
      <c r="L61" s="35" t="str">
        <f t="shared" si="15"/>
        <v>De.AVAC</v>
      </c>
      <c r="M61" s="35" t="str">
        <f t="shared" si="15"/>
        <v>Elementos.de.Avac</v>
      </c>
      <c r="N61" s="35" t="str">
        <f t="shared" si="13"/>
        <v>Avac Equipamentos</v>
      </c>
      <c r="O61" s="30" t="str">
        <f t="shared" si="11"/>
        <v>Avac.Condensador</v>
      </c>
      <c r="P61" s="30" t="s">
        <v>86</v>
      </c>
      <c r="Q61" s="30" t="s">
        <v>134</v>
      </c>
      <c r="R61" s="30" t="s">
        <v>503</v>
      </c>
      <c r="S61" s="30" t="s">
        <v>9</v>
      </c>
      <c r="T61" s="30" t="str">
        <f t="shared" ref="T61:V76" si="16">SUBSTITUTE(C61, "_", " ")</f>
        <v>De.AVAC</v>
      </c>
      <c r="U61" s="30" t="str">
        <f t="shared" si="16"/>
        <v>Elementos.de.Avac</v>
      </c>
      <c r="V61" s="30" t="str">
        <f t="shared" si="16"/>
        <v>Avac.Equipamentos</v>
      </c>
      <c r="W61" s="30" t="s">
        <v>209</v>
      </c>
      <c r="X61" s="48" t="str">
        <f t="shared" si="10"/>
        <v>Key-AVAC-61</v>
      </c>
      <c r="Y61" s="29" t="s">
        <v>230</v>
      </c>
      <c r="Z61" s="58" t="s">
        <v>9</v>
      </c>
      <c r="AA61" s="29" t="s">
        <v>238</v>
      </c>
      <c r="AB61" s="58" t="s">
        <v>9</v>
      </c>
      <c r="AC61" s="30" t="s">
        <v>264</v>
      </c>
      <c r="AD61" s="58" t="s">
        <v>9</v>
      </c>
    </row>
    <row r="62" spans="1:30" ht="6.65" customHeight="1" x14ac:dyDescent="0.4">
      <c r="A62" s="49">
        <v>62</v>
      </c>
      <c r="B62" s="1" t="s">
        <v>467</v>
      </c>
      <c r="C62" s="1" t="s">
        <v>563</v>
      </c>
      <c r="D62" s="1" t="s">
        <v>566</v>
      </c>
      <c r="E62" s="1" t="s">
        <v>396</v>
      </c>
      <c r="F62" s="34" t="s">
        <v>346</v>
      </c>
      <c r="G62" s="51" t="s">
        <v>9</v>
      </c>
      <c r="H62" s="51" t="s">
        <v>9</v>
      </c>
      <c r="I62" s="51" t="s">
        <v>9</v>
      </c>
      <c r="J62" s="51" t="s">
        <v>9</v>
      </c>
      <c r="K62" s="51" t="s">
        <v>9</v>
      </c>
      <c r="L62" s="35" t="str">
        <f t="shared" si="15"/>
        <v>De.AVAC</v>
      </c>
      <c r="M62" s="35" t="str">
        <f t="shared" si="15"/>
        <v>Elementos.de.Avac</v>
      </c>
      <c r="N62" s="35" t="str">
        <f t="shared" si="13"/>
        <v>Avac Equipamentos</v>
      </c>
      <c r="O62" s="30" t="str">
        <f t="shared" si="11"/>
        <v>Avac.Evaporador</v>
      </c>
      <c r="P62" s="30" t="s">
        <v>87</v>
      </c>
      <c r="Q62" s="30" t="s">
        <v>135</v>
      </c>
      <c r="R62" s="30" t="s">
        <v>504</v>
      </c>
      <c r="S62" s="30" t="s">
        <v>9</v>
      </c>
      <c r="T62" s="30" t="str">
        <f t="shared" si="16"/>
        <v>De.AVAC</v>
      </c>
      <c r="U62" s="30" t="str">
        <f t="shared" si="16"/>
        <v>Elementos.de.Avac</v>
      </c>
      <c r="V62" s="30" t="str">
        <f t="shared" si="16"/>
        <v>Avac.Equipamentos</v>
      </c>
      <c r="W62" s="30" t="s">
        <v>209</v>
      </c>
      <c r="X62" s="48" t="str">
        <f t="shared" si="10"/>
        <v>Key-AVAC-62</v>
      </c>
      <c r="Y62" s="29" t="s">
        <v>230</v>
      </c>
      <c r="Z62" s="58" t="s">
        <v>9</v>
      </c>
      <c r="AA62" s="29" t="s">
        <v>239</v>
      </c>
      <c r="AB62" s="58" t="s">
        <v>9</v>
      </c>
      <c r="AC62" s="30" t="s">
        <v>264</v>
      </c>
      <c r="AD62" s="58" t="s">
        <v>9</v>
      </c>
    </row>
    <row r="63" spans="1:30" ht="6.65" customHeight="1" x14ac:dyDescent="0.4">
      <c r="A63" s="49">
        <v>63</v>
      </c>
      <c r="B63" s="1" t="s">
        <v>467</v>
      </c>
      <c r="C63" s="1" t="s">
        <v>563</v>
      </c>
      <c r="D63" s="1" t="s">
        <v>566</v>
      </c>
      <c r="E63" s="1" t="s">
        <v>396</v>
      </c>
      <c r="F63" s="34" t="s">
        <v>348</v>
      </c>
      <c r="G63" s="51" t="s">
        <v>9</v>
      </c>
      <c r="H63" s="51" t="s">
        <v>9</v>
      </c>
      <c r="I63" s="51" t="s">
        <v>9</v>
      </c>
      <c r="J63" s="51" t="s">
        <v>9</v>
      </c>
      <c r="K63" s="51" t="s">
        <v>9</v>
      </c>
      <c r="L63" s="35" t="str">
        <f t="shared" si="15"/>
        <v>De.AVAC</v>
      </c>
      <c r="M63" s="35" t="str">
        <f t="shared" si="15"/>
        <v>Elementos.de.Avac</v>
      </c>
      <c r="N63" s="35" t="str">
        <f t="shared" si="13"/>
        <v>Avac Equipamentos</v>
      </c>
      <c r="O63" s="30" t="str">
        <f t="shared" si="11"/>
        <v>Avac.Queimador</v>
      </c>
      <c r="P63" s="30" t="s">
        <v>83</v>
      </c>
      <c r="Q63" s="30" t="s">
        <v>131</v>
      </c>
      <c r="R63" s="30" t="s">
        <v>505</v>
      </c>
      <c r="S63" s="30" t="s">
        <v>9</v>
      </c>
      <c r="T63" s="30" t="str">
        <f t="shared" si="16"/>
        <v>De.AVAC</v>
      </c>
      <c r="U63" s="30" t="str">
        <f t="shared" si="16"/>
        <v>Elementos.de.Avac</v>
      </c>
      <c r="V63" s="30" t="str">
        <f t="shared" si="16"/>
        <v>Avac.Equipamentos</v>
      </c>
      <c r="W63" s="30" t="s">
        <v>209</v>
      </c>
      <c r="X63" s="48" t="str">
        <f t="shared" si="10"/>
        <v>Key-AVAC-63</v>
      </c>
      <c r="Y63" s="29" t="s">
        <v>230</v>
      </c>
      <c r="Z63" s="58" t="s">
        <v>9</v>
      </c>
      <c r="AA63" s="29" t="s">
        <v>240</v>
      </c>
      <c r="AB63" s="58" t="s">
        <v>9</v>
      </c>
      <c r="AC63" s="30" t="s">
        <v>264</v>
      </c>
      <c r="AD63" s="58" t="s">
        <v>9</v>
      </c>
    </row>
    <row r="64" spans="1:30" ht="6.65" customHeight="1" x14ac:dyDescent="0.4">
      <c r="A64" s="49">
        <v>64</v>
      </c>
      <c r="B64" s="1" t="s">
        <v>467</v>
      </c>
      <c r="C64" s="1" t="s">
        <v>563</v>
      </c>
      <c r="D64" s="1" t="s">
        <v>566</v>
      </c>
      <c r="E64" s="1" t="s">
        <v>396</v>
      </c>
      <c r="F64" s="34" t="s">
        <v>347</v>
      </c>
      <c r="G64" s="51" t="s">
        <v>9</v>
      </c>
      <c r="H64" s="51" t="s">
        <v>9</v>
      </c>
      <c r="I64" s="51" t="s">
        <v>9</v>
      </c>
      <c r="J64" s="51" t="s">
        <v>9</v>
      </c>
      <c r="K64" s="51" t="s">
        <v>9</v>
      </c>
      <c r="L64" s="35" t="str">
        <f t="shared" si="15"/>
        <v>De.AVAC</v>
      </c>
      <c r="M64" s="35" t="str">
        <f t="shared" si="15"/>
        <v>Elementos.de.Avac</v>
      </c>
      <c r="N64" s="35" t="str">
        <f t="shared" si="13"/>
        <v>Avac Equipamentos</v>
      </c>
      <c r="O64" s="30" t="str">
        <f t="shared" si="11"/>
        <v>Avac.Recuperador.Ar-Ar</v>
      </c>
      <c r="P64" s="30" t="s">
        <v>89</v>
      </c>
      <c r="Q64" s="30" t="s">
        <v>137</v>
      </c>
      <c r="R64" s="30" t="s">
        <v>506</v>
      </c>
      <c r="S64" s="30" t="s">
        <v>9</v>
      </c>
      <c r="T64" s="30" t="str">
        <f t="shared" si="16"/>
        <v>De.AVAC</v>
      </c>
      <c r="U64" s="30" t="str">
        <f t="shared" si="16"/>
        <v>Elementos.de.Avac</v>
      </c>
      <c r="V64" s="30" t="str">
        <f t="shared" si="16"/>
        <v>Avac.Equipamentos</v>
      </c>
      <c r="W64" s="30" t="s">
        <v>209</v>
      </c>
      <c r="X64" s="48" t="str">
        <f t="shared" si="10"/>
        <v>Key-AVAC-64</v>
      </c>
      <c r="Y64" s="29" t="s">
        <v>230</v>
      </c>
      <c r="Z64" s="58" t="s">
        <v>9</v>
      </c>
      <c r="AA64" s="29" t="s">
        <v>241</v>
      </c>
      <c r="AB64" s="58" t="s">
        <v>9</v>
      </c>
      <c r="AC64" s="30" t="s">
        <v>264</v>
      </c>
      <c r="AD64" s="58" t="s">
        <v>9</v>
      </c>
    </row>
    <row r="65" spans="1:30" ht="6.65" customHeight="1" x14ac:dyDescent="0.4">
      <c r="A65" s="49">
        <v>65</v>
      </c>
      <c r="B65" s="1" t="s">
        <v>467</v>
      </c>
      <c r="C65" s="1" t="s">
        <v>563</v>
      </c>
      <c r="D65" s="1" t="s">
        <v>566</v>
      </c>
      <c r="E65" s="1" t="s">
        <v>396</v>
      </c>
      <c r="F65" s="34" t="s">
        <v>349</v>
      </c>
      <c r="G65" s="51" t="s">
        <v>9</v>
      </c>
      <c r="H65" s="51" t="s">
        <v>9</v>
      </c>
      <c r="I65" s="51" t="s">
        <v>9</v>
      </c>
      <c r="J65" s="51" t="s">
        <v>9</v>
      </c>
      <c r="K65" s="51" t="s">
        <v>9</v>
      </c>
      <c r="L65" s="35" t="str">
        <f t="shared" si="15"/>
        <v>De.AVAC</v>
      </c>
      <c r="M65" s="35" t="str">
        <f t="shared" si="15"/>
        <v>Elementos.de.Avac</v>
      </c>
      <c r="N65" s="35" t="str">
        <f t="shared" si="13"/>
        <v>Avac Equipamentos</v>
      </c>
      <c r="O65" s="30" t="str">
        <f t="shared" si="11"/>
        <v>Avac.Resfriador.Evaporativo</v>
      </c>
      <c r="P65" s="30" t="s">
        <v>90</v>
      </c>
      <c r="Q65" s="30" t="s">
        <v>138</v>
      </c>
      <c r="R65" s="30" t="s">
        <v>507</v>
      </c>
      <c r="S65" s="30" t="s">
        <v>9</v>
      </c>
      <c r="T65" s="30" t="str">
        <f t="shared" si="16"/>
        <v>De.AVAC</v>
      </c>
      <c r="U65" s="30" t="str">
        <f t="shared" si="16"/>
        <v>Elementos.de.Avac</v>
      </c>
      <c r="V65" s="30" t="str">
        <f t="shared" si="16"/>
        <v>Avac.Equipamentos</v>
      </c>
      <c r="W65" s="30" t="s">
        <v>209</v>
      </c>
      <c r="X65" s="48" t="str">
        <f t="shared" si="10"/>
        <v>Key-AVAC-65</v>
      </c>
      <c r="Y65" s="29" t="s">
        <v>230</v>
      </c>
      <c r="Z65" s="58" t="s">
        <v>9</v>
      </c>
      <c r="AA65" s="29" t="s">
        <v>242</v>
      </c>
      <c r="AB65" s="58" t="s">
        <v>9</v>
      </c>
      <c r="AC65" s="30" t="s">
        <v>264</v>
      </c>
      <c r="AD65" s="58" t="s">
        <v>9</v>
      </c>
    </row>
    <row r="66" spans="1:30" ht="6.65" customHeight="1" x14ac:dyDescent="0.4">
      <c r="A66" s="49">
        <v>66</v>
      </c>
      <c r="B66" s="1" t="s">
        <v>467</v>
      </c>
      <c r="C66" s="1" t="s">
        <v>563</v>
      </c>
      <c r="D66" s="1" t="s">
        <v>566</v>
      </c>
      <c r="E66" s="1" t="s">
        <v>396</v>
      </c>
      <c r="F66" s="34" t="s">
        <v>350</v>
      </c>
      <c r="G66" s="51" t="s">
        <v>9</v>
      </c>
      <c r="H66" s="51" t="s">
        <v>9</v>
      </c>
      <c r="I66" s="51" t="s">
        <v>9</v>
      </c>
      <c r="J66" s="51" t="s">
        <v>9</v>
      </c>
      <c r="K66" s="51" t="s">
        <v>9</v>
      </c>
      <c r="L66" s="35" t="str">
        <f t="shared" si="15"/>
        <v>De.AVAC</v>
      </c>
      <c r="M66" s="35" t="str">
        <f t="shared" si="15"/>
        <v>Elementos.de.Avac</v>
      </c>
      <c r="N66" s="35" t="str">
        <f t="shared" si="13"/>
        <v>Avac Equipamentos</v>
      </c>
      <c r="O66" s="30" t="str">
        <f t="shared" si="11"/>
        <v>Avac.Serpentina</v>
      </c>
      <c r="P66" s="30" t="s">
        <v>91</v>
      </c>
      <c r="Q66" s="30" t="s">
        <v>139</v>
      </c>
      <c r="R66" s="30" t="s">
        <v>508</v>
      </c>
      <c r="S66" s="30" t="s">
        <v>9</v>
      </c>
      <c r="T66" s="30" t="str">
        <f t="shared" si="16"/>
        <v>De.AVAC</v>
      </c>
      <c r="U66" s="30" t="str">
        <f t="shared" si="16"/>
        <v>Elementos.de.Avac</v>
      </c>
      <c r="V66" s="30" t="str">
        <f t="shared" si="16"/>
        <v>Avac.Equipamentos</v>
      </c>
      <c r="W66" s="30" t="s">
        <v>209</v>
      </c>
      <c r="X66" s="48" t="str">
        <f t="shared" si="10"/>
        <v>Key-AVAC-66</v>
      </c>
      <c r="Y66" s="29" t="s">
        <v>230</v>
      </c>
      <c r="Z66" s="58" t="s">
        <v>9</v>
      </c>
      <c r="AA66" s="29" t="s">
        <v>243</v>
      </c>
      <c r="AB66" s="58" t="s">
        <v>9</v>
      </c>
      <c r="AC66" s="30" t="s">
        <v>264</v>
      </c>
      <c r="AD66" s="58" t="s">
        <v>9</v>
      </c>
    </row>
    <row r="67" spans="1:30" ht="6.65" customHeight="1" x14ac:dyDescent="0.4">
      <c r="A67" s="49">
        <v>67</v>
      </c>
      <c r="B67" s="1" t="s">
        <v>467</v>
      </c>
      <c r="C67" s="1" t="s">
        <v>563</v>
      </c>
      <c r="D67" s="1" t="s">
        <v>566</v>
      </c>
      <c r="E67" s="1" t="s">
        <v>396</v>
      </c>
      <c r="F67" s="34" t="s">
        <v>351</v>
      </c>
      <c r="G67" s="51" t="s">
        <v>9</v>
      </c>
      <c r="H67" s="51" t="s">
        <v>9</v>
      </c>
      <c r="I67" s="51" t="s">
        <v>9</v>
      </c>
      <c r="J67" s="51" t="s">
        <v>9</v>
      </c>
      <c r="K67" s="51" t="s">
        <v>9</v>
      </c>
      <c r="L67" s="35" t="str">
        <f t="shared" si="15"/>
        <v>De.AVAC</v>
      </c>
      <c r="M67" s="35" t="str">
        <f t="shared" si="15"/>
        <v>Elementos.de.Avac</v>
      </c>
      <c r="N67" s="35" t="str">
        <f t="shared" si="13"/>
        <v>Avac Equipamentos</v>
      </c>
      <c r="O67" s="30" t="str">
        <f t="shared" si="11"/>
        <v>Avac.Torre.Arrefecimento</v>
      </c>
      <c r="P67" s="30" t="s">
        <v>92</v>
      </c>
      <c r="Q67" s="30" t="s">
        <v>140</v>
      </c>
      <c r="R67" s="30" t="s">
        <v>509</v>
      </c>
      <c r="S67" s="30" t="s">
        <v>9</v>
      </c>
      <c r="T67" s="30" t="str">
        <f t="shared" si="16"/>
        <v>De.AVAC</v>
      </c>
      <c r="U67" s="30" t="str">
        <f t="shared" si="16"/>
        <v>Elementos.de.Avac</v>
      </c>
      <c r="V67" s="30" t="str">
        <f t="shared" si="16"/>
        <v>Avac.Equipamentos</v>
      </c>
      <c r="W67" s="30" t="s">
        <v>209</v>
      </c>
      <c r="X67" s="48" t="str">
        <f t="shared" si="10"/>
        <v>Key-AVAC-67</v>
      </c>
      <c r="Y67" s="29" t="s">
        <v>230</v>
      </c>
      <c r="Z67" s="58" t="s">
        <v>9</v>
      </c>
      <c r="AA67" s="29" t="s">
        <v>244</v>
      </c>
      <c r="AB67" s="58" t="s">
        <v>9</v>
      </c>
      <c r="AC67" s="30" t="s">
        <v>264</v>
      </c>
      <c r="AD67" s="58" t="s">
        <v>9</v>
      </c>
    </row>
    <row r="68" spans="1:30" ht="6.65" customHeight="1" x14ac:dyDescent="0.4">
      <c r="A68" s="49">
        <v>68</v>
      </c>
      <c r="B68" s="1" t="s">
        <v>467</v>
      </c>
      <c r="C68" s="1" t="s">
        <v>563</v>
      </c>
      <c r="D68" s="1" t="s">
        <v>566</v>
      </c>
      <c r="E68" s="1" t="s">
        <v>396</v>
      </c>
      <c r="F68" s="34" t="s">
        <v>353</v>
      </c>
      <c r="G68" s="51" t="s">
        <v>9</v>
      </c>
      <c r="H68" s="51" t="s">
        <v>9</v>
      </c>
      <c r="I68" s="51" t="s">
        <v>9</v>
      </c>
      <c r="J68" s="51" t="s">
        <v>9</v>
      </c>
      <c r="K68" s="51" t="s">
        <v>9</v>
      </c>
      <c r="L68" s="35" t="str">
        <f t="shared" si="15"/>
        <v>De.AVAC</v>
      </c>
      <c r="M68" s="35" t="str">
        <f t="shared" si="15"/>
        <v>Elementos.de.Avac</v>
      </c>
      <c r="N68" s="35" t="str">
        <f t="shared" si="13"/>
        <v>Avac Equipamentos</v>
      </c>
      <c r="O68" s="30" t="str">
        <f t="shared" si="11"/>
        <v>Avac.Trocador.de.Calor</v>
      </c>
      <c r="P68" s="30" t="s">
        <v>93</v>
      </c>
      <c r="Q68" s="30" t="s">
        <v>141</v>
      </c>
      <c r="R68" s="30" t="s">
        <v>510</v>
      </c>
      <c r="S68" s="30" t="s">
        <v>9</v>
      </c>
      <c r="T68" s="30" t="str">
        <f t="shared" si="16"/>
        <v>De.AVAC</v>
      </c>
      <c r="U68" s="30" t="str">
        <f t="shared" si="16"/>
        <v>Elementos.de.Avac</v>
      </c>
      <c r="V68" s="30" t="str">
        <f t="shared" si="16"/>
        <v>Avac.Equipamentos</v>
      </c>
      <c r="W68" s="30" t="s">
        <v>209</v>
      </c>
      <c r="X68" s="48" t="str">
        <f t="shared" si="10"/>
        <v>Key-AVAC-68</v>
      </c>
      <c r="Y68" s="29" t="s">
        <v>230</v>
      </c>
      <c r="Z68" s="58" t="s">
        <v>9</v>
      </c>
      <c r="AA68" s="29" t="s">
        <v>245</v>
      </c>
      <c r="AB68" s="58" t="s">
        <v>9</v>
      </c>
      <c r="AC68" s="30" t="s">
        <v>264</v>
      </c>
      <c r="AD68" s="58" t="s">
        <v>9</v>
      </c>
    </row>
    <row r="69" spans="1:30" ht="6.65" customHeight="1" x14ac:dyDescent="0.4">
      <c r="A69" s="49">
        <v>69</v>
      </c>
      <c r="B69" s="1" t="s">
        <v>467</v>
      </c>
      <c r="C69" s="1" t="s">
        <v>563</v>
      </c>
      <c r="D69" s="1" t="s">
        <v>566</v>
      </c>
      <c r="E69" s="1" t="s">
        <v>396</v>
      </c>
      <c r="F69" s="34" t="s">
        <v>352</v>
      </c>
      <c r="G69" s="51" t="s">
        <v>9</v>
      </c>
      <c r="H69" s="51" t="s">
        <v>9</v>
      </c>
      <c r="I69" s="51" t="s">
        <v>9</v>
      </c>
      <c r="J69" s="51" t="s">
        <v>9</v>
      </c>
      <c r="K69" s="51" t="s">
        <v>9</v>
      </c>
      <c r="L69" s="35" t="str">
        <f t="shared" si="15"/>
        <v>De.AVAC</v>
      </c>
      <c r="M69" s="35" t="str">
        <f t="shared" si="15"/>
        <v>Elementos.de.Avac</v>
      </c>
      <c r="N69" s="35" t="str">
        <f t="shared" si="13"/>
        <v>Avac Equipamentos</v>
      </c>
      <c r="O69" s="30" t="str">
        <f t="shared" si="11"/>
        <v>Avac.Umidificador</v>
      </c>
      <c r="P69" s="30" t="s">
        <v>94</v>
      </c>
      <c r="Q69" s="30" t="s">
        <v>142</v>
      </c>
      <c r="R69" s="30" t="s">
        <v>511</v>
      </c>
      <c r="S69" s="30" t="s">
        <v>9</v>
      </c>
      <c r="T69" s="30" t="str">
        <f t="shared" si="16"/>
        <v>De.AVAC</v>
      </c>
      <c r="U69" s="30" t="str">
        <f t="shared" si="16"/>
        <v>Elementos.de.Avac</v>
      </c>
      <c r="V69" s="30" t="str">
        <f t="shared" si="16"/>
        <v>Avac.Equipamentos</v>
      </c>
      <c r="W69" s="30" t="s">
        <v>209</v>
      </c>
      <c r="X69" s="48" t="str">
        <f t="shared" si="10"/>
        <v>Key-AVAC-69</v>
      </c>
      <c r="Y69" s="29" t="s">
        <v>230</v>
      </c>
      <c r="Z69" s="58" t="s">
        <v>9</v>
      </c>
      <c r="AA69" s="29" t="s">
        <v>246</v>
      </c>
      <c r="AB69" s="58" t="s">
        <v>9</v>
      </c>
      <c r="AC69" s="30" t="s">
        <v>264</v>
      </c>
      <c r="AD69" s="58" t="s">
        <v>9</v>
      </c>
    </row>
    <row r="70" spans="1:30" ht="6.65" customHeight="1" x14ac:dyDescent="0.4">
      <c r="A70" s="49">
        <v>70</v>
      </c>
      <c r="B70" s="1" t="s">
        <v>467</v>
      </c>
      <c r="C70" s="1" t="s">
        <v>563</v>
      </c>
      <c r="D70" s="1" t="s">
        <v>566</v>
      </c>
      <c r="E70" s="1" t="s">
        <v>396</v>
      </c>
      <c r="F70" s="34" t="s">
        <v>354</v>
      </c>
      <c r="G70" s="51" t="s">
        <v>9</v>
      </c>
      <c r="H70" s="51" t="s">
        <v>9</v>
      </c>
      <c r="I70" s="51" t="s">
        <v>9</v>
      </c>
      <c r="J70" s="51" t="s">
        <v>9</v>
      </c>
      <c r="K70" s="51" t="s">
        <v>9</v>
      </c>
      <c r="L70" s="35" t="str">
        <f t="shared" si="15"/>
        <v>De.AVAC</v>
      </c>
      <c r="M70" s="35" t="str">
        <f t="shared" si="15"/>
        <v>Elementos.de.Avac</v>
      </c>
      <c r="N70" s="35" t="str">
        <f t="shared" si="13"/>
        <v>Avac Equipamentos</v>
      </c>
      <c r="O70" s="30" t="str">
        <f t="shared" si="11"/>
        <v>Avac.Ventilador</v>
      </c>
      <c r="P70" s="30" t="s">
        <v>112</v>
      </c>
      <c r="Q70" s="30" t="s">
        <v>147</v>
      </c>
      <c r="R70" s="30" t="s">
        <v>512</v>
      </c>
      <c r="S70" s="30" t="s">
        <v>9</v>
      </c>
      <c r="T70" s="30" t="str">
        <f t="shared" si="16"/>
        <v>De.AVAC</v>
      </c>
      <c r="U70" s="30" t="str">
        <f t="shared" si="16"/>
        <v>Elementos.de.Avac</v>
      </c>
      <c r="V70" s="30" t="str">
        <f t="shared" si="16"/>
        <v>Avac.Equipamentos</v>
      </c>
      <c r="W70" s="30" t="s">
        <v>209</v>
      </c>
      <c r="X70" s="48" t="str">
        <f t="shared" si="10"/>
        <v>Key-AVAC-70</v>
      </c>
      <c r="Y70" s="29" t="s">
        <v>230</v>
      </c>
      <c r="Z70" s="58" t="s">
        <v>9</v>
      </c>
      <c r="AA70" s="29" t="s">
        <v>247</v>
      </c>
      <c r="AB70" s="58" t="s">
        <v>9</v>
      </c>
      <c r="AC70" s="30" t="s">
        <v>264</v>
      </c>
      <c r="AD70" s="58" t="s">
        <v>9</v>
      </c>
    </row>
    <row r="71" spans="1:30" ht="6.65" customHeight="1" x14ac:dyDescent="0.4">
      <c r="A71" s="49">
        <v>71</v>
      </c>
      <c r="B71" s="1" t="s">
        <v>467</v>
      </c>
      <c r="C71" s="1" t="s">
        <v>563</v>
      </c>
      <c r="D71" s="1" t="s">
        <v>566</v>
      </c>
      <c r="E71" s="1" t="s">
        <v>455</v>
      </c>
      <c r="F71" s="34" t="s">
        <v>456</v>
      </c>
      <c r="G71" s="51" t="s">
        <v>9</v>
      </c>
      <c r="H71" s="51" t="s">
        <v>9</v>
      </c>
      <c r="I71" s="51" t="s">
        <v>9</v>
      </c>
      <c r="J71" s="51" t="s">
        <v>9</v>
      </c>
      <c r="K71" s="51" t="s">
        <v>9</v>
      </c>
      <c r="L71" s="35" t="str">
        <f t="shared" si="15"/>
        <v>De.AVAC</v>
      </c>
      <c r="M71" s="35" t="str">
        <f t="shared" si="15"/>
        <v>Elementos.de.Avac</v>
      </c>
      <c r="N71" s="35" t="str">
        <f t="shared" si="13"/>
        <v>Avac Equipamentos Unitarios</v>
      </c>
      <c r="O71" s="35" t="str">
        <f t="shared" ref="O71:O73" si="17">(SUBSTITUTE(SUBSTITUTE(CONCATENATE("",F71),"."," ")," De "," de "))</f>
        <v>Avac Aquecedor de Ambiente</v>
      </c>
      <c r="P71" s="30" t="s">
        <v>449</v>
      </c>
      <c r="Q71" s="30" t="s">
        <v>450</v>
      </c>
      <c r="R71" s="30" t="s">
        <v>513</v>
      </c>
      <c r="S71" s="30" t="s">
        <v>9</v>
      </c>
      <c r="T71" s="30" t="str">
        <f t="shared" ref="T71:T73" si="18">SUBSTITUTE(C71, ".", " ")</f>
        <v>De AVAC</v>
      </c>
      <c r="U71" s="30" t="str">
        <f t="shared" ref="U71:U73" si="19">SUBSTITUTE(D71, ".", " ")</f>
        <v>Elementos de Avac</v>
      </c>
      <c r="V71" s="30" t="str">
        <f t="shared" ref="V71:V73" si="20">SUBSTITUTE(E71, ".", " ")</f>
        <v>Avac Equipamentos Unitarios</v>
      </c>
      <c r="W71" s="30" t="s">
        <v>209</v>
      </c>
      <c r="X71" s="48" t="str">
        <f t="shared" si="10"/>
        <v>Key-AVAC-71</v>
      </c>
      <c r="Y71" s="30" t="s">
        <v>459</v>
      </c>
      <c r="Z71" s="58" t="s">
        <v>9</v>
      </c>
      <c r="AA71" s="29" t="s">
        <v>460</v>
      </c>
      <c r="AB71" s="58" t="s">
        <v>9</v>
      </c>
      <c r="AC71" s="30" t="s">
        <v>264</v>
      </c>
      <c r="AD71" s="58" t="s">
        <v>9</v>
      </c>
    </row>
    <row r="72" spans="1:30" ht="6.65" customHeight="1" x14ac:dyDescent="0.4">
      <c r="A72" s="49">
        <v>72</v>
      </c>
      <c r="B72" s="1" t="s">
        <v>467</v>
      </c>
      <c r="C72" s="1" t="s">
        <v>563</v>
      </c>
      <c r="D72" s="1" t="s">
        <v>566</v>
      </c>
      <c r="E72" s="1" t="s">
        <v>455</v>
      </c>
      <c r="F72" s="34" t="s">
        <v>457</v>
      </c>
      <c r="G72" s="51" t="s">
        <v>9</v>
      </c>
      <c r="H72" s="51" t="s">
        <v>9</v>
      </c>
      <c r="I72" s="51" t="s">
        <v>9</v>
      </c>
      <c r="J72" s="51" t="s">
        <v>9</v>
      </c>
      <c r="K72" s="51" t="s">
        <v>9</v>
      </c>
      <c r="L72" s="35" t="str">
        <f t="shared" si="15"/>
        <v>De.AVAC</v>
      </c>
      <c r="M72" s="35" t="str">
        <f t="shared" si="15"/>
        <v>Elementos.de.Avac</v>
      </c>
      <c r="N72" s="35" t="str">
        <f t="shared" si="13"/>
        <v>Avac Equipamentos Unitarios</v>
      </c>
      <c r="O72" s="35" t="str">
        <f t="shared" si="17"/>
        <v>Avac Aquecedor Convector</v>
      </c>
      <c r="P72" s="30" t="s">
        <v>451</v>
      </c>
      <c r="Q72" s="30" t="s">
        <v>452</v>
      </c>
      <c r="R72" s="30" t="s">
        <v>514</v>
      </c>
      <c r="S72" s="30" t="s">
        <v>9</v>
      </c>
      <c r="T72" s="30" t="str">
        <f t="shared" si="18"/>
        <v>De AVAC</v>
      </c>
      <c r="U72" s="30" t="str">
        <f t="shared" si="19"/>
        <v>Elementos de Avac</v>
      </c>
      <c r="V72" s="30" t="str">
        <f t="shared" si="20"/>
        <v>Avac Equipamentos Unitarios</v>
      </c>
      <c r="W72" s="30" t="s">
        <v>209</v>
      </c>
      <c r="X72" s="48" t="str">
        <f t="shared" si="10"/>
        <v>Key-AVAC-72</v>
      </c>
      <c r="Y72" s="30" t="s">
        <v>459</v>
      </c>
      <c r="Z72" s="58" t="s">
        <v>9</v>
      </c>
      <c r="AA72" s="29" t="s">
        <v>461</v>
      </c>
      <c r="AB72" s="58" t="s">
        <v>9</v>
      </c>
      <c r="AC72" s="30" t="s">
        <v>264</v>
      </c>
      <c r="AD72" s="58" t="s">
        <v>9</v>
      </c>
    </row>
    <row r="73" spans="1:30" ht="6.65" customHeight="1" x14ac:dyDescent="0.4">
      <c r="A73" s="49">
        <v>73</v>
      </c>
      <c r="B73" s="1" t="s">
        <v>467</v>
      </c>
      <c r="C73" s="1" t="s">
        <v>563</v>
      </c>
      <c r="D73" s="1" t="s">
        <v>566</v>
      </c>
      <c r="E73" s="1" t="s">
        <v>455</v>
      </c>
      <c r="F73" s="34" t="s">
        <v>458</v>
      </c>
      <c r="G73" s="51" t="s">
        <v>9</v>
      </c>
      <c r="H73" s="51" t="s">
        <v>9</v>
      </c>
      <c r="I73" s="51" t="s">
        <v>9</v>
      </c>
      <c r="J73" s="51" t="s">
        <v>9</v>
      </c>
      <c r="K73" s="51" t="s">
        <v>9</v>
      </c>
      <c r="L73" s="35" t="str">
        <f t="shared" si="15"/>
        <v>De.AVAC</v>
      </c>
      <c r="M73" s="35" t="str">
        <f t="shared" si="15"/>
        <v>Elementos.de.Avac</v>
      </c>
      <c r="N73" s="35" t="str">
        <f t="shared" si="13"/>
        <v>Avac Equipamentos Unitarios</v>
      </c>
      <c r="O73" s="35" t="str">
        <f t="shared" si="17"/>
        <v>Avac Aquecedor Radiação</v>
      </c>
      <c r="P73" s="30" t="s">
        <v>453</v>
      </c>
      <c r="Q73" s="30" t="s">
        <v>454</v>
      </c>
      <c r="R73" s="30" t="s">
        <v>515</v>
      </c>
      <c r="S73" s="30" t="s">
        <v>9</v>
      </c>
      <c r="T73" s="30" t="str">
        <f t="shared" si="18"/>
        <v>De AVAC</v>
      </c>
      <c r="U73" s="30" t="str">
        <f t="shared" si="19"/>
        <v>Elementos de Avac</v>
      </c>
      <c r="V73" s="30" t="str">
        <f t="shared" si="20"/>
        <v>Avac Equipamentos Unitarios</v>
      </c>
      <c r="W73" s="30" t="s">
        <v>209</v>
      </c>
      <c r="X73" s="48" t="str">
        <f t="shared" si="10"/>
        <v>Key-AVAC-73</v>
      </c>
      <c r="Y73" s="30" t="s">
        <v>459</v>
      </c>
      <c r="Z73" s="58" t="s">
        <v>9</v>
      </c>
      <c r="AA73" s="29" t="s">
        <v>462</v>
      </c>
      <c r="AB73" s="58" t="s">
        <v>9</v>
      </c>
      <c r="AC73" s="30" t="s">
        <v>264</v>
      </c>
      <c r="AD73" s="58" t="s">
        <v>9</v>
      </c>
    </row>
    <row r="74" spans="1:30" ht="6.65" customHeight="1" x14ac:dyDescent="0.4">
      <c r="A74" s="49">
        <v>74</v>
      </c>
      <c r="B74" s="1" t="s">
        <v>467</v>
      </c>
      <c r="C74" s="1" t="s">
        <v>563</v>
      </c>
      <c r="D74" s="33" t="s">
        <v>435</v>
      </c>
      <c r="E74" s="33" t="s">
        <v>394</v>
      </c>
      <c r="F74" s="34" t="s">
        <v>355</v>
      </c>
      <c r="G74" s="51" t="s">
        <v>9</v>
      </c>
      <c r="H74" s="51" t="s">
        <v>9</v>
      </c>
      <c r="I74" s="51" t="s">
        <v>9</v>
      </c>
      <c r="J74" s="51" t="s">
        <v>9</v>
      </c>
      <c r="K74" s="51" t="s">
        <v>9</v>
      </c>
      <c r="L74" s="35" t="str">
        <f t="shared" si="15"/>
        <v>De.AVAC</v>
      </c>
      <c r="M74" s="35" t="str">
        <f t="shared" si="15"/>
        <v>Elementos.de.AntiVibração</v>
      </c>
      <c r="N74" s="35" t="str">
        <f t="shared" si="13"/>
        <v>Avac Dampers</v>
      </c>
      <c r="O74" s="30" t="str">
        <f t="shared" si="11"/>
        <v>Avac.Amortecedor</v>
      </c>
      <c r="P74" s="30" t="s">
        <v>78</v>
      </c>
      <c r="Q74" s="30" t="s">
        <v>126</v>
      </c>
      <c r="R74" s="30" t="s">
        <v>516</v>
      </c>
      <c r="S74" s="30" t="s">
        <v>9</v>
      </c>
      <c r="T74" s="30" t="str">
        <f t="shared" si="16"/>
        <v>De.AVAC</v>
      </c>
      <c r="U74" s="30" t="str">
        <f t="shared" si="16"/>
        <v>Elementos.de.AntiVibração</v>
      </c>
      <c r="V74" s="30" t="str">
        <f t="shared" si="16"/>
        <v>Avac.Dampers</v>
      </c>
      <c r="W74" s="30" t="s">
        <v>209</v>
      </c>
      <c r="X74" s="48" t="str">
        <f t="shared" si="10"/>
        <v>Key-AVAC-74</v>
      </c>
      <c r="Y74" s="30" t="s">
        <v>248</v>
      </c>
      <c r="Z74" s="58" t="s">
        <v>9</v>
      </c>
      <c r="AA74" s="29" t="s">
        <v>249</v>
      </c>
      <c r="AB74" s="58" t="s">
        <v>9</v>
      </c>
      <c r="AC74" s="30" t="s">
        <v>264</v>
      </c>
      <c r="AD74" s="58" t="s">
        <v>9</v>
      </c>
    </row>
    <row r="75" spans="1:30" ht="6.65" customHeight="1" x14ac:dyDescent="0.4">
      <c r="A75" s="49">
        <v>75</v>
      </c>
      <c r="B75" s="1" t="s">
        <v>467</v>
      </c>
      <c r="C75" s="1" t="s">
        <v>563</v>
      </c>
      <c r="D75" s="33" t="s">
        <v>435</v>
      </c>
      <c r="E75" s="33" t="s">
        <v>394</v>
      </c>
      <c r="F75" s="34" t="s">
        <v>356</v>
      </c>
      <c r="G75" s="51" t="s">
        <v>9</v>
      </c>
      <c r="H75" s="51" t="s">
        <v>9</v>
      </c>
      <c r="I75" s="51" t="s">
        <v>9</v>
      </c>
      <c r="J75" s="51" t="s">
        <v>9</v>
      </c>
      <c r="K75" s="51" t="s">
        <v>9</v>
      </c>
      <c r="L75" s="35" t="str">
        <f t="shared" si="15"/>
        <v>De.AVAC</v>
      </c>
      <c r="M75" s="35" t="str">
        <f t="shared" si="15"/>
        <v>Elementos.de.AntiVibração</v>
      </c>
      <c r="N75" s="35" t="str">
        <f t="shared" si="13"/>
        <v>Avac Dampers</v>
      </c>
      <c r="O75" s="30" t="str">
        <f t="shared" si="11"/>
        <v>Avac.Vibração.Amortecedor</v>
      </c>
      <c r="P75" s="30" t="s">
        <v>79</v>
      </c>
      <c r="Q75" s="30" t="s">
        <v>127</v>
      </c>
      <c r="R75" s="30" t="s">
        <v>517</v>
      </c>
      <c r="S75" s="30" t="s">
        <v>9</v>
      </c>
      <c r="T75" s="30" t="str">
        <f t="shared" si="16"/>
        <v>De.AVAC</v>
      </c>
      <c r="U75" s="30" t="str">
        <f t="shared" si="16"/>
        <v>Elementos.de.AntiVibração</v>
      </c>
      <c r="V75" s="30" t="str">
        <f t="shared" si="16"/>
        <v>Avac.Dampers</v>
      </c>
      <c r="W75" s="30" t="s">
        <v>209</v>
      </c>
      <c r="X75" s="48" t="str">
        <f t="shared" si="10"/>
        <v>Key-AVAC-75</v>
      </c>
      <c r="Y75" s="30" t="s">
        <v>248</v>
      </c>
      <c r="Z75" s="58" t="s">
        <v>9</v>
      </c>
      <c r="AA75" s="29" t="s">
        <v>250</v>
      </c>
      <c r="AB75" s="58" t="s">
        <v>9</v>
      </c>
      <c r="AC75" s="30" t="s">
        <v>264</v>
      </c>
      <c r="AD75" s="58" t="s">
        <v>9</v>
      </c>
    </row>
    <row r="76" spans="1:30" ht="6.65" customHeight="1" x14ac:dyDescent="0.4">
      <c r="A76" s="49">
        <v>76</v>
      </c>
      <c r="B76" s="1" t="s">
        <v>467</v>
      </c>
      <c r="C76" s="1" t="s">
        <v>563</v>
      </c>
      <c r="D76" s="33" t="s">
        <v>435</v>
      </c>
      <c r="E76" s="33" t="s">
        <v>394</v>
      </c>
      <c r="F76" s="34" t="s">
        <v>357</v>
      </c>
      <c r="G76" s="51" t="s">
        <v>9</v>
      </c>
      <c r="H76" s="51" t="s">
        <v>9</v>
      </c>
      <c r="I76" s="51" t="s">
        <v>9</v>
      </c>
      <c r="J76" s="51" t="s">
        <v>9</v>
      </c>
      <c r="K76" s="51" t="s">
        <v>9</v>
      </c>
      <c r="L76" s="35" t="str">
        <f t="shared" si="15"/>
        <v>De.AVAC</v>
      </c>
      <c r="M76" s="35" t="str">
        <f t="shared" si="15"/>
        <v>Elementos.de.AntiVibração</v>
      </c>
      <c r="N76" s="35" t="str">
        <f t="shared" si="13"/>
        <v>Avac Dampers</v>
      </c>
      <c r="O76" s="30" t="str">
        <f t="shared" si="11"/>
        <v>Avac.Vibração.Isolador</v>
      </c>
      <c r="P76" s="30" t="s">
        <v>80</v>
      </c>
      <c r="Q76" s="30" t="s">
        <v>128</v>
      </c>
      <c r="R76" s="30" t="s">
        <v>518</v>
      </c>
      <c r="S76" s="30" t="s">
        <v>9</v>
      </c>
      <c r="T76" s="30" t="str">
        <f t="shared" si="16"/>
        <v>De.AVAC</v>
      </c>
      <c r="U76" s="30" t="str">
        <f t="shared" si="16"/>
        <v>Elementos.de.AntiVibração</v>
      </c>
      <c r="V76" s="30" t="str">
        <f t="shared" si="16"/>
        <v>Avac.Dampers</v>
      </c>
      <c r="W76" s="30" t="s">
        <v>209</v>
      </c>
      <c r="X76" s="48" t="str">
        <f t="shared" si="10"/>
        <v>Key-AVAC-76</v>
      </c>
      <c r="Y76" s="30" t="s">
        <v>251</v>
      </c>
      <c r="Z76" s="58" t="s">
        <v>9</v>
      </c>
      <c r="AA76" s="29" t="s">
        <v>252</v>
      </c>
      <c r="AB76" s="58" t="s">
        <v>9</v>
      </c>
      <c r="AC76" s="30" t="s">
        <v>264</v>
      </c>
      <c r="AD76" s="58" t="s">
        <v>9</v>
      </c>
    </row>
    <row r="77" spans="1:30" ht="6.65" customHeight="1" x14ac:dyDescent="0.4">
      <c r="A77" s="49">
        <v>77</v>
      </c>
      <c r="B77" s="1" t="s">
        <v>467</v>
      </c>
      <c r="C77" s="1" t="s">
        <v>563</v>
      </c>
      <c r="D77" s="1" t="s">
        <v>436</v>
      </c>
      <c r="E77" s="1" t="s">
        <v>393</v>
      </c>
      <c r="F77" s="34" t="s">
        <v>358</v>
      </c>
      <c r="G77" s="51" t="s">
        <v>9</v>
      </c>
      <c r="H77" s="51" t="s">
        <v>9</v>
      </c>
      <c r="I77" s="51" t="s">
        <v>9</v>
      </c>
      <c r="J77" s="51" t="s">
        <v>9</v>
      </c>
      <c r="K77" s="51" t="s">
        <v>9</v>
      </c>
      <c r="L77" s="35" t="str">
        <f t="shared" si="15"/>
        <v>De.AVAC</v>
      </c>
      <c r="M77" s="35" t="str">
        <f t="shared" si="15"/>
        <v>Elementos.de.Sensorização</v>
      </c>
      <c r="N77" s="35" t="str">
        <f t="shared" si="13"/>
        <v>Avac Sensores</v>
      </c>
      <c r="O77" s="35" t="str">
        <f t="shared" si="13"/>
        <v>Avac Sensor</v>
      </c>
      <c r="P77" s="30" t="s">
        <v>401</v>
      </c>
      <c r="Q77" s="30" t="s">
        <v>274</v>
      </c>
      <c r="R77" s="30" t="s">
        <v>519</v>
      </c>
      <c r="S77" s="30" t="s">
        <v>9</v>
      </c>
      <c r="T77" s="30" t="str">
        <f t="shared" ref="T77:V109" si="21">SUBSTITUTE(C77, ".", " ")</f>
        <v>De AVAC</v>
      </c>
      <c r="U77" s="30" t="str">
        <f t="shared" si="21"/>
        <v>Elementos de Sensorização</v>
      </c>
      <c r="V77" s="30" t="str">
        <f t="shared" si="21"/>
        <v>Avac Sensores</v>
      </c>
      <c r="W77" s="30" t="s">
        <v>209</v>
      </c>
      <c r="X77" s="48" t="str">
        <f t="shared" si="10"/>
        <v>Key-AVAC-77</v>
      </c>
      <c r="Y77" s="30" t="s">
        <v>307</v>
      </c>
      <c r="Z77" s="58" t="s">
        <v>9</v>
      </c>
      <c r="AA77" s="29" t="s">
        <v>308</v>
      </c>
      <c r="AB77" s="58" t="s">
        <v>9</v>
      </c>
      <c r="AC77" s="30" t="s">
        <v>264</v>
      </c>
      <c r="AD77" s="58" t="s">
        <v>9</v>
      </c>
    </row>
    <row r="78" spans="1:30" ht="6.65" customHeight="1" x14ac:dyDescent="0.4">
      <c r="A78" s="49">
        <v>78</v>
      </c>
      <c r="B78" s="1" t="s">
        <v>467</v>
      </c>
      <c r="C78" s="1" t="s">
        <v>563</v>
      </c>
      <c r="D78" s="1" t="s">
        <v>436</v>
      </c>
      <c r="E78" s="1" t="s">
        <v>393</v>
      </c>
      <c r="F78" s="34" t="s">
        <v>359</v>
      </c>
      <c r="G78" s="51" t="s">
        <v>9</v>
      </c>
      <c r="H78" s="51" t="s">
        <v>9</v>
      </c>
      <c r="I78" s="51" t="s">
        <v>9</v>
      </c>
      <c r="J78" s="51" t="s">
        <v>9</v>
      </c>
      <c r="K78" s="51" t="s">
        <v>9</v>
      </c>
      <c r="L78" s="35" t="str">
        <f t="shared" si="15"/>
        <v>De.AVAC</v>
      </c>
      <c r="M78" s="35" t="str">
        <f t="shared" si="15"/>
        <v>Elementos.de.Sensorização</v>
      </c>
      <c r="N78" s="35" t="str">
        <f t="shared" si="13"/>
        <v>Avac Sensores</v>
      </c>
      <c r="O78" s="35" t="str">
        <f t="shared" si="13"/>
        <v>Avac Sensor de Monóxido Carbono</v>
      </c>
      <c r="P78" s="30" t="s">
        <v>402</v>
      </c>
      <c r="Q78" s="30" t="s">
        <v>275</v>
      </c>
      <c r="R78" s="30" t="s">
        <v>520</v>
      </c>
      <c r="S78" s="30" t="s">
        <v>9</v>
      </c>
      <c r="T78" s="30" t="str">
        <f t="shared" si="21"/>
        <v>De AVAC</v>
      </c>
      <c r="U78" s="30" t="str">
        <f t="shared" si="21"/>
        <v>Elementos de Sensorização</v>
      </c>
      <c r="V78" s="30" t="str">
        <f t="shared" si="21"/>
        <v>Avac Sensores</v>
      </c>
      <c r="W78" s="30" t="s">
        <v>209</v>
      </c>
      <c r="X78" s="48" t="str">
        <f t="shared" si="10"/>
        <v>Key-AVAC-78</v>
      </c>
      <c r="Y78" s="30" t="s">
        <v>307</v>
      </c>
      <c r="Z78" s="58" t="s">
        <v>9</v>
      </c>
      <c r="AA78" s="29" t="s">
        <v>309</v>
      </c>
      <c r="AB78" s="58" t="s">
        <v>9</v>
      </c>
      <c r="AC78" s="30" t="s">
        <v>264</v>
      </c>
      <c r="AD78" s="58" t="s">
        <v>9</v>
      </c>
    </row>
    <row r="79" spans="1:30" ht="6.65" customHeight="1" x14ac:dyDescent="0.4">
      <c r="A79" s="49">
        <v>79</v>
      </c>
      <c r="B79" s="1" t="s">
        <v>467</v>
      </c>
      <c r="C79" s="1" t="s">
        <v>563</v>
      </c>
      <c r="D79" s="1" t="s">
        <v>436</v>
      </c>
      <c r="E79" s="1" t="s">
        <v>393</v>
      </c>
      <c r="F79" s="34" t="s">
        <v>360</v>
      </c>
      <c r="G79" s="51" t="s">
        <v>9</v>
      </c>
      <c r="H79" s="51" t="s">
        <v>9</v>
      </c>
      <c r="I79" s="51" t="s">
        <v>9</v>
      </c>
      <c r="J79" s="51" t="s">
        <v>9</v>
      </c>
      <c r="K79" s="51" t="s">
        <v>9</v>
      </c>
      <c r="L79" s="35" t="str">
        <f t="shared" si="15"/>
        <v>De.AVAC</v>
      </c>
      <c r="M79" s="35" t="str">
        <f t="shared" si="15"/>
        <v>Elementos.de.Sensorização</v>
      </c>
      <c r="N79" s="35" t="str">
        <f t="shared" si="13"/>
        <v>Avac Sensores</v>
      </c>
      <c r="O79" s="35" t="str">
        <f t="shared" si="13"/>
        <v>Avac Sensor de Dióxido Carbono</v>
      </c>
      <c r="P79" s="30" t="s">
        <v>403</v>
      </c>
      <c r="Q79" s="30" t="s">
        <v>276</v>
      </c>
      <c r="R79" s="30" t="s">
        <v>521</v>
      </c>
      <c r="S79" s="30" t="s">
        <v>9</v>
      </c>
      <c r="T79" s="30" t="str">
        <f t="shared" si="21"/>
        <v>De AVAC</v>
      </c>
      <c r="U79" s="30" t="str">
        <f t="shared" si="21"/>
        <v>Elementos de Sensorização</v>
      </c>
      <c r="V79" s="30" t="str">
        <f t="shared" si="21"/>
        <v>Avac Sensores</v>
      </c>
      <c r="W79" s="30" t="s">
        <v>209</v>
      </c>
      <c r="X79" s="48" t="str">
        <f t="shared" si="10"/>
        <v>Key-AVAC-79</v>
      </c>
      <c r="Y79" s="30" t="s">
        <v>307</v>
      </c>
      <c r="Z79" s="58" t="s">
        <v>9</v>
      </c>
      <c r="AA79" s="29" t="s">
        <v>310</v>
      </c>
      <c r="AB79" s="58" t="s">
        <v>9</v>
      </c>
      <c r="AC79" s="30" t="s">
        <v>264</v>
      </c>
      <c r="AD79" s="58" t="s">
        <v>9</v>
      </c>
    </row>
    <row r="80" spans="1:30" ht="6.65" customHeight="1" x14ac:dyDescent="0.4">
      <c r="A80" s="49">
        <v>80</v>
      </c>
      <c r="B80" s="1" t="s">
        <v>467</v>
      </c>
      <c r="C80" s="1" t="s">
        <v>563</v>
      </c>
      <c r="D80" s="1" t="s">
        <v>436</v>
      </c>
      <c r="E80" s="1" t="s">
        <v>393</v>
      </c>
      <c r="F80" s="34" t="s">
        <v>361</v>
      </c>
      <c r="G80" s="51" t="s">
        <v>9</v>
      </c>
      <c r="H80" s="51" t="s">
        <v>9</v>
      </c>
      <c r="I80" s="51" t="s">
        <v>9</v>
      </c>
      <c r="J80" s="51" t="s">
        <v>9</v>
      </c>
      <c r="K80" s="51" t="s">
        <v>9</v>
      </c>
      <c r="L80" s="35" t="str">
        <f t="shared" si="15"/>
        <v>De.AVAC</v>
      </c>
      <c r="M80" s="35" t="str">
        <f t="shared" si="15"/>
        <v>Elementos.de.Sensorização</v>
      </c>
      <c r="N80" s="35" t="str">
        <f t="shared" si="13"/>
        <v>Avac Sensores</v>
      </c>
      <c r="O80" s="35" t="str">
        <f t="shared" si="13"/>
        <v>Avac Sensor de Condutância</v>
      </c>
      <c r="P80" s="30" t="s">
        <v>404</v>
      </c>
      <c r="Q80" s="30" t="s">
        <v>277</v>
      </c>
      <c r="R80" s="30" t="s">
        <v>522</v>
      </c>
      <c r="S80" s="30" t="s">
        <v>9</v>
      </c>
      <c r="T80" s="30" t="str">
        <f t="shared" si="21"/>
        <v>De AVAC</v>
      </c>
      <c r="U80" s="30" t="str">
        <f t="shared" si="21"/>
        <v>Elementos de Sensorização</v>
      </c>
      <c r="V80" s="30" t="str">
        <f t="shared" si="21"/>
        <v>Avac Sensores</v>
      </c>
      <c r="W80" s="30" t="s">
        <v>209</v>
      </c>
      <c r="X80" s="48" t="str">
        <f t="shared" si="10"/>
        <v>Key-AVAC-80</v>
      </c>
      <c r="Y80" s="30" t="s">
        <v>307</v>
      </c>
      <c r="Z80" s="58" t="s">
        <v>9</v>
      </c>
      <c r="AA80" s="29" t="s">
        <v>311</v>
      </c>
      <c r="AB80" s="58" t="s">
        <v>9</v>
      </c>
      <c r="AC80" s="30" t="s">
        <v>264</v>
      </c>
      <c r="AD80" s="58" t="s">
        <v>9</v>
      </c>
    </row>
    <row r="81" spans="1:30" ht="6.65" customHeight="1" x14ac:dyDescent="0.4">
      <c r="A81" s="49">
        <v>81</v>
      </c>
      <c r="B81" s="1" t="s">
        <v>467</v>
      </c>
      <c r="C81" s="1" t="s">
        <v>563</v>
      </c>
      <c r="D81" s="1" t="s">
        <v>436</v>
      </c>
      <c r="E81" s="1" t="s">
        <v>393</v>
      </c>
      <c r="F81" s="34" t="s">
        <v>362</v>
      </c>
      <c r="G81" s="51" t="s">
        <v>9</v>
      </c>
      <c r="H81" s="51" t="s">
        <v>9</v>
      </c>
      <c r="I81" s="51" t="s">
        <v>9</v>
      </c>
      <c r="J81" s="51" t="s">
        <v>9</v>
      </c>
      <c r="K81" s="51" t="s">
        <v>9</v>
      </c>
      <c r="L81" s="35" t="str">
        <f t="shared" si="15"/>
        <v>De.AVAC</v>
      </c>
      <c r="M81" s="35" t="str">
        <f t="shared" si="15"/>
        <v>Elementos.de.Sensorização</v>
      </c>
      <c r="N81" s="35" t="str">
        <f t="shared" si="13"/>
        <v>Avac Sensores</v>
      </c>
      <c r="O81" s="35" t="str">
        <f t="shared" si="13"/>
        <v>Avac Sensor de Contato</v>
      </c>
      <c r="P81" s="30" t="s">
        <v>405</v>
      </c>
      <c r="Q81" s="30" t="s">
        <v>278</v>
      </c>
      <c r="R81" s="30" t="s">
        <v>523</v>
      </c>
      <c r="S81" s="30" t="s">
        <v>9</v>
      </c>
      <c r="T81" s="30" t="str">
        <f t="shared" si="21"/>
        <v>De AVAC</v>
      </c>
      <c r="U81" s="30" t="str">
        <f t="shared" si="21"/>
        <v>Elementos de Sensorização</v>
      </c>
      <c r="V81" s="30" t="str">
        <f t="shared" si="21"/>
        <v>Avac Sensores</v>
      </c>
      <c r="W81" s="30" t="s">
        <v>209</v>
      </c>
      <c r="X81" s="48" t="str">
        <f t="shared" si="10"/>
        <v>Key-AVAC-81</v>
      </c>
      <c r="Y81" s="30" t="s">
        <v>307</v>
      </c>
      <c r="Z81" s="58" t="s">
        <v>9</v>
      </c>
      <c r="AA81" s="29" t="s">
        <v>312</v>
      </c>
      <c r="AB81" s="58" t="s">
        <v>9</v>
      </c>
      <c r="AC81" s="30" t="s">
        <v>264</v>
      </c>
      <c r="AD81" s="58" t="s">
        <v>9</v>
      </c>
    </row>
    <row r="82" spans="1:30" ht="6.65" customHeight="1" x14ac:dyDescent="0.4">
      <c r="A82" s="49">
        <v>82</v>
      </c>
      <c r="B82" s="1" t="s">
        <v>467</v>
      </c>
      <c r="C82" s="1" t="s">
        <v>563</v>
      </c>
      <c r="D82" s="1" t="s">
        <v>436</v>
      </c>
      <c r="E82" s="1" t="s">
        <v>393</v>
      </c>
      <c r="F82" s="34" t="s">
        <v>363</v>
      </c>
      <c r="G82" s="51" t="s">
        <v>9</v>
      </c>
      <c r="H82" s="51" t="s">
        <v>9</v>
      </c>
      <c r="I82" s="51" t="s">
        <v>9</v>
      </c>
      <c r="J82" s="51" t="s">
        <v>9</v>
      </c>
      <c r="K82" s="51" t="s">
        <v>9</v>
      </c>
      <c r="L82" s="35" t="str">
        <f t="shared" si="15"/>
        <v>De.AVAC</v>
      </c>
      <c r="M82" s="35" t="str">
        <f t="shared" si="15"/>
        <v>Elementos.de.Sensorização</v>
      </c>
      <c r="N82" s="35" t="str">
        <f t="shared" si="13"/>
        <v>Avac Sensores</v>
      </c>
      <c r="O82" s="35" t="str">
        <f t="shared" si="13"/>
        <v>Avac Sensor de Sismos</v>
      </c>
      <c r="P82" s="30" t="s">
        <v>406</v>
      </c>
      <c r="Q82" s="30" t="s">
        <v>279</v>
      </c>
      <c r="R82" s="30" t="s">
        <v>524</v>
      </c>
      <c r="S82" s="30" t="s">
        <v>9</v>
      </c>
      <c r="T82" s="30" t="str">
        <f t="shared" si="21"/>
        <v>De AVAC</v>
      </c>
      <c r="U82" s="30" t="str">
        <f t="shared" si="21"/>
        <v>Elementos de Sensorização</v>
      </c>
      <c r="V82" s="30" t="str">
        <f t="shared" si="21"/>
        <v>Avac Sensores</v>
      </c>
      <c r="W82" s="30" t="s">
        <v>209</v>
      </c>
      <c r="X82" s="48" t="str">
        <f t="shared" si="10"/>
        <v>Key-AVAC-82</v>
      </c>
      <c r="Y82" s="30" t="s">
        <v>307</v>
      </c>
      <c r="Z82" s="58" t="s">
        <v>9</v>
      </c>
      <c r="AA82" s="29" t="s">
        <v>313</v>
      </c>
      <c r="AB82" s="58" t="s">
        <v>9</v>
      </c>
      <c r="AC82" s="30" t="s">
        <v>264</v>
      </c>
      <c r="AD82" s="58" t="s">
        <v>9</v>
      </c>
    </row>
    <row r="83" spans="1:30" ht="6.65" customHeight="1" x14ac:dyDescent="0.4">
      <c r="A83" s="49">
        <v>83</v>
      </c>
      <c r="B83" s="1" t="s">
        <v>467</v>
      </c>
      <c r="C83" s="1" t="s">
        <v>563</v>
      </c>
      <c r="D83" s="1" t="s">
        <v>436</v>
      </c>
      <c r="E83" s="1" t="s">
        <v>393</v>
      </c>
      <c r="F83" s="34" t="s">
        <v>364</v>
      </c>
      <c r="G83" s="51" t="s">
        <v>9</v>
      </c>
      <c r="H83" s="51" t="s">
        <v>9</v>
      </c>
      <c r="I83" s="51" t="s">
        <v>9</v>
      </c>
      <c r="J83" s="51" t="s">
        <v>9</v>
      </c>
      <c r="K83" s="51" t="s">
        <v>9</v>
      </c>
      <c r="L83" s="35" t="str">
        <f t="shared" si="15"/>
        <v>De.AVAC</v>
      </c>
      <c r="M83" s="35" t="str">
        <f t="shared" si="15"/>
        <v>Elementos.de.Sensorização</v>
      </c>
      <c r="N83" s="35" t="str">
        <f t="shared" si="13"/>
        <v>Avac Sensores</v>
      </c>
      <c r="O83" s="35" t="str">
        <f t="shared" si="13"/>
        <v>Avac Sensor de Incêndio</v>
      </c>
      <c r="P83" s="30" t="s">
        <v>407</v>
      </c>
      <c r="Q83" s="30" t="s">
        <v>280</v>
      </c>
      <c r="R83" s="30" t="s">
        <v>525</v>
      </c>
      <c r="S83" s="30" t="s">
        <v>9</v>
      </c>
      <c r="T83" s="30" t="str">
        <f t="shared" si="21"/>
        <v>De AVAC</v>
      </c>
      <c r="U83" s="30" t="str">
        <f t="shared" si="21"/>
        <v>Elementos de Sensorização</v>
      </c>
      <c r="V83" s="30" t="str">
        <f t="shared" si="21"/>
        <v>Avac Sensores</v>
      </c>
      <c r="W83" s="30" t="s">
        <v>209</v>
      </c>
      <c r="X83" s="48" t="str">
        <f t="shared" si="10"/>
        <v>Key-AVAC-83</v>
      </c>
      <c r="Y83" s="30" t="s">
        <v>307</v>
      </c>
      <c r="Z83" s="58" t="s">
        <v>9</v>
      </c>
      <c r="AA83" s="29" t="s">
        <v>314</v>
      </c>
      <c r="AB83" s="58" t="s">
        <v>9</v>
      </c>
      <c r="AC83" s="30" t="s">
        <v>264</v>
      </c>
      <c r="AD83" s="58" t="s">
        <v>9</v>
      </c>
    </row>
    <row r="84" spans="1:30" ht="6.65" customHeight="1" x14ac:dyDescent="0.4">
      <c r="A84" s="49">
        <v>84</v>
      </c>
      <c r="B84" s="1" t="s">
        <v>467</v>
      </c>
      <c r="C84" s="1" t="s">
        <v>563</v>
      </c>
      <c r="D84" s="1" t="s">
        <v>436</v>
      </c>
      <c r="E84" s="1" t="s">
        <v>393</v>
      </c>
      <c r="F84" s="34" t="s">
        <v>365</v>
      </c>
      <c r="G84" s="51" t="s">
        <v>9</v>
      </c>
      <c r="H84" s="51" t="s">
        <v>9</v>
      </c>
      <c r="I84" s="51" t="s">
        <v>9</v>
      </c>
      <c r="J84" s="51" t="s">
        <v>9</v>
      </c>
      <c r="K84" s="51" t="s">
        <v>9</v>
      </c>
      <c r="L84" s="35" t="str">
        <f t="shared" si="15"/>
        <v>De.AVAC</v>
      </c>
      <c r="M84" s="35" t="str">
        <f t="shared" si="15"/>
        <v>Elementos.de.Sensorização</v>
      </c>
      <c r="N84" s="35" t="str">
        <f t="shared" si="13"/>
        <v>Avac Sensores</v>
      </c>
      <c r="O84" s="35" t="str">
        <f t="shared" si="13"/>
        <v>Avac Sensor de Fluxo</v>
      </c>
      <c r="P84" s="30" t="s">
        <v>408</v>
      </c>
      <c r="Q84" s="30" t="s">
        <v>281</v>
      </c>
      <c r="R84" s="30" t="s">
        <v>526</v>
      </c>
      <c r="S84" s="30" t="s">
        <v>9</v>
      </c>
      <c r="T84" s="30" t="str">
        <f t="shared" si="21"/>
        <v>De AVAC</v>
      </c>
      <c r="U84" s="30" t="str">
        <f t="shared" si="21"/>
        <v>Elementos de Sensorização</v>
      </c>
      <c r="V84" s="30" t="str">
        <f t="shared" si="21"/>
        <v>Avac Sensores</v>
      </c>
      <c r="W84" s="30" t="s">
        <v>209</v>
      </c>
      <c r="X84" s="48" t="str">
        <f t="shared" si="10"/>
        <v>Key-AVAC-84</v>
      </c>
      <c r="Y84" s="30" t="s">
        <v>307</v>
      </c>
      <c r="Z84" s="58" t="s">
        <v>9</v>
      </c>
      <c r="AA84" s="29" t="s">
        <v>315</v>
      </c>
      <c r="AB84" s="58" t="s">
        <v>9</v>
      </c>
      <c r="AC84" s="30" t="s">
        <v>264</v>
      </c>
      <c r="AD84" s="58" t="s">
        <v>9</v>
      </c>
    </row>
    <row r="85" spans="1:30" ht="6.65" customHeight="1" x14ac:dyDescent="0.4">
      <c r="A85" s="49">
        <v>85</v>
      </c>
      <c r="B85" s="1" t="s">
        <v>467</v>
      </c>
      <c r="C85" s="1" t="s">
        <v>563</v>
      </c>
      <c r="D85" s="1" t="s">
        <v>436</v>
      </c>
      <c r="E85" s="1" t="s">
        <v>393</v>
      </c>
      <c r="F85" s="34" t="s">
        <v>366</v>
      </c>
      <c r="G85" s="51" t="s">
        <v>9</v>
      </c>
      <c r="H85" s="51" t="s">
        <v>9</v>
      </c>
      <c r="I85" s="51" t="s">
        <v>9</v>
      </c>
      <c r="J85" s="51" t="s">
        <v>9</v>
      </c>
      <c r="K85" s="51" t="s">
        <v>9</v>
      </c>
      <c r="L85" s="35" t="str">
        <f t="shared" si="15"/>
        <v>De.AVAC</v>
      </c>
      <c r="M85" s="35" t="str">
        <f t="shared" si="15"/>
        <v>Elementos.de.Sensorização</v>
      </c>
      <c r="N85" s="35" t="str">
        <f t="shared" si="13"/>
        <v>Avac Sensores</v>
      </c>
      <c r="O85" s="35" t="str">
        <f t="shared" si="13"/>
        <v>Avac Sensor de Detecção Objeto Estranho</v>
      </c>
      <c r="P85" s="30" t="s">
        <v>409</v>
      </c>
      <c r="Q85" s="30" t="s">
        <v>282</v>
      </c>
      <c r="R85" s="30" t="s">
        <v>527</v>
      </c>
      <c r="S85" s="30" t="s">
        <v>9</v>
      </c>
      <c r="T85" s="30" t="str">
        <f t="shared" si="21"/>
        <v>De AVAC</v>
      </c>
      <c r="U85" s="30" t="str">
        <f t="shared" si="21"/>
        <v>Elementos de Sensorização</v>
      </c>
      <c r="V85" s="30" t="str">
        <f t="shared" si="21"/>
        <v>Avac Sensores</v>
      </c>
      <c r="W85" s="30" t="s">
        <v>209</v>
      </c>
      <c r="X85" s="48" t="str">
        <f t="shared" si="10"/>
        <v>Key-AVAC-85</v>
      </c>
      <c r="Y85" s="30" t="s">
        <v>307</v>
      </c>
      <c r="Z85" s="58" t="s">
        <v>9</v>
      </c>
      <c r="AA85" s="29" t="s">
        <v>316</v>
      </c>
      <c r="AB85" s="58" t="s">
        <v>9</v>
      </c>
      <c r="AC85" s="30" t="s">
        <v>264</v>
      </c>
      <c r="AD85" s="58" t="s">
        <v>9</v>
      </c>
    </row>
    <row r="86" spans="1:30" ht="6.65" customHeight="1" x14ac:dyDescent="0.4">
      <c r="A86" s="49">
        <v>86</v>
      </c>
      <c r="B86" s="1" t="s">
        <v>467</v>
      </c>
      <c r="C86" s="1" t="s">
        <v>563</v>
      </c>
      <c r="D86" s="1" t="s">
        <v>436</v>
      </c>
      <c r="E86" s="1" t="s">
        <v>393</v>
      </c>
      <c r="F86" s="34" t="s">
        <v>367</v>
      </c>
      <c r="G86" s="51" t="s">
        <v>9</v>
      </c>
      <c r="H86" s="51" t="s">
        <v>9</v>
      </c>
      <c r="I86" s="51" t="s">
        <v>9</v>
      </c>
      <c r="J86" s="51" t="s">
        <v>9</v>
      </c>
      <c r="K86" s="51" t="s">
        <v>9</v>
      </c>
      <c r="L86" s="35" t="str">
        <f t="shared" si="15"/>
        <v>De.AVAC</v>
      </c>
      <c r="M86" s="35" t="str">
        <f t="shared" si="15"/>
        <v>Elementos.de.Sensorização</v>
      </c>
      <c r="N86" s="35" t="str">
        <f t="shared" ref="N86:O111" si="22">(SUBSTITUTE(SUBSTITUTE(CONCATENATE("",E86),"."," ")," De "," de "))</f>
        <v>Avac Sensores</v>
      </c>
      <c r="O86" s="35" t="str">
        <f t="shared" si="22"/>
        <v>Avac Sensor de Geada</v>
      </c>
      <c r="P86" s="30" t="s">
        <v>410</v>
      </c>
      <c r="Q86" s="30" t="s">
        <v>283</v>
      </c>
      <c r="R86" s="30" t="s">
        <v>528</v>
      </c>
      <c r="S86" s="30" t="s">
        <v>9</v>
      </c>
      <c r="T86" s="30" t="str">
        <f t="shared" si="21"/>
        <v>De AVAC</v>
      </c>
      <c r="U86" s="30" t="str">
        <f t="shared" si="21"/>
        <v>Elementos de Sensorização</v>
      </c>
      <c r="V86" s="30" t="str">
        <f t="shared" si="21"/>
        <v>Avac Sensores</v>
      </c>
      <c r="W86" s="30" t="s">
        <v>209</v>
      </c>
      <c r="X86" s="48" t="str">
        <f t="shared" si="10"/>
        <v>Key-AVAC-86</v>
      </c>
      <c r="Y86" s="30" t="s">
        <v>307</v>
      </c>
      <c r="Z86" s="58" t="s">
        <v>9</v>
      </c>
      <c r="AA86" s="29" t="s">
        <v>317</v>
      </c>
      <c r="AB86" s="58" t="s">
        <v>9</v>
      </c>
      <c r="AC86" s="30" t="s">
        <v>264</v>
      </c>
      <c r="AD86" s="58" t="s">
        <v>9</v>
      </c>
    </row>
    <row r="87" spans="1:30" ht="6.65" customHeight="1" x14ac:dyDescent="0.4">
      <c r="A87" s="49">
        <v>87</v>
      </c>
      <c r="B87" s="1" t="s">
        <v>467</v>
      </c>
      <c r="C87" s="1" t="s">
        <v>563</v>
      </c>
      <c r="D87" s="1" t="s">
        <v>436</v>
      </c>
      <c r="E87" s="1" t="s">
        <v>393</v>
      </c>
      <c r="F87" s="34" t="s">
        <v>368</v>
      </c>
      <c r="G87" s="51" t="s">
        <v>9</v>
      </c>
      <c r="H87" s="51" t="s">
        <v>9</v>
      </c>
      <c r="I87" s="51" t="s">
        <v>9</v>
      </c>
      <c r="J87" s="51" t="s">
        <v>9</v>
      </c>
      <c r="K87" s="51" t="s">
        <v>9</v>
      </c>
      <c r="L87" s="35" t="str">
        <f t="shared" si="15"/>
        <v>De.AVAC</v>
      </c>
      <c r="M87" s="35" t="str">
        <f t="shared" si="15"/>
        <v>Elementos.de.Sensorização</v>
      </c>
      <c r="N87" s="35" t="str">
        <f t="shared" si="22"/>
        <v>Avac Sensores</v>
      </c>
      <c r="O87" s="35" t="str">
        <f t="shared" si="22"/>
        <v>Avac Sensor de Gás</v>
      </c>
      <c r="P87" s="30" t="s">
        <v>411</v>
      </c>
      <c r="Q87" s="30" t="s">
        <v>284</v>
      </c>
      <c r="R87" s="30" t="s">
        <v>529</v>
      </c>
      <c r="S87" s="30" t="s">
        <v>9</v>
      </c>
      <c r="T87" s="30" t="str">
        <f t="shared" si="21"/>
        <v>De AVAC</v>
      </c>
      <c r="U87" s="30" t="str">
        <f t="shared" si="21"/>
        <v>Elementos de Sensorização</v>
      </c>
      <c r="V87" s="30" t="str">
        <f t="shared" si="21"/>
        <v>Avac Sensores</v>
      </c>
      <c r="W87" s="30" t="s">
        <v>209</v>
      </c>
      <c r="X87" s="48" t="str">
        <f t="shared" si="10"/>
        <v>Key-AVAC-87</v>
      </c>
      <c r="Y87" s="30" t="s">
        <v>307</v>
      </c>
      <c r="Z87" s="58" t="s">
        <v>9</v>
      </c>
      <c r="AA87" s="29" t="s">
        <v>318</v>
      </c>
      <c r="AB87" s="58" t="s">
        <v>9</v>
      </c>
      <c r="AC87" s="30" t="s">
        <v>264</v>
      </c>
      <c r="AD87" s="58" t="s">
        <v>9</v>
      </c>
    </row>
    <row r="88" spans="1:30" ht="6.65" customHeight="1" x14ac:dyDescent="0.4">
      <c r="A88" s="49">
        <v>88</v>
      </c>
      <c r="B88" s="1" t="s">
        <v>467</v>
      </c>
      <c r="C88" s="1" t="s">
        <v>563</v>
      </c>
      <c r="D88" s="1" t="s">
        <v>436</v>
      </c>
      <c r="E88" s="1" t="s">
        <v>393</v>
      </c>
      <c r="F88" s="34" t="s">
        <v>369</v>
      </c>
      <c r="G88" s="51" t="s">
        <v>9</v>
      </c>
      <c r="H88" s="51" t="s">
        <v>9</v>
      </c>
      <c r="I88" s="51" t="s">
        <v>9</v>
      </c>
      <c r="J88" s="51" t="s">
        <v>9</v>
      </c>
      <c r="K88" s="51" t="s">
        <v>9</v>
      </c>
      <c r="L88" s="35" t="str">
        <f t="shared" si="15"/>
        <v>De.AVAC</v>
      </c>
      <c r="M88" s="35" t="str">
        <f t="shared" si="15"/>
        <v>Elementos.de.Sensorização</v>
      </c>
      <c r="N88" s="35" t="str">
        <f t="shared" si="22"/>
        <v>Avac Sensores</v>
      </c>
      <c r="O88" s="35" t="str">
        <f t="shared" si="22"/>
        <v>Avac Sensor de Calor</v>
      </c>
      <c r="P88" s="30" t="s">
        <v>412</v>
      </c>
      <c r="Q88" s="30" t="s">
        <v>285</v>
      </c>
      <c r="R88" s="30" t="s">
        <v>530</v>
      </c>
      <c r="S88" s="30" t="s">
        <v>9</v>
      </c>
      <c r="T88" s="30" t="str">
        <f t="shared" si="21"/>
        <v>De AVAC</v>
      </c>
      <c r="U88" s="30" t="str">
        <f t="shared" si="21"/>
        <v>Elementos de Sensorização</v>
      </c>
      <c r="V88" s="30" t="str">
        <f t="shared" si="21"/>
        <v>Avac Sensores</v>
      </c>
      <c r="W88" s="30" t="s">
        <v>209</v>
      </c>
      <c r="X88" s="48" t="str">
        <f t="shared" si="10"/>
        <v>Key-AVAC-88</v>
      </c>
      <c r="Y88" s="30" t="s">
        <v>307</v>
      </c>
      <c r="Z88" s="58" t="s">
        <v>9</v>
      </c>
      <c r="AA88" s="29" t="s">
        <v>319</v>
      </c>
      <c r="AB88" s="58" t="s">
        <v>9</v>
      </c>
      <c r="AC88" s="30" t="s">
        <v>264</v>
      </c>
      <c r="AD88" s="58" t="s">
        <v>9</v>
      </c>
    </row>
    <row r="89" spans="1:30" ht="6.65" customHeight="1" x14ac:dyDescent="0.4">
      <c r="A89" s="49">
        <v>89</v>
      </c>
      <c r="B89" s="1" t="s">
        <v>467</v>
      </c>
      <c r="C89" s="1" t="s">
        <v>563</v>
      </c>
      <c r="D89" s="1" t="s">
        <v>436</v>
      </c>
      <c r="E89" s="1" t="s">
        <v>393</v>
      </c>
      <c r="F89" s="34" t="s">
        <v>370</v>
      </c>
      <c r="G89" s="51" t="s">
        <v>9</v>
      </c>
      <c r="H89" s="51" t="s">
        <v>9</v>
      </c>
      <c r="I89" s="51" t="s">
        <v>9</v>
      </c>
      <c r="J89" s="51" t="s">
        <v>9</v>
      </c>
      <c r="K89" s="51" t="s">
        <v>9</v>
      </c>
      <c r="L89" s="35" t="str">
        <f t="shared" si="15"/>
        <v>De.AVAC</v>
      </c>
      <c r="M89" s="35" t="str">
        <f t="shared" si="15"/>
        <v>Elementos.de.Sensorização</v>
      </c>
      <c r="N89" s="35" t="str">
        <f t="shared" si="22"/>
        <v>Avac Sensores</v>
      </c>
      <c r="O89" s="35" t="str">
        <f t="shared" si="22"/>
        <v>Avac Sensor de Umidade</v>
      </c>
      <c r="P89" s="30" t="s">
        <v>413</v>
      </c>
      <c r="Q89" s="30" t="s">
        <v>286</v>
      </c>
      <c r="R89" s="30" t="s">
        <v>531</v>
      </c>
      <c r="S89" s="30" t="s">
        <v>9</v>
      </c>
      <c r="T89" s="30" t="str">
        <f t="shared" si="21"/>
        <v>De AVAC</v>
      </c>
      <c r="U89" s="30" t="str">
        <f t="shared" si="21"/>
        <v>Elementos de Sensorização</v>
      </c>
      <c r="V89" s="30" t="str">
        <f t="shared" si="21"/>
        <v>Avac Sensores</v>
      </c>
      <c r="W89" s="30" t="s">
        <v>209</v>
      </c>
      <c r="X89" s="48" t="str">
        <f t="shared" ref="X89:X117" si="23">CONCATENATE("Key-AVAC-",A89)</f>
        <v>Key-AVAC-89</v>
      </c>
      <c r="Y89" s="30" t="s">
        <v>307</v>
      </c>
      <c r="Z89" s="58" t="s">
        <v>9</v>
      </c>
      <c r="AA89" s="29" t="s">
        <v>320</v>
      </c>
      <c r="AB89" s="58" t="s">
        <v>9</v>
      </c>
      <c r="AC89" s="30" t="s">
        <v>264</v>
      </c>
      <c r="AD89" s="58" t="s">
        <v>9</v>
      </c>
    </row>
    <row r="90" spans="1:30" ht="6.65" customHeight="1" x14ac:dyDescent="0.4">
      <c r="A90" s="49">
        <v>90</v>
      </c>
      <c r="B90" s="1" t="s">
        <v>467</v>
      </c>
      <c r="C90" s="1" t="s">
        <v>563</v>
      </c>
      <c r="D90" s="1" t="s">
        <v>436</v>
      </c>
      <c r="E90" s="1" t="s">
        <v>393</v>
      </c>
      <c r="F90" s="34" t="s">
        <v>371</v>
      </c>
      <c r="G90" s="51" t="s">
        <v>9</v>
      </c>
      <c r="H90" s="51" t="s">
        <v>9</v>
      </c>
      <c r="I90" s="51" t="s">
        <v>9</v>
      </c>
      <c r="J90" s="51" t="s">
        <v>9</v>
      </c>
      <c r="K90" s="51" t="s">
        <v>9</v>
      </c>
      <c r="L90" s="35" t="str">
        <f t="shared" si="15"/>
        <v>De.AVAC</v>
      </c>
      <c r="M90" s="35" t="str">
        <f t="shared" si="15"/>
        <v>Elementos.de.Sensorização</v>
      </c>
      <c r="N90" s="35" t="str">
        <f t="shared" si="22"/>
        <v>Avac Sensores</v>
      </c>
      <c r="O90" s="35" t="str">
        <f t="shared" si="22"/>
        <v>Avac Sensor de Identificação</v>
      </c>
      <c r="P90" s="30" t="s">
        <v>416</v>
      </c>
      <c r="Q90" s="30" t="s">
        <v>287</v>
      </c>
      <c r="R90" s="30" t="s">
        <v>532</v>
      </c>
      <c r="S90" s="30" t="s">
        <v>9</v>
      </c>
      <c r="T90" s="30" t="str">
        <f t="shared" si="21"/>
        <v>De AVAC</v>
      </c>
      <c r="U90" s="30" t="str">
        <f t="shared" si="21"/>
        <v>Elementos de Sensorização</v>
      </c>
      <c r="V90" s="30" t="str">
        <f t="shared" si="21"/>
        <v>Avac Sensores</v>
      </c>
      <c r="W90" s="30" t="s">
        <v>209</v>
      </c>
      <c r="X90" s="48" t="str">
        <f t="shared" si="23"/>
        <v>Key-AVAC-90</v>
      </c>
      <c r="Y90" s="30" t="s">
        <v>307</v>
      </c>
      <c r="Z90" s="58" t="s">
        <v>9</v>
      </c>
      <c r="AA90" s="29" t="s">
        <v>321</v>
      </c>
      <c r="AB90" s="58" t="s">
        <v>9</v>
      </c>
      <c r="AC90" s="30" t="s">
        <v>264</v>
      </c>
      <c r="AD90" s="58" t="s">
        <v>9</v>
      </c>
    </row>
    <row r="91" spans="1:30" ht="6.65" customHeight="1" x14ac:dyDescent="0.4">
      <c r="A91" s="49">
        <v>91</v>
      </c>
      <c r="B91" s="1" t="s">
        <v>467</v>
      </c>
      <c r="C91" s="1" t="s">
        <v>563</v>
      </c>
      <c r="D91" s="1" t="s">
        <v>436</v>
      </c>
      <c r="E91" s="1" t="s">
        <v>393</v>
      </c>
      <c r="F91" s="34" t="s">
        <v>372</v>
      </c>
      <c r="G91" s="51" t="s">
        <v>9</v>
      </c>
      <c r="H91" s="51" t="s">
        <v>9</v>
      </c>
      <c r="I91" s="51" t="s">
        <v>9</v>
      </c>
      <c r="J91" s="51" t="s">
        <v>9</v>
      </c>
      <c r="K91" s="51" t="s">
        <v>9</v>
      </c>
      <c r="L91" s="35" t="str">
        <f t="shared" si="15"/>
        <v>De.AVAC</v>
      </c>
      <c r="M91" s="35" t="str">
        <f t="shared" si="15"/>
        <v>Elementos.de.Sensorização</v>
      </c>
      <c r="N91" s="35" t="str">
        <f t="shared" si="22"/>
        <v>Avac Sensores</v>
      </c>
      <c r="O91" s="35" t="str">
        <f t="shared" si="22"/>
        <v>Avac Sensor de Concentração de Íons</v>
      </c>
      <c r="P91" s="30" t="s">
        <v>414</v>
      </c>
      <c r="Q91" s="30" t="s">
        <v>288</v>
      </c>
      <c r="R91" s="30" t="s">
        <v>533</v>
      </c>
      <c r="S91" s="30" t="s">
        <v>9</v>
      </c>
      <c r="T91" s="30" t="str">
        <f t="shared" si="21"/>
        <v>De AVAC</v>
      </c>
      <c r="U91" s="30" t="str">
        <f t="shared" si="21"/>
        <v>Elementos de Sensorização</v>
      </c>
      <c r="V91" s="30" t="str">
        <f t="shared" si="21"/>
        <v>Avac Sensores</v>
      </c>
      <c r="W91" s="30" t="s">
        <v>209</v>
      </c>
      <c r="X91" s="48" t="str">
        <f t="shared" si="23"/>
        <v>Key-AVAC-91</v>
      </c>
      <c r="Y91" s="30" t="s">
        <v>307</v>
      </c>
      <c r="Z91" s="58" t="s">
        <v>9</v>
      </c>
      <c r="AA91" s="29" t="s">
        <v>322</v>
      </c>
      <c r="AB91" s="58" t="s">
        <v>9</v>
      </c>
      <c r="AC91" s="30" t="s">
        <v>264</v>
      </c>
      <c r="AD91" s="58" t="s">
        <v>9</v>
      </c>
    </row>
    <row r="92" spans="1:30" ht="6.65" customHeight="1" x14ac:dyDescent="0.4">
      <c r="A92" s="49">
        <v>92</v>
      </c>
      <c r="B92" s="1" t="s">
        <v>467</v>
      </c>
      <c r="C92" s="1" t="s">
        <v>563</v>
      </c>
      <c r="D92" s="1" t="s">
        <v>436</v>
      </c>
      <c r="E92" s="1" t="s">
        <v>393</v>
      </c>
      <c r="F92" s="34" t="s">
        <v>373</v>
      </c>
      <c r="G92" s="51" t="s">
        <v>9</v>
      </c>
      <c r="H92" s="51" t="s">
        <v>9</v>
      </c>
      <c r="I92" s="51" t="s">
        <v>9</v>
      </c>
      <c r="J92" s="51" t="s">
        <v>9</v>
      </c>
      <c r="K92" s="51" t="s">
        <v>9</v>
      </c>
      <c r="L92" s="35" t="str">
        <f t="shared" si="15"/>
        <v>De.AVAC</v>
      </c>
      <c r="M92" s="35" t="str">
        <f t="shared" si="15"/>
        <v>Elementos.de.Sensorização</v>
      </c>
      <c r="N92" s="35" t="str">
        <f t="shared" si="22"/>
        <v>Avac Sensores</v>
      </c>
      <c r="O92" s="35" t="str">
        <f t="shared" si="22"/>
        <v>Avac Sensor de Nível</v>
      </c>
      <c r="P92" s="30" t="s">
        <v>417</v>
      </c>
      <c r="Q92" s="30" t="s">
        <v>289</v>
      </c>
      <c r="R92" s="30" t="s">
        <v>534</v>
      </c>
      <c r="S92" s="30" t="s">
        <v>9</v>
      </c>
      <c r="T92" s="30" t="str">
        <f t="shared" si="21"/>
        <v>De AVAC</v>
      </c>
      <c r="U92" s="30" t="str">
        <f t="shared" si="21"/>
        <v>Elementos de Sensorização</v>
      </c>
      <c r="V92" s="30" t="str">
        <f t="shared" si="21"/>
        <v>Avac Sensores</v>
      </c>
      <c r="W92" s="30" t="s">
        <v>209</v>
      </c>
      <c r="X92" s="48" t="str">
        <f t="shared" si="23"/>
        <v>Key-AVAC-92</v>
      </c>
      <c r="Y92" s="30" t="s">
        <v>307</v>
      </c>
      <c r="Z92" s="58" t="s">
        <v>9</v>
      </c>
      <c r="AA92" s="29" t="s">
        <v>323</v>
      </c>
      <c r="AB92" s="58" t="s">
        <v>9</v>
      </c>
      <c r="AC92" s="30" t="s">
        <v>264</v>
      </c>
      <c r="AD92" s="58" t="s">
        <v>9</v>
      </c>
    </row>
    <row r="93" spans="1:30" ht="6.65" customHeight="1" x14ac:dyDescent="0.4">
      <c r="A93" s="49">
        <v>93</v>
      </c>
      <c r="B93" s="1" t="s">
        <v>467</v>
      </c>
      <c r="C93" s="1" t="s">
        <v>563</v>
      </c>
      <c r="D93" s="1" t="s">
        <v>436</v>
      </c>
      <c r="E93" s="1" t="s">
        <v>393</v>
      </c>
      <c r="F93" s="34" t="s">
        <v>374</v>
      </c>
      <c r="G93" s="51" t="s">
        <v>9</v>
      </c>
      <c r="H93" s="51" t="s">
        <v>9</v>
      </c>
      <c r="I93" s="51" t="s">
        <v>9</v>
      </c>
      <c r="J93" s="51" t="s">
        <v>9</v>
      </c>
      <c r="K93" s="51" t="s">
        <v>9</v>
      </c>
      <c r="L93" s="35" t="str">
        <f t="shared" si="15"/>
        <v>De.AVAC</v>
      </c>
      <c r="M93" s="35" t="str">
        <f t="shared" si="15"/>
        <v>Elementos.de.Sensorização</v>
      </c>
      <c r="N93" s="35" t="str">
        <f t="shared" si="22"/>
        <v>Avac Sensores</v>
      </c>
      <c r="O93" s="35" t="str">
        <f t="shared" si="22"/>
        <v>Avac Sensor de Luz</v>
      </c>
      <c r="P93" s="30" t="s">
        <v>415</v>
      </c>
      <c r="Q93" s="30" t="s">
        <v>290</v>
      </c>
      <c r="R93" s="30" t="s">
        <v>535</v>
      </c>
      <c r="S93" s="30" t="s">
        <v>9</v>
      </c>
      <c r="T93" s="30" t="str">
        <f t="shared" si="21"/>
        <v>De AVAC</v>
      </c>
      <c r="U93" s="30" t="str">
        <f t="shared" si="21"/>
        <v>Elementos de Sensorização</v>
      </c>
      <c r="V93" s="30" t="str">
        <f t="shared" si="21"/>
        <v>Avac Sensores</v>
      </c>
      <c r="W93" s="30" t="s">
        <v>209</v>
      </c>
      <c r="X93" s="48" t="str">
        <f t="shared" si="23"/>
        <v>Key-AVAC-93</v>
      </c>
      <c r="Y93" s="30" t="s">
        <v>307</v>
      </c>
      <c r="Z93" s="58" t="s">
        <v>9</v>
      </c>
      <c r="AA93" s="29" t="s">
        <v>324</v>
      </c>
      <c r="AB93" s="58" t="s">
        <v>9</v>
      </c>
      <c r="AC93" s="30" t="s">
        <v>264</v>
      </c>
      <c r="AD93" s="58" t="s">
        <v>9</v>
      </c>
    </row>
    <row r="94" spans="1:30" ht="6.65" customHeight="1" x14ac:dyDescent="0.4">
      <c r="A94" s="49">
        <v>94</v>
      </c>
      <c r="B94" s="1" t="s">
        <v>467</v>
      </c>
      <c r="C94" s="1" t="s">
        <v>563</v>
      </c>
      <c r="D94" s="1" t="s">
        <v>436</v>
      </c>
      <c r="E94" s="1" t="s">
        <v>393</v>
      </c>
      <c r="F94" s="34" t="s">
        <v>375</v>
      </c>
      <c r="G94" s="51" t="s">
        <v>9</v>
      </c>
      <c r="H94" s="51" t="s">
        <v>9</v>
      </c>
      <c r="I94" s="51" t="s">
        <v>9</v>
      </c>
      <c r="J94" s="51" t="s">
        <v>9</v>
      </c>
      <c r="K94" s="51" t="s">
        <v>9</v>
      </c>
      <c r="L94" s="35" t="str">
        <f t="shared" si="15"/>
        <v>De.AVAC</v>
      </c>
      <c r="M94" s="35" t="str">
        <f t="shared" si="15"/>
        <v>Elementos.de.Sensorização</v>
      </c>
      <c r="N94" s="35" t="str">
        <f t="shared" si="22"/>
        <v>Avac Sensores</v>
      </c>
      <c r="O94" s="35" t="str">
        <f t="shared" si="22"/>
        <v>Avac Sensor de Umidade do Solo</v>
      </c>
      <c r="P94" s="30" t="s">
        <v>418</v>
      </c>
      <c r="Q94" s="30" t="s">
        <v>291</v>
      </c>
      <c r="R94" s="30" t="s">
        <v>536</v>
      </c>
      <c r="S94" s="30" t="s">
        <v>9</v>
      </c>
      <c r="T94" s="30" t="str">
        <f t="shared" si="21"/>
        <v>De AVAC</v>
      </c>
      <c r="U94" s="30" t="str">
        <f t="shared" si="21"/>
        <v>Elementos de Sensorização</v>
      </c>
      <c r="V94" s="30" t="str">
        <f t="shared" si="21"/>
        <v>Avac Sensores</v>
      </c>
      <c r="W94" s="30" t="s">
        <v>209</v>
      </c>
      <c r="X94" s="48" t="str">
        <f t="shared" si="23"/>
        <v>Key-AVAC-94</v>
      </c>
      <c r="Y94" s="30" t="s">
        <v>307</v>
      </c>
      <c r="Z94" s="58" t="s">
        <v>9</v>
      </c>
      <c r="AA94" s="29" t="s">
        <v>325</v>
      </c>
      <c r="AB94" s="58" t="s">
        <v>9</v>
      </c>
      <c r="AC94" s="30" t="s">
        <v>264</v>
      </c>
      <c r="AD94" s="58" t="s">
        <v>9</v>
      </c>
    </row>
    <row r="95" spans="1:30" ht="6.65" customHeight="1" x14ac:dyDescent="0.4">
      <c r="A95" s="49">
        <v>95</v>
      </c>
      <c r="B95" s="1" t="s">
        <v>467</v>
      </c>
      <c r="C95" s="1" t="s">
        <v>563</v>
      </c>
      <c r="D95" s="1" t="s">
        <v>436</v>
      </c>
      <c r="E95" s="1" t="s">
        <v>393</v>
      </c>
      <c r="F95" s="34" t="s">
        <v>376</v>
      </c>
      <c r="G95" s="51" t="s">
        <v>9</v>
      </c>
      <c r="H95" s="51" t="s">
        <v>9</v>
      </c>
      <c r="I95" s="51" t="s">
        <v>9</v>
      </c>
      <c r="J95" s="51" t="s">
        <v>9</v>
      </c>
      <c r="K95" s="51" t="s">
        <v>9</v>
      </c>
      <c r="L95" s="35" t="str">
        <f t="shared" si="15"/>
        <v>De.AVAC</v>
      </c>
      <c r="M95" s="35" t="str">
        <f t="shared" si="15"/>
        <v>Elementos.de.Sensorização</v>
      </c>
      <c r="N95" s="35" t="str">
        <f t="shared" si="22"/>
        <v>Avac Sensores</v>
      </c>
      <c r="O95" s="35" t="str">
        <f t="shared" si="22"/>
        <v>Avac Sensor de Movimento</v>
      </c>
      <c r="P95" s="30" t="s">
        <v>419</v>
      </c>
      <c r="Q95" s="30" t="s">
        <v>292</v>
      </c>
      <c r="R95" s="30" t="s">
        <v>537</v>
      </c>
      <c r="S95" s="30" t="s">
        <v>9</v>
      </c>
      <c r="T95" s="30" t="str">
        <f t="shared" si="21"/>
        <v>De AVAC</v>
      </c>
      <c r="U95" s="30" t="str">
        <f t="shared" si="21"/>
        <v>Elementos de Sensorização</v>
      </c>
      <c r="V95" s="30" t="str">
        <f t="shared" si="21"/>
        <v>Avac Sensores</v>
      </c>
      <c r="W95" s="30" t="s">
        <v>209</v>
      </c>
      <c r="X95" s="48" t="str">
        <f t="shared" si="23"/>
        <v>Key-AVAC-95</v>
      </c>
      <c r="Y95" s="30" t="s">
        <v>307</v>
      </c>
      <c r="Z95" s="58" t="s">
        <v>9</v>
      </c>
      <c r="AA95" s="29" t="s">
        <v>326</v>
      </c>
      <c r="AB95" s="58" t="s">
        <v>9</v>
      </c>
      <c r="AC95" s="30" t="s">
        <v>264</v>
      </c>
      <c r="AD95" s="58" t="s">
        <v>9</v>
      </c>
    </row>
    <row r="96" spans="1:30" ht="6.65" customHeight="1" x14ac:dyDescent="0.4">
      <c r="A96" s="49">
        <v>96</v>
      </c>
      <c r="B96" s="1" t="s">
        <v>467</v>
      </c>
      <c r="C96" s="1" t="s">
        <v>563</v>
      </c>
      <c r="D96" s="1" t="s">
        <v>436</v>
      </c>
      <c r="E96" s="1" t="s">
        <v>393</v>
      </c>
      <c r="F96" s="34" t="s">
        <v>377</v>
      </c>
      <c r="G96" s="51" t="s">
        <v>9</v>
      </c>
      <c r="H96" s="51" t="s">
        <v>9</v>
      </c>
      <c r="I96" s="51" t="s">
        <v>9</v>
      </c>
      <c r="J96" s="51" t="s">
        <v>9</v>
      </c>
      <c r="K96" s="51" t="s">
        <v>9</v>
      </c>
      <c r="L96" s="35" t="str">
        <f t="shared" si="15"/>
        <v>De.AVAC</v>
      </c>
      <c r="M96" s="35" t="str">
        <f t="shared" si="15"/>
        <v>Elementos.de.Sensorização</v>
      </c>
      <c r="N96" s="35" t="str">
        <f t="shared" si="22"/>
        <v>Avac Sensores</v>
      </c>
      <c r="O96" s="35" t="str">
        <f t="shared" si="22"/>
        <v>Avac Sensor de Obstáculo</v>
      </c>
      <c r="P96" s="30" t="s">
        <v>421</v>
      </c>
      <c r="Q96" s="30" t="s">
        <v>293</v>
      </c>
      <c r="R96" s="30" t="s">
        <v>538</v>
      </c>
      <c r="S96" s="30" t="s">
        <v>9</v>
      </c>
      <c r="T96" s="30" t="str">
        <f t="shared" si="21"/>
        <v>De AVAC</v>
      </c>
      <c r="U96" s="30" t="str">
        <f t="shared" si="21"/>
        <v>Elementos de Sensorização</v>
      </c>
      <c r="V96" s="30" t="str">
        <f t="shared" si="21"/>
        <v>Avac Sensores</v>
      </c>
      <c r="W96" s="30" t="s">
        <v>209</v>
      </c>
      <c r="X96" s="48" t="str">
        <f t="shared" si="23"/>
        <v>Key-AVAC-96</v>
      </c>
      <c r="Y96" s="30" t="s">
        <v>307</v>
      </c>
      <c r="Z96" s="58" t="s">
        <v>9</v>
      </c>
      <c r="AA96" s="29" t="s">
        <v>327</v>
      </c>
      <c r="AB96" s="58" t="s">
        <v>9</v>
      </c>
      <c r="AC96" s="30" t="s">
        <v>264</v>
      </c>
      <c r="AD96" s="58" t="s">
        <v>9</v>
      </c>
    </row>
    <row r="97" spans="1:30" ht="6.65" customHeight="1" x14ac:dyDescent="0.4">
      <c r="A97" s="49">
        <v>97</v>
      </c>
      <c r="B97" s="1" t="s">
        <v>467</v>
      </c>
      <c r="C97" s="1" t="s">
        <v>563</v>
      </c>
      <c r="D97" s="1" t="s">
        <v>436</v>
      </c>
      <c r="E97" s="1" t="s">
        <v>393</v>
      </c>
      <c r="F97" s="34" t="s">
        <v>378</v>
      </c>
      <c r="G97" s="51" t="s">
        <v>9</v>
      </c>
      <c r="H97" s="51" t="s">
        <v>9</v>
      </c>
      <c r="I97" s="51" t="s">
        <v>9</v>
      </c>
      <c r="J97" s="51" t="s">
        <v>9</v>
      </c>
      <c r="K97" s="51" t="s">
        <v>9</v>
      </c>
      <c r="L97" s="35" t="str">
        <f t="shared" si="15"/>
        <v>De.AVAC</v>
      </c>
      <c r="M97" s="35" t="str">
        <f t="shared" si="15"/>
        <v>Elementos.de.Sensorização</v>
      </c>
      <c r="N97" s="35" t="str">
        <f t="shared" si="22"/>
        <v>Avac Sensores</v>
      </c>
      <c r="O97" s="35" t="str">
        <f t="shared" si="22"/>
        <v>Avac Sensor de pH</v>
      </c>
      <c r="P97" s="30" t="s">
        <v>420</v>
      </c>
      <c r="Q97" s="30" t="s">
        <v>294</v>
      </c>
      <c r="R97" s="30" t="s">
        <v>539</v>
      </c>
      <c r="S97" s="30" t="s">
        <v>9</v>
      </c>
      <c r="T97" s="30" t="str">
        <f t="shared" si="21"/>
        <v>De AVAC</v>
      </c>
      <c r="U97" s="30" t="str">
        <f t="shared" si="21"/>
        <v>Elementos de Sensorização</v>
      </c>
      <c r="V97" s="30" t="str">
        <f t="shared" si="21"/>
        <v>Avac Sensores</v>
      </c>
      <c r="W97" s="30" t="s">
        <v>209</v>
      </c>
      <c r="X97" s="48" t="str">
        <f t="shared" si="23"/>
        <v>Key-AVAC-97</v>
      </c>
      <c r="Y97" s="30" t="s">
        <v>307</v>
      </c>
      <c r="Z97" s="58" t="s">
        <v>9</v>
      </c>
      <c r="AA97" s="29" t="s">
        <v>328</v>
      </c>
      <c r="AB97" s="58" t="s">
        <v>9</v>
      </c>
      <c r="AC97" s="30" t="s">
        <v>264</v>
      </c>
      <c r="AD97" s="58" t="s">
        <v>9</v>
      </c>
    </row>
    <row r="98" spans="1:30" ht="6.65" customHeight="1" x14ac:dyDescent="0.4">
      <c r="A98" s="49">
        <v>98</v>
      </c>
      <c r="B98" s="1" t="s">
        <v>467</v>
      </c>
      <c r="C98" s="1" t="s">
        <v>563</v>
      </c>
      <c r="D98" s="1" t="s">
        <v>436</v>
      </c>
      <c r="E98" s="1" t="s">
        <v>393</v>
      </c>
      <c r="F98" s="34" t="s">
        <v>379</v>
      </c>
      <c r="G98" s="51" t="s">
        <v>9</v>
      </c>
      <c r="H98" s="51" t="s">
        <v>9</v>
      </c>
      <c r="I98" s="51" t="s">
        <v>9</v>
      </c>
      <c r="J98" s="51" t="s">
        <v>9</v>
      </c>
      <c r="K98" s="51" t="s">
        <v>9</v>
      </c>
      <c r="L98" s="35" t="str">
        <f t="shared" si="15"/>
        <v>De.AVAC</v>
      </c>
      <c r="M98" s="35" t="str">
        <f t="shared" si="15"/>
        <v>Elementos.de.Sensorização</v>
      </c>
      <c r="N98" s="35" t="str">
        <f t="shared" si="22"/>
        <v>Avac Sensores</v>
      </c>
      <c r="O98" s="35" t="str">
        <f t="shared" si="22"/>
        <v>Avac Sensor de Pressão</v>
      </c>
      <c r="P98" s="30" t="s">
        <v>422</v>
      </c>
      <c r="Q98" s="30" t="s">
        <v>295</v>
      </c>
      <c r="R98" s="30" t="s">
        <v>540</v>
      </c>
      <c r="S98" s="30" t="s">
        <v>9</v>
      </c>
      <c r="T98" s="30" t="str">
        <f t="shared" si="21"/>
        <v>De AVAC</v>
      </c>
      <c r="U98" s="30" t="str">
        <f t="shared" si="21"/>
        <v>Elementos de Sensorização</v>
      </c>
      <c r="V98" s="30" t="str">
        <f t="shared" si="21"/>
        <v>Avac Sensores</v>
      </c>
      <c r="W98" s="30" t="s">
        <v>209</v>
      </c>
      <c r="X98" s="48" t="str">
        <f t="shared" si="23"/>
        <v>Key-AVAC-98</v>
      </c>
      <c r="Y98" s="30" t="s">
        <v>307</v>
      </c>
      <c r="Z98" s="58" t="s">
        <v>9</v>
      </c>
      <c r="AA98" s="29" t="s">
        <v>329</v>
      </c>
      <c r="AB98" s="58" t="s">
        <v>9</v>
      </c>
      <c r="AC98" s="30" t="s">
        <v>264</v>
      </c>
      <c r="AD98" s="58" t="s">
        <v>9</v>
      </c>
    </row>
    <row r="99" spans="1:30" ht="6.65" customHeight="1" x14ac:dyDescent="0.4">
      <c r="A99" s="49">
        <v>99</v>
      </c>
      <c r="B99" s="1" t="s">
        <v>467</v>
      </c>
      <c r="C99" s="1" t="s">
        <v>563</v>
      </c>
      <c r="D99" s="1" t="s">
        <v>436</v>
      </c>
      <c r="E99" s="1" t="s">
        <v>393</v>
      </c>
      <c r="F99" s="34" t="s">
        <v>380</v>
      </c>
      <c r="G99" s="51" t="s">
        <v>9</v>
      </c>
      <c r="H99" s="51" t="s">
        <v>9</v>
      </c>
      <c r="I99" s="51" t="s">
        <v>9</v>
      </c>
      <c r="J99" s="51" t="s">
        <v>9</v>
      </c>
      <c r="K99" s="51" t="s">
        <v>9</v>
      </c>
      <c r="L99" s="35" t="str">
        <f t="shared" si="15"/>
        <v>De.AVAC</v>
      </c>
      <c r="M99" s="35" t="str">
        <f t="shared" si="15"/>
        <v>Elementos.de.Sensorização</v>
      </c>
      <c r="N99" s="35" t="str">
        <f t="shared" si="22"/>
        <v>Avac Sensores</v>
      </c>
      <c r="O99" s="35" t="str">
        <f t="shared" si="22"/>
        <v>Avac Sensor de Radiação</v>
      </c>
      <c r="P99" s="30" t="s">
        <v>423</v>
      </c>
      <c r="Q99" s="30" t="s">
        <v>296</v>
      </c>
      <c r="R99" s="30" t="s">
        <v>541</v>
      </c>
      <c r="S99" s="30" t="s">
        <v>9</v>
      </c>
      <c r="T99" s="30" t="str">
        <f t="shared" si="21"/>
        <v>De AVAC</v>
      </c>
      <c r="U99" s="30" t="str">
        <f t="shared" si="21"/>
        <v>Elementos de Sensorização</v>
      </c>
      <c r="V99" s="30" t="str">
        <f t="shared" si="21"/>
        <v>Avac Sensores</v>
      </c>
      <c r="W99" s="30" t="s">
        <v>209</v>
      </c>
      <c r="X99" s="48" t="str">
        <f t="shared" si="23"/>
        <v>Key-AVAC-99</v>
      </c>
      <c r="Y99" s="30" t="s">
        <v>307</v>
      </c>
      <c r="Z99" s="58" t="s">
        <v>9</v>
      </c>
      <c r="AA99" s="29" t="s">
        <v>330</v>
      </c>
      <c r="AB99" s="58" t="s">
        <v>9</v>
      </c>
      <c r="AC99" s="30" t="s">
        <v>264</v>
      </c>
      <c r="AD99" s="58" t="s">
        <v>9</v>
      </c>
    </row>
    <row r="100" spans="1:30" ht="6.65" customHeight="1" x14ac:dyDescent="0.4">
      <c r="A100" s="49">
        <v>100</v>
      </c>
      <c r="B100" s="1" t="s">
        <v>467</v>
      </c>
      <c r="C100" s="1" t="s">
        <v>563</v>
      </c>
      <c r="D100" s="1" t="s">
        <v>436</v>
      </c>
      <c r="E100" s="1" t="s">
        <v>393</v>
      </c>
      <c r="F100" s="34" t="s">
        <v>381</v>
      </c>
      <c r="G100" s="51" t="s">
        <v>9</v>
      </c>
      <c r="H100" s="51" t="s">
        <v>9</v>
      </c>
      <c r="I100" s="51" t="s">
        <v>9</v>
      </c>
      <c r="J100" s="51" t="s">
        <v>9</v>
      </c>
      <c r="K100" s="51" t="s">
        <v>9</v>
      </c>
      <c r="L100" s="35" t="str">
        <f t="shared" si="15"/>
        <v>De.AVAC</v>
      </c>
      <c r="M100" s="35" t="str">
        <f t="shared" si="15"/>
        <v>Elementos.de.Sensorização</v>
      </c>
      <c r="N100" s="35" t="str">
        <f t="shared" si="22"/>
        <v>Avac Sensores</v>
      </c>
      <c r="O100" s="35" t="str">
        <f t="shared" si="22"/>
        <v>Avac Sensor de Radioatividade</v>
      </c>
      <c r="P100" s="30" t="s">
        <v>424</v>
      </c>
      <c r="Q100" s="30" t="s">
        <v>297</v>
      </c>
      <c r="R100" s="30" t="s">
        <v>542</v>
      </c>
      <c r="S100" s="30" t="s">
        <v>9</v>
      </c>
      <c r="T100" s="30" t="str">
        <f t="shared" si="21"/>
        <v>De AVAC</v>
      </c>
      <c r="U100" s="30" t="str">
        <f t="shared" si="21"/>
        <v>Elementos de Sensorização</v>
      </c>
      <c r="V100" s="30" t="str">
        <f t="shared" si="21"/>
        <v>Avac Sensores</v>
      </c>
      <c r="W100" s="30" t="s">
        <v>209</v>
      </c>
      <c r="X100" s="48" t="str">
        <f t="shared" si="23"/>
        <v>Key-AVAC-100</v>
      </c>
      <c r="Y100" s="30" t="s">
        <v>307</v>
      </c>
      <c r="Z100" s="58" t="s">
        <v>9</v>
      </c>
      <c r="AA100" s="29" t="s">
        <v>331</v>
      </c>
      <c r="AB100" s="58" t="s">
        <v>9</v>
      </c>
      <c r="AC100" s="30" t="s">
        <v>264</v>
      </c>
      <c r="AD100" s="58" t="s">
        <v>9</v>
      </c>
    </row>
    <row r="101" spans="1:30" ht="6.65" customHeight="1" x14ac:dyDescent="0.4">
      <c r="A101" s="49">
        <v>101</v>
      </c>
      <c r="B101" s="1" t="s">
        <v>467</v>
      </c>
      <c r="C101" s="1" t="s">
        <v>563</v>
      </c>
      <c r="D101" s="1" t="s">
        <v>436</v>
      </c>
      <c r="E101" s="1" t="s">
        <v>393</v>
      </c>
      <c r="F101" s="34" t="s">
        <v>382</v>
      </c>
      <c r="G101" s="51" t="s">
        <v>9</v>
      </c>
      <c r="H101" s="51" t="s">
        <v>9</v>
      </c>
      <c r="I101" s="51" t="s">
        <v>9</v>
      </c>
      <c r="J101" s="51" t="s">
        <v>9</v>
      </c>
      <c r="K101" s="51" t="s">
        <v>9</v>
      </c>
      <c r="L101" s="35" t="str">
        <f t="shared" si="15"/>
        <v>De.AVAC</v>
      </c>
      <c r="M101" s="35" t="str">
        <f t="shared" si="15"/>
        <v>Elementos.de.Sensorização</v>
      </c>
      <c r="N101" s="35" t="str">
        <f t="shared" si="22"/>
        <v>Avac Sensores</v>
      </c>
      <c r="O101" s="35" t="str">
        <f t="shared" si="22"/>
        <v>Avac Sensor de Chuva</v>
      </c>
      <c r="P101" s="30" t="s">
        <v>425</v>
      </c>
      <c r="Q101" s="30" t="s">
        <v>298</v>
      </c>
      <c r="R101" s="30" t="s">
        <v>543</v>
      </c>
      <c r="S101" s="30" t="s">
        <v>9</v>
      </c>
      <c r="T101" s="30" t="str">
        <f t="shared" si="21"/>
        <v>De AVAC</v>
      </c>
      <c r="U101" s="30" t="str">
        <f t="shared" si="21"/>
        <v>Elementos de Sensorização</v>
      </c>
      <c r="V101" s="30" t="str">
        <f t="shared" si="21"/>
        <v>Avac Sensores</v>
      </c>
      <c r="W101" s="30" t="s">
        <v>209</v>
      </c>
      <c r="X101" s="48" t="str">
        <f t="shared" si="23"/>
        <v>Key-AVAC-101</v>
      </c>
      <c r="Y101" s="30" t="s">
        <v>307</v>
      </c>
      <c r="Z101" s="58" t="s">
        <v>9</v>
      </c>
      <c r="AA101" s="29" t="s">
        <v>332</v>
      </c>
      <c r="AB101" s="58" t="s">
        <v>9</v>
      </c>
      <c r="AC101" s="30" t="s">
        <v>264</v>
      </c>
      <c r="AD101" s="58" t="s">
        <v>9</v>
      </c>
    </row>
    <row r="102" spans="1:30" ht="6.65" customHeight="1" x14ac:dyDescent="0.4">
      <c r="A102" s="49">
        <v>102</v>
      </c>
      <c r="B102" s="1" t="s">
        <v>467</v>
      </c>
      <c r="C102" s="1" t="s">
        <v>563</v>
      </c>
      <c r="D102" s="1" t="s">
        <v>436</v>
      </c>
      <c r="E102" s="1" t="s">
        <v>393</v>
      </c>
      <c r="F102" s="34" t="s">
        <v>383</v>
      </c>
      <c r="G102" s="51" t="s">
        <v>9</v>
      </c>
      <c r="H102" s="51" t="s">
        <v>9</v>
      </c>
      <c r="I102" s="51" t="s">
        <v>9</v>
      </c>
      <c r="J102" s="51" t="s">
        <v>9</v>
      </c>
      <c r="K102" s="51" t="s">
        <v>9</v>
      </c>
      <c r="L102" s="35" t="str">
        <f t="shared" si="15"/>
        <v>De.AVAC</v>
      </c>
      <c r="M102" s="35" t="str">
        <f t="shared" si="15"/>
        <v>Elementos.de.Sensorização</v>
      </c>
      <c r="N102" s="35" t="str">
        <f t="shared" si="22"/>
        <v>Avac Sensores</v>
      </c>
      <c r="O102" s="35" t="str">
        <f t="shared" si="22"/>
        <v>Avac Sensor de Fumaça</v>
      </c>
      <c r="P102" s="30" t="s">
        <v>426</v>
      </c>
      <c r="Q102" s="30" t="s">
        <v>299</v>
      </c>
      <c r="R102" s="30" t="s">
        <v>544</v>
      </c>
      <c r="S102" s="30" t="s">
        <v>9</v>
      </c>
      <c r="T102" s="30" t="str">
        <f t="shared" si="21"/>
        <v>De AVAC</v>
      </c>
      <c r="U102" s="30" t="str">
        <f t="shared" si="21"/>
        <v>Elementos de Sensorização</v>
      </c>
      <c r="V102" s="30" t="str">
        <f t="shared" si="21"/>
        <v>Avac Sensores</v>
      </c>
      <c r="W102" s="30" t="s">
        <v>209</v>
      </c>
      <c r="X102" s="48" t="str">
        <f t="shared" si="23"/>
        <v>Key-AVAC-102</v>
      </c>
      <c r="Y102" s="30" t="s">
        <v>307</v>
      </c>
      <c r="Z102" s="58" t="s">
        <v>9</v>
      </c>
      <c r="AA102" s="29" t="s">
        <v>333</v>
      </c>
      <c r="AB102" s="58" t="s">
        <v>9</v>
      </c>
      <c r="AC102" s="30" t="s">
        <v>264</v>
      </c>
      <c r="AD102" s="58" t="s">
        <v>9</v>
      </c>
    </row>
    <row r="103" spans="1:30" ht="6.65" customHeight="1" x14ac:dyDescent="0.4">
      <c r="A103" s="49">
        <v>103</v>
      </c>
      <c r="B103" s="1" t="s">
        <v>467</v>
      </c>
      <c r="C103" s="1" t="s">
        <v>563</v>
      </c>
      <c r="D103" s="1" t="s">
        <v>436</v>
      </c>
      <c r="E103" s="1" t="s">
        <v>393</v>
      </c>
      <c r="F103" s="34" t="s">
        <v>384</v>
      </c>
      <c r="G103" s="51" t="s">
        <v>9</v>
      </c>
      <c r="H103" s="51" t="s">
        <v>9</v>
      </c>
      <c r="I103" s="51" t="s">
        <v>9</v>
      </c>
      <c r="J103" s="51" t="s">
        <v>9</v>
      </c>
      <c r="K103" s="51" t="s">
        <v>9</v>
      </c>
      <c r="L103" s="35" t="str">
        <f t="shared" si="15"/>
        <v>De.AVAC</v>
      </c>
      <c r="M103" s="35" t="str">
        <f t="shared" si="15"/>
        <v>Elementos.de.Sensorização</v>
      </c>
      <c r="N103" s="35" t="str">
        <f t="shared" si="22"/>
        <v>Avac Sensores</v>
      </c>
      <c r="O103" s="35" t="str">
        <f t="shared" si="22"/>
        <v>Avac Sensor de Profundidade da Neve</v>
      </c>
      <c r="P103" s="30" t="s">
        <v>427</v>
      </c>
      <c r="Q103" s="30" t="s">
        <v>300</v>
      </c>
      <c r="R103" s="30" t="s">
        <v>545</v>
      </c>
      <c r="S103" s="30" t="s">
        <v>9</v>
      </c>
      <c r="T103" s="30" t="str">
        <f t="shared" si="21"/>
        <v>De AVAC</v>
      </c>
      <c r="U103" s="30" t="str">
        <f t="shared" si="21"/>
        <v>Elementos de Sensorização</v>
      </c>
      <c r="V103" s="30" t="str">
        <f t="shared" si="21"/>
        <v>Avac Sensores</v>
      </c>
      <c r="W103" s="30" t="s">
        <v>209</v>
      </c>
      <c r="X103" s="48" t="str">
        <f t="shared" si="23"/>
        <v>Key-AVAC-103</v>
      </c>
      <c r="Y103" s="30" t="s">
        <v>307</v>
      </c>
      <c r="Z103" s="58" t="s">
        <v>9</v>
      </c>
      <c r="AA103" s="29" t="s">
        <v>334</v>
      </c>
      <c r="AB103" s="58" t="s">
        <v>9</v>
      </c>
      <c r="AC103" s="30" t="s">
        <v>264</v>
      </c>
      <c r="AD103" s="58" t="s">
        <v>9</v>
      </c>
    </row>
    <row r="104" spans="1:30" ht="6.65" customHeight="1" x14ac:dyDescent="0.4">
      <c r="A104" s="49">
        <v>104</v>
      </c>
      <c r="B104" s="1" t="s">
        <v>467</v>
      </c>
      <c r="C104" s="1" t="s">
        <v>563</v>
      </c>
      <c r="D104" s="1" t="s">
        <v>436</v>
      </c>
      <c r="E104" s="1" t="s">
        <v>393</v>
      </c>
      <c r="F104" s="34" t="s">
        <v>385</v>
      </c>
      <c r="G104" s="51" t="s">
        <v>9</v>
      </c>
      <c r="H104" s="51" t="s">
        <v>9</v>
      </c>
      <c r="I104" s="51" t="s">
        <v>9</v>
      </c>
      <c r="J104" s="51" t="s">
        <v>9</v>
      </c>
      <c r="K104" s="51" t="s">
        <v>9</v>
      </c>
      <c r="L104" s="35" t="str">
        <f t="shared" si="15"/>
        <v>De.AVAC</v>
      </c>
      <c r="M104" s="35" t="str">
        <f t="shared" si="15"/>
        <v>Elementos.de.Sensorização</v>
      </c>
      <c r="N104" s="35" t="str">
        <f t="shared" si="22"/>
        <v>Avac Sensores</v>
      </c>
      <c r="O104" s="35" t="str">
        <f t="shared" si="22"/>
        <v>Avac Sensor de Som</v>
      </c>
      <c r="P104" s="30" t="s">
        <v>428</v>
      </c>
      <c r="Q104" s="30" t="s">
        <v>301</v>
      </c>
      <c r="R104" s="30" t="s">
        <v>546</v>
      </c>
      <c r="S104" s="30" t="s">
        <v>9</v>
      </c>
      <c r="T104" s="30" t="str">
        <f t="shared" si="21"/>
        <v>De AVAC</v>
      </c>
      <c r="U104" s="30" t="str">
        <f t="shared" si="21"/>
        <v>Elementos de Sensorização</v>
      </c>
      <c r="V104" s="30" t="str">
        <f t="shared" si="21"/>
        <v>Avac Sensores</v>
      </c>
      <c r="W104" s="30" t="s">
        <v>209</v>
      </c>
      <c r="X104" s="48" t="str">
        <f t="shared" si="23"/>
        <v>Key-AVAC-104</v>
      </c>
      <c r="Y104" s="30" t="s">
        <v>307</v>
      </c>
      <c r="Z104" s="58" t="s">
        <v>9</v>
      </c>
      <c r="AA104" s="29" t="s">
        <v>335</v>
      </c>
      <c r="AB104" s="58" t="s">
        <v>9</v>
      </c>
      <c r="AC104" s="30" t="s">
        <v>264</v>
      </c>
      <c r="AD104" s="58" t="s">
        <v>9</v>
      </c>
    </row>
    <row r="105" spans="1:30" ht="6.65" customHeight="1" x14ac:dyDescent="0.4">
      <c r="A105" s="49">
        <v>105</v>
      </c>
      <c r="B105" s="1" t="s">
        <v>467</v>
      </c>
      <c r="C105" s="1" t="s">
        <v>563</v>
      </c>
      <c r="D105" s="1" t="s">
        <v>436</v>
      </c>
      <c r="E105" s="1" t="s">
        <v>393</v>
      </c>
      <c r="F105" s="34" t="s">
        <v>386</v>
      </c>
      <c r="G105" s="51" t="s">
        <v>9</v>
      </c>
      <c r="H105" s="51" t="s">
        <v>9</v>
      </c>
      <c r="I105" s="51" t="s">
        <v>9</v>
      </c>
      <c r="J105" s="51" t="s">
        <v>9</v>
      </c>
      <c r="K105" s="51" t="s">
        <v>9</v>
      </c>
      <c r="L105" s="35" t="str">
        <f t="shared" si="15"/>
        <v>De.AVAC</v>
      </c>
      <c r="M105" s="35" t="str">
        <f t="shared" si="15"/>
        <v>Elementos.de.Sensorização</v>
      </c>
      <c r="N105" s="35" t="str">
        <f t="shared" si="22"/>
        <v>Avac Sensores</v>
      </c>
      <c r="O105" s="35" t="str">
        <f t="shared" si="22"/>
        <v>Avac Sensor de Temperatura</v>
      </c>
      <c r="P105" s="30" t="s">
        <v>429</v>
      </c>
      <c r="Q105" s="30" t="s">
        <v>302</v>
      </c>
      <c r="R105" s="30" t="s">
        <v>547</v>
      </c>
      <c r="S105" s="30" t="s">
        <v>9</v>
      </c>
      <c r="T105" s="30" t="str">
        <f t="shared" si="21"/>
        <v>De AVAC</v>
      </c>
      <c r="U105" s="30" t="str">
        <f t="shared" si="21"/>
        <v>Elementos de Sensorização</v>
      </c>
      <c r="V105" s="30" t="str">
        <f t="shared" si="21"/>
        <v>Avac Sensores</v>
      </c>
      <c r="W105" s="30" t="s">
        <v>209</v>
      </c>
      <c r="X105" s="48" t="str">
        <f t="shared" si="23"/>
        <v>Key-AVAC-105</v>
      </c>
      <c r="Y105" s="30" t="s">
        <v>307</v>
      </c>
      <c r="Z105" s="58" t="s">
        <v>9</v>
      </c>
      <c r="AA105" s="29" t="s">
        <v>336</v>
      </c>
      <c r="AB105" s="58" t="s">
        <v>9</v>
      </c>
      <c r="AC105" s="30" t="s">
        <v>264</v>
      </c>
      <c r="AD105" s="58" t="s">
        <v>9</v>
      </c>
    </row>
    <row r="106" spans="1:30" ht="6.65" customHeight="1" x14ac:dyDescent="0.4">
      <c r="A106" s="49">
        <v>106</v>
      </c>
      <c r="B106" s="1" t="s">
        <v>467</v>
      </c>
      <c r="C106" s="1" t="s">
        <v>563</v>
      </c>
      <c r="D106" s="1" t="s">
        <v>436</v>
      </c>
      <c r="E106" s="1" t="s">
        <v>393</v>
      </c>
      <c r="F106" s="34" t="s">
        <v>387</v>
      </c>
      <c r="G106" s="51" t="s">
        <v>9</v>
      </c>
      <c r="H106" s="51" t="s">
        <v>9</v>
      </c>
      <c r="I106" s="51" t="s">
        <v>9</v>
      </c>
      <c r="J106" s="51" t="s">
        <v>9</v>
      </c>
      <c r="K106" s="51" t="s">
        <v>9</v>
      </c>
      <c r="L106" s="35" t="str">
        <f t="shared" si="15"/>
        <v>De.AVAC</v>
      </c>
      <c r="M106" s="35" t="str">
        <f t="shared" si="15"/>
        <v>Elementos.de.Sensorização</v>
      </c>
      <c r="N106" s="35" t="str">
        <f t="shared" si="22"/>
        <v>Avac Sensores</v>
      </c>
      <c r="O106" s="35" t="str">
        <f t="shared" si="22"/>
        <v>Avac Sensor de Trem</v>
      </c>
      <c r="P106" s="30" t="s">
        <v>430</v>
      </c>
      <c r="Q106" s="30" t="s">
        <v>303</v>
      </c>
      <c r="R106" s="30" t="s">
        <v>548</v>
      </c>
      <c r="S106" s="30" t="s">
        <v>9</v>
      </c>
      <c r="T106" s="30" t="str">
        <f t="shared" si="21"/>
        <v>De AVAC</v>
      </c>
      <c r="U106" s="30" t="str">
        <f t="shared" si="21"/>
        <v>Elementos de Sensorização</v>
      </c>
      <c r="V106" s="30" t="str">
        <f t="shared" si="21"/>
        <v>Avac Sensores</v>
      </c>
      <c r="W106" s="30" t="s">
        <v>209</v>
      </c>
      <c r="X106" s="48" t="str">
        <f t="shared" si="23"/>
        <v>Key-AVAC-106</v>
      </c>
      <c r="Y106" s="30" t="s">
        <v>307</v>
      </c>
      <c r="Z106" s="58" t="s">
        <v>9</v>
      </c>
      <c r="AA106" s="29" t="s">
        <v>337</v>
      </c>
      <c r="AB106" s="58" t="s">
        <v>9</v>
      </c>
      <c r="AC106" s="30" t="s">
        <v>264</v>
      </c>
      <c r="AD106" s="58" t="s">
        <v>9</v>
      </c>
    </row>
    <row r="107" spans="1:30" ht="6.65" customHeight="1" x14ac:dyDescent="0.4">
      <c r="A107" s="49">
        <v>107</v>
      </c>
      <c r="B107" s="1" t="s">
        <v>467</v>
      </c>
      <c r="C107" s="1" t="s">
        <v>563</v>
      </c>
      <c r="D107" s="1" t="s">
        <v>436</v>
      </c>
      <c r="E107" s="1" t="s">
        <v>393</v>
      </c>
      <c r="F107" s="34" t="s">
        <v>388</v>
      </c>
      <c r="G107" s="51" t="s">
        <v>9</v>
      </c>
      <c r="H107" s="51" t="s">
        <v>9</v>
      </c>
      <c r="I107" s="51" t="s">
        <v>9</v>
      </c>
      <c r="J107" s="51" t="s">
        <v>9</v>
      </c>
      <c r="K107" s="51" t="s">
        <v>9</v>
      </c>
      <c r="L107" s="35" t="str">
        <f t="shared" si="15"/>
        <v>De.AVAC</v>
      </c>
      <c r="M107" s="35" t="str">
        <f t="shared" si="15"/>
        <v>Elementos.de.Sensorização</v>
      </c>
      <c r="N107" s="35" t="str">
        <f t="shared" si="22"/>
        <v>Avac Sensores</v>
      </c>
      <c r="O107" s="35" t="str">
        <f t="shared" si="22"/>
        <v>Avac Sensor de Desvio Ferroviário</v>
      </c>
      <c r="P107" s="30" t="s">
        <v>433</v>
      </c>
      <c r="Q107" s="30" t="s">
        <v>304</v>
      </c>
      <c r="R107" s="30" t="s">
        <v>549</v>
      </c>
      <c r="S107" s="30" t="s">
        <v>9</v>
      </c>
      <c r="T107" s="30" t="str">
        <f t="shared" si="21"/>
        <v>De AVAC</v>
      </c>
      <c r="U107" s="30" t="str">
        <f t="shared" si="21"/>
        <v>Elementos de Sensorização</v>
      </c>
      <c r="V107" s="30" t="str">
        <f t="shared" si="21"/>
        <v>Avac Sensores</v>
      </c>
      <c r="W107" s="30" t="s">
        <v>209</v>
      </c>
      <c r="X107" s="48" t="str">
        <f t="shared" si="23"/>
        <v>Key-AVAC-107</v>
      </c>
      <c r="Y107" s="30" t="s">
        <v>307</v>
      </c>
      <c r="Z107" s="58" t="s">
        <v>9</v>
      </c>
      <c r="AA107" s="29" t="s">
        <v>338</v>
      </c>
      <c r="AB107" s="58" t="s">
        <v>9</v>
      </c>
      <c r="AC107" s="30" t="s">
        <v>264</v>
      </c>
      <c r="AD107" s="58" t="s">
        <v>9</v>
      </c>
    </row>
    <row r="108" spans="1:30" ht="6.65" customHeight="1" x14ac:dyDescent="0.4">
      <c r="A108" s="49">
        <v>108</v>
      </c>
      <c r="B108" s="1" t="s">
        <v>467</v>
      </c>
      <c r="C108" s="1" t="s">
        <v>563</v>
      </c>
      <c r="D108" s="1" t="s">
        <v>436</v>
      </c>
      <c r="E108" s="1" t="s">
        <v>393</v>
      </c>
      <c r="F108" s="34" t="s">
        <v>389</v>
      </c>
      <c r="G108" s="51" t="s">
        <v>9</v>
      </c>
      <c r="H108" s="51" t="s">
        <v>9</v>
      </c>
      <c r="I108" s="51" t="s">
        <v>9</v>
      </c>
      <c r="J108" s="51" t="s">
        <v>9</v>
      </c>
      <c r="K108" s="51" t="s">
        <v>9</v>
      </c>
      <c r="L108" s="35" t="str">
        <f t="shared" si="15"/>
        <v>De.AVAC</v>
      </c>
      <c r="M108" s="35" t="str">
        <f t="shared" si="15"/>
        <v>Elementos.de.Sensorização</v>
      </c>
      <c r="N108" s="35" t="str">
        <f t="shared" si="22"/>
        <v>Avac Sensores</v>
      </c>
      <c r="O108" s="35" t="str">
        <f t="shared" si="22"/>
        <v>Avac Sensor de Roda</v>
      </c>
      <c r="P108" s="30" t="s">
        <v>431</v>
      </c>
      <c r="Q108" s="30" t="s">
        <v>305</v>
      </c>
      <c r="R108" s="30" t="s">
        <v>550</v>
      </c>
      <c r="S108" s="30" t="s">
        <v>9</v>
      </c>
      <c r="T108" s="30" t="str">
        <f t="shared" si="21"/>
        <v>De AVAC</v>
      </c>
      <c r="U108" s="30" t="str">
        <f t="shared" si="21"/>
        <v>Elementos de Sensorização</v>
      </c>
      <c r="V108" s="30" t="str">
        <f t="shared" si="21"/>
        <v>Avac Sensores</v>
      </c>
      <c r="W108" s="30" t="s">
        <v>209</v>
      </c>
      <c r="X108" s="48" t="str">
        <f t="shared" si="23"/>
        <v>Key-AVAC-108</v>
      </c>
      <c r="Y108" s="30" t="s">
        <v>307</v>
      </c>
      <c r="Z108" s="58" t="s">
        <v>9</v>
      </c>
      <c r="AA108" s="29" t="s">
        <v>339</v>
      </c>
      <c r="AB108" s="58" t="s">
        <v>9</v>
      </c>
      <c r="AC108" s="30" t="s">
        <v>264</v>
      </c>
      <c r="AD108" s="58" t="s">
        <v>9</v>
      </c>
    </row>
    <row r="109" spans="1:30" ht="6.65" customHeight="1" x14ac:dyDescent="0.4">
      <c r="A109" s="49">
        <v>109</v>
      </c>
      <c r="B109" s="1" t="s">
        <v>467</v>
      </c>
      <c r="C109" s="1" t="s">
        <v>563</v>
      </c>
      <c r="D109" s="1" t="s">
        <v>436</v>
      </c>
      <c r="E109" s="1" t="s">
        <v>393</v>
      </c>
      <c r="F109" s="34" t="s">
        <v>390</v>
      </c>
      <c r="G109" s="51" t="s">
        <v>9</v>
      </c>
      <c r="H109" s="51" t="s">
        <v>9</v>
      </c>
      <c r="I109" s="51" t="s">
        <v>9</v>
      </c>
      <c r="J109" s="51" t="s">
        <v>9</v>
      </c>
      <c r="K109" s="51" t="s">
        <v>9</v>
      </c>
      <c r="L109" s="35" t="str">
        <f t="shared" si="15"/>
        <v>De.AVAC</v>
      </c>
      <c r="M109" s="35" t="str">
        <f t="shared" si="15"/>
        <v>Elementos.de.Sensorização</v>
      </c>
      <c r="N109" s="35" t="str">
        <f t="shared" si="22"/>
        <v>Avac Sensores</v>
      </c>
      <c r="O109" s="35" t="str">
        <f t="shared" si="22"/>
        <v>Avac Sensor de Vento</v>
      </c>
      <c r="P109" s="30" t="s">
        <v>432</v>
      </c>
      <c r="Q109" s="30" t="s">
        <v>306</v>
      </c>
      <c r="R109" s="30" t="s">
        <v>551</v>
      </c>
      <c r="S109" s="30" t="s">
        <v>9</v>
      </c>
      <c r="T109" s="30" t="str">
        <f t="shared" si="21"/>
        <v>De AVAC</v>
      </c>
      <c r="U109" s="30" t="str">
        <f t="shared" si="21"/>
        <v>Elementos de Sensorização</v>
      </c>
      <c r="V109" s="30" t="str">
        <f t="shared" si="21"/>
        <v>Avac Sensores</v>
      </c>
      <c r="W109" s="30" t="s">
        <v>209</v>
      </c>
      <c r="X109" s="48" t="str">
        <f t="shared" si="23"/>
        <v>Key-AVAC-109</v>
      </c>
      <c r="Y109" s="30" t="s">
        <v>307</v>
      </c>
      <c r="Z109" s="58" t="s">
        <v>9</v>
      </c>
      <c r="AA109" s="29" t="s">
        <v>340</v>
      </c>
      <c r="AB109" s="58" t="s">
        <v>9</v>
      </c>
      <c r="AC109" s="30" t="s">
        <v>264</v>
      </c>
      <c r="AD109" s="58" t="s">
        <v>9</v>
      </c>
    </row>
    <row r="110" spans="1:30" ht="6.65" customHeight="1" x14ac:dyDescent="0.4">
      <c r="A110" s="49">
        <v>110</v>
      </c>
      <c r="B110" s="1" t="s">
        <v>467</v>
      </c>
      <c r="C110" s="1" t="s">
        <v>563</v>
      </c>
      <c r="D110" s="1" t="s">
        <v>448</v>
      </c>
      <c r="E110" s="1" t="s">
        <v>395</v>
      </c>
      <c r="F110" s="1" t="s">
        <v>391</v>
      </c>
      <c r="G110" s="51" t="s">
        <v>9</v>
      </c>
      <c r="H110" s="51" t="s">
        <v>9</v>
      </c>
      <c r="I110" s="51" t="s">
        <v>9</v>
      </c>
      <c r="J110" s="51" t="s">
        <v>9</v>
      </c>
      <c r="K110" s="51" t="s">
        <v>9</v>
      </c>
      <c r="L110" s="35" t="str">
        <f t="shared" si="15"/>
        <v>De.AVAC</v>
      </c>
      <c r="M110" s="35" t="str">
        <f t="shared" si="15"/>
        <v>Elementos.de.Acessórios</v>
      </c>
      <c r="N110" s="35" t="str">
        <f t="shared" si="22"/>
        <v>Avac Acessórios</v>
      </c>
      <c r="O110" s="30" t="str">
        <f>IF(ISNUMBER(FIND("Ifc",F110)),CONCATENATE("",F110),CONCATENATE("",F110))</f>
        <v>Avac.Acessório.Duto.Avac</v>
      </c>
      <c r="P110" s="30" t="s">
        <v>186</v>
      </c>
      <c r="Q110" s="30" t="s">
        <v>188</v>
      </c>
      <c r="R110" s="30" t="s">
        <v>552</v>
      </c>
      <c r="S110" s="30" t="s">
        <v>9</v>
      </c>
      <c r="T110" s="30" t="str">
        <f t="shared" ref="T110:V111" si="24">SUBSTITUTE(C110, "_", " ")</f>
        <v>De.AVAC</v>
      </c>
      <c r="U110" s="30" t="str">
        <f t="shared" si="24"/>
        <v>Elementos.de.Acessórios</v>
      </c>
      <c r="V110" s="30" t="str">
        <f t="shared" si="24"/>
        <v>Avac.Acessórios</v>
      </c>
      <c r="W110" s="30" t="s">
        <v>209</v>
      </c>
      <c r="X110" s="48" t="str">
        <f t="shared" si="23"/>
        <v>Key-AVAC-110</v>
      </c>
      <c r="Y110" s="30" t="s">
        <v>210</v>
      </c>
      <c r="Z110" s="58" t="s">
        <v>9</v>
      </c>
      <c r="AA110" s="30" t="s">
        <v>211</v>
      </c>
      <c r="AB110" s="58" t="s">
        <v>9</v>
      </c>
      <c r="AC110" s="30" t="s">
        <v>264</v>
      </c>
      <c r="AD110" s="58" t="s">
        <v>9</v>
      </c>
    </row>
    <row r="111" spans="1:30" ht="6.65" customHeight="1" x14ac:dyDescent="0.4">
      <c r="A111" s="49">
        <v>111</v>
      </c>
      <c r="B111" s="1" t="s">
        <v>467</v>
      </c>
      <c r="C111" s="1" t="s">
        <v>563</v>
      </c>
      <c r="D111" s="1" t="s">
        <v>448</v>
      </c>
      <c r="E111" s="1" t="s">
        <v>395</v>
      </c>
      <c r="F111" s="1" t="s">
        <v>392</v>
      </c>
      <c r="G111" s="51" t="s">
        <v>9</v>
      </c>
      <c r="H111" s="51" t="s">
        <v>9</v>
      </c>
      <c r="I111" s="51" t="s">
        <v>9</v>
      </c>
      <c r="J111" s="51" t="s">
        <v>9</v>
      </c>
      <c r="K111" s="51" t="s">
        <v>9</v>
      </c>
      <c r="L111" s="35" t="str">
        <f t="shared" si="15"/>
        <v>De.AVAC</v>
      </c>
      <c r="M111" s="35" t="str">
        <f t="shared" si="15"/>
        <v>Elementos.de.Acessórios</v>
      </c>
      <c r="N111" s="35" t="str">
        <f t="shared" si="22"/>
        <v>Avac Acessórios</v>
      </c>
      <c r="O111" s="30" t="str">
        <f t="shared" ref="O111" si="25">IF(ISNUMBER(FIND("Ifc",F111)),CONCATENATE("",F111),CONCATENATE("",F111))</f>
        <v>Avac.Acessório.Tubo.Avac</v>
      </c>
      <c r="P111" s="30" t="s">
        <v>187</v>
      </c>
      <c r="Q111" s="30" t="s">
        <v>189</v>
      </c>
      <c r="R111" s="30" t="s">
        <v>553</v>
      </c>
      <c r="S111" s="30" t="s">
        <v>9</v>
      </c>
      <c r="T111" s="30" t="str">
        <f t="shared" si="24"/>
        <v>De.AVAC</v>
      </c>
      <c r="U111" s="30" t="str">
        <f t="shared" si="24"/>
        <v>Elementos.de.Acessórios</v>
      </c>
      <c r="V111" s="30" t="str">
        <f t="shared" si="24"/>
        <v>Avac.Acessórios</v>
      </c>
      <c r="W111" s="30" t="s">
        <v>209</v>
      </c>
      <c r="X111" s="48" t="str">
        <f t="shared" si="23"/>
        <v>Key-AVAC-111</v>
      </c>
      <c r="Y111" s="30" t="s">
        <v>212</v>
      </c>
      <c r="Z111" s="58" t="s">
        <v>9</v>
      </c>
      <c r="AA111" s="30" t="s">
        <v>211</v>
      </c>
      <c r="AB111" s="58" t="s">
        <v>9</v>
      </c>
      <c r="AC111" s="30" t="s">
        <v>264</v>
      </c>
      <c r="AD111" s="58" t="s">
        <v>9</v>
      </c>
    </row>
    <row r="112" spans="1:30" s="59" customFormat="1" ht="6.75" customHeight="1" x14ac:dyDescent="0.25">
      <c r="A112" s="49">
        <v>112</v>
      </c>
      <c r="B112" s="1" t="s">
        <v>558</v>
      </c>
      <c r="C112" s="60" t="s">
        <v>468</v>
      </c>
      <c r="D112" s="60" t="s">
        <v>581</v>
      </c>
      <c r="E112" s="60" t="s">
        <v>583</v>
      </c>
      <c r="F112" s="60" t="s">
        <v>569</v>
      </c>
      <c r="G112" s="51" t="s">
        <v>9</v>
      </c>
      <c r="H112" s="51" t="s">
        <v>9</v>
      </c>
      <c r="I112" s="51" t="s">
        <v>9</v>
      </c>
      <c r="J112" s="51" t="s">
        <v>9</v>
      </c>
      <c r="K112" s="51" t="s">
        <v>9</v>
      </c>
      <c r="L112" s="35" t="str">
        <f t="shared" ref="L112:O113" si="26">SUBSTITUTE(CONCATENATE("", C112), ".", " ")</f>
        <v>De Climatização</v>
      </c>
      <c r="M112" s="35" t="str">
        <f t="shared" si="26"/>
        <v>Qualidade de Ar</v>
      </c>
      <c r="N112" s="35" t="str">
        <f t="shared" si="26"/>
        <v>Circulação de Ar Interior</v>
      </c>
      <c r="O112" s="35" t="str">
        <f t="shared" si="26"/>
        <v>Ar Aquecido</v>
      </c>
      <c r="P112" s="30" t="s">
        <v>571</v>
      </c>
      <c r="Q112" s="56" t="str">
        <f t="shared" ref="Q112:Q113" si="27">_xlfn.TRANSLATE(P112,"pt","es")</f>
        <v>Proyecto de instalación de calefacción de aire.</v>
      </c>
      <c r="R112" s="56" t="s">
        <v>741</v>
      </c>
      <c r="S112" s="30" t="s">
        <v>9</v>
      </c>
      <c r="T112" s="30" t="str">
        <f t="shared" ref="T112:V113" si="28">SUBSTITUTE(C112, ".", " ")</f>
        <v>De Climatização</v>
      </c>
      <c r="U112" s="30" t="str">
        <f t="shared" si="28"/>
        <v>Qualidade de Ar</v>
      </c>
      <c r="V112" s="57" t="str">
        <f t="shared" si="28"/>
        <v>Circulação de Ar Interior</v>
      </c>
      <c r="W112" s="30" t="s">
        <v>209</v>
      </c>
      <c r="X112" s="48" t="str">
        <f t="shared" ref="X112:X113" si="29">CONCATENATE("Key-AVAC-",A112)</f>
        <v>Key-AVAC-112</v>
      </c>
      <c r="Y112" s="58" t="s">
        <v>9</v>
      </c>
      <c r="Z112" s="58" t="s">
        <v>9</v>
      </c>
      <c r="AA112" s="58" t="s">
        <v>9</v>
      </c>
      <c r="AB112" s="58" t="s">
        <v>9</v>
      </c>
      <c r="AC112" s="58" t="s">
        <v>9</v>
      </c>
      <c r="AD112" s="58" t="s">
        <v>9</v>
      </c>
    </row>
    <row r="113" spans="1:30" s="59" customFormat="1" ht="6.75" customHeight="1" x14ac:dyDescent="0.25">
      <c r="A113" s="49">
        <v>113</v>
      </c>
      <c r="B113" s="1" t="s">
        <v>558</v>
      </c>
      <c r="C113" s="60" t="s">
        <v>468</v>
      </c>
      <c r="D113" s="60" t="s">
        <v>581</v>
      </c>
      <c r="E113" s="60" t="s">
        <v>583</v>
      </c>
      <c r="F113" s="60" t="s">
        <v>574</v>
      </c>
      <c r="G113" s="51" t="s">
        <v>9</v>
      </c>
      <c r="H113" s="51" t="s">
        <v>9</v>
      </c>
      <c r="I113" s="51" t="s">
        <v>9</v>
      </c>
      <c r="J113" s="51" t="s">
        <v>9</v>
      </c>
      <c r="K113" s="51" t="s">
        <v>9</v>
      </c>
      <c r="L113" s="35" t="str">
        <f t="shared" si="26"/>
        <v>De Climatização</v>
      </c>
      <c r="M113" s="35" t="str">
        <f t="shared" si="26"/>
        <v>Qualidade de Ar</v>
      </c>
      <c r="N113" s="35" t="str">
        <f t="shared" si="26"/>
        <v>Circulação de Ar Interior</v>
      </c>
      <c r="O113" s="35" t="str">
        <f t="shared" si="26"/>
        <v>Ar Insuflado</v>
      </c>
      <c r="P113" s="30" t="s">
        <v>577</v>
      </c>
      <c r="Q113" s="56" t="str">
        <f t="shared" si="27"/>
        <v>Proyecto de instalación de refrigeración por aire (inflado).</v>
      </c>
      <c r="R113" s="56" t="s">
        <v>742</v>
      </c>
      <c r="S113" s="30" t="s">
        <v>9</v>
      </c>
      <c r="T113" s="30" t="str">
        <f t="shared" si="28"/>
        <v>De Climatização</v>
      </c>
      <c r="U113" s="30" t="str">
        <f t="shared" si="28"/>
        <v>Qualidade de Ar</v>
      </c>
      <c r="V113" s="57" t="str">
        <f t="shared" si="28"/>
        <v>Circulação de Ar Interior</v>
      </c>
      <c r="W113" s="30" t="s">
        <v>209</v>
      </c>
      <c r="X113" s="48" t="str">
        <f t="shared" si="29"/>
        <v>Key-AVAC-113</v>
      </c>
      <c r="Y113" s="58" t="s">
        <v>9</v>
      </c>
      <c r="Z113" s="58" t="s">
        <v>9</v>
      </c>
      <c r="AA113" s="58" t="s">
        <v>9</v>
      </c>
      <c r="AB113" s="58" t="s">
        <v>9</v>
      </c>
      <c r="AC113" s="58" t="s">
        <v>9</v>
      </c>
      <c r="AD113" s="58" t="s">
        <v>9</v>
      </c>
    </row>
    <row r="114" spans="1:30" s="59" customFormat="1" ht="6.75" customHeight="1" x14ac:dyDescent="0.25">
      <c r="A114" s="49">
        <v>114</v>
      </c>
      <c r="B114" s="1" t="s">
        <v>558</v>
      </c>
      <c r="C114" s="60" t="s">
        <v>468</v>
      </c>
      <c r="D114" s="60" t="s">
        <v>581</v>
      </c>
      <c r="E114" s="60" t="s">
        <v>583</v>
      </c>
      <c r="F114" s="60" t="s">
        <v>622</v>
      </c>
      <c r="G114" s="51" t="s">
        <v>9</v>
      </c>
      <c r="H114" s="51" t="s">
        <v>9</v>
      </c>
      <c r="I114" s="51" t="s">
        <v>9</v>
      </c>
      <c r="J114" s="51" t="s">
        <v>9</v>
      </c>
      <c r="K114" s="51" t="s">
        <v>9</v>
      </c>
      <c r="L114" s="35" t="str">
        <f t="shared" ref="L114:L117" si="30">SUBSTITUTE(CONCATENATE("", C114), ".", " ")</f>
        <v>De Climatização</v>
      </c>
      <c r="M114" s="35" t="str">
        <f t="shared" ref="M114:M117" si="31">SUBSTITUTE(CONCATENATE("", D114), ".", " ")</f>
        <v>Qualidade de Ar</v>
      </c>
      <c r="N114" s="35" t="str">
        <f t="shared" ref="N114:N117" si="32">SUBSTITUTE(CONCATENATE("", E114), ".", " ")</f>
        <v>Circulação de Ar Interior</v>
      </c>
      <c r="O114" s="35" t="str">
        <f t="shared" ref="O114:O117" si="33">SUBSTITUTE(CONCATENATE("", F114), ".", " ")</f>
        <v>Ar Retornado</v>
      </c>
      <c r="P114" s="30" t="s">
        <v>578</v>
      </c>
      <c r="Q114" s="56" t="str">
        <f t="shared" ref="Q114:Q117" si="34">_xlfn.TRANSLATE(P114,"pt","es")</f>
        <v>Proyecto de instalación de refrigeración por aire (Retorno).</v>
      </c>
      <c r="R114" s="56" t="s">
        <v>743</v>
      </c>
      <c r="S114" s="30" t="s">
        <v>9</v>
      </c>
      <c r="T114" s="30" t="str">
        <f t="shared" ref="T114:T117" si="35">SUBSTITUTE(C114, ".", " ")</f>
        <v>De Climatização</v>
      </c>
      <c r="U114" s="30" t="str">
        <f t="shared" ref="U114:U117" si="36">SUBSTITUTE(D114, ".", " ")</f>
        <v>Qualidade de Ar</v>
      </c>
      <c r="V114" s="57" t="str">
        <f t="shared" ref="V114:V117" si="37">SUBSTITUTE(E114, ".", " ")</f>
        <v>Circulação de Ar Interior</v>
      </c>
      <c r="W114" s="30" t="s">
        <v>209</v>
      </c>
      <c r="X114" s="48" t="str">
        <f t="shared" si="23"/>
        <v>Key-AVAC-114</v>
      </c>
      <c r="Y114" s="58" t="s">
        <v>9</v>
      </c>
      <c r="Z114" s="58" t="s">
        <v>9</v>
      </c>
      <c r="AA114" s="58" t="s">
        <v>9</v>
      </c>
      <c r="AB114" s="58" t="s">
        <v>9</v>
      </c>
      <c r="AC114" s="58" t="s">
        <v>9</v>
      </c>
      <c r="AD114" s="58" t="s">
        <v>9</v>
      </c>
    </row>
    <row r="115" spans="1:30" s="59" customFormat="1" ht="6.75" customHeight="1" x14ac:dyDescent="0.25">
      <c r="A115" s="49">
        <v>115</v>
      </c>
      <c r="B115" s="1" t="s">
        <v>558</v>
      </c>
      <c r="C115" s="60" t="s">
        <v>468</v>
      </c>
      <c r="D115" s="60" t="s">
        <v>581</v>
      </c>
      <c r="E115" s="60" t="s">
        <v>583</v>
      </c>
      <c r="F115" s="60" t="s">
        <v>585</v>
      </c>
      <c r="G115" s="51" t="s">
        <v>9</v>
      </c>
      <c r="H115" s="51" t="s">
        <v>9</v>
      </c>
      <c r="I115" s="51" t="s">
        <v>9</v>
      </c>
      <c r="J115" s="51" t="s">
        <v>9</v>
      </c>
      <c r="K115" s="51" t="s">
        <v>9</v>
      </c>
      <c r="L115" s="35" t="str">
        <f t="shared" si="30"/>
        <v>De Climatização</v>
      </c>
      <c r="M115" s="35" t="str">
        <f t="shared" si="31"/>
        <v>Qualidade de Ar</v>
      </c>
      <c r="N115" s="35" t="str">
        <f t="shared" si="32"/>
        <v>Circulação de Ar Interior</v>
      </c>
      <c r="O115" s="35" t="str">
        <f t="shared" si="33"/>
        <v>Ar Exaustão</v>
      </c>
      <c r="P115" s="30" t="s">
        <v>562</v>
      </c>
      <c r="Q115" s="56" t="str">
        <f t="shared" si="34"/>
        <v>Proyecto de instalación de escapes mecánicos.</v>
      </c>
      <c r="R115" s="56" t="s">
        <v>744</v>
      </c>
      <c r="S115" s="30" t="s">
        <v>9</v>
      </c>
      <c r="T115" s="30" t="str">
        <f t="shared" si="35"/>
        <v>De Climatização</v>
      </c>
      <c r="U115" s="30" t="str">
        <f t="shared" si="36"/>
        <v>Qualidade de Ar</v>
      </c>
      <c r="V115" s="57" t="str">
        <f t="shared" si="37"/>
        <v>Circulação de Ar Interior</v>
      </c>
      <c r="W115" s="30" t="s">
        <v>209</v>
      </c>
      <c r="X115" s="48" t="str">
        <f t="shared" si="23"/>
        <v>Key-AVAC-115</v>
      </c>
      <c r="Y115" s="58" t="s">
        <v>9</v>
      </c>
      <c r="Z115" s="58" t="s">
        <v>9</v>
      </c>
      <c r="AA115" s="58" t="s">
        <v>9</v>
      </c>
      <c r="AB115" s="58" t="s">
        <v>9</v>
      </c>
      <c r="AC115" s="58" t="s">
        <v>9</v>
      </c>
      <c r="AD115" s="58" t="s">
        <v>9</v>
      </c>
    </row>
    <row r="116" spans="1:30" s="59" customFormat="1" ht="6.75" customHeight="1" x14ac:dyDescent="0.25">
      <c r="A116" s="49">
        <v>116</v>
      </c>
      <c r="B116" s="1" t="s">
        <v>558</v>
      </c>
      <c r="C116" s="60" t="s">
        <v>468</v>
      </c>
      <c r="D116" s="60" t="s">
        <v>581</v>
      </c>
      <c r="E116" s="60" t="s">
        <v>583</v>
      </c>
      <c r="F116" s="60" t="s">
        <v>570</v>
      </c>
      <c r="G116" s="51" t="s">
        <v>9</v>
      </c>
      <c r="H116" s="51" t="s">
        <v>9</v>
      </c>
      <c r="I116" s="51" t="s">
        <v>9</v>
      </c>
      <c r="J116" s="51" t="s">
        <v>9</v>
      </c>
      <c r="K116" s="51" t="s">
        <v>9</v>
      </c>
      <c r="L116" s="35" t="str">
        <f t="shared" ref="L116" si="38">SUBSTITUTE(CONCATENATE("", C116), ".", " ")</f>
        <v>De Climatização</v>
      </c>
      <c r="M116" s="35" t="str">
        <f t="shared" ref="M116" si="39">SUBSTITUTE(CONCATENATE("", D116), ".", " ")</f>
        <v>Qualidade de Ar</v>
      </c>
      <c r="N116" s="35" t="str">
        <f t="shared" ref="N116" si="40">SUBSTITUTE(CONCATENATE("", E116), ".", " ")</f>
        <v>Circulação de Ar Interior</v>
      </c>
      <c r="O116" s="35" t="str">
        <f t="shared" ref="O116" si="41">SUBSTITUTE(CONCATENATE("", F116), ".", " ")</f>
        <v>Ar Ventilação</v>
      </c>
      <c r="P116" s="30" t="s">
        <v>572</v>
      </c>
      <c r="Q116" s="56" t="str">
        <f t="shared" ref="Q116" si="42">_xlfn.TRANSLATE(P116,"pt","es")</f>
        <v>Proyecto de instalación de ventilación del aire interior.</v>
      </c>
      <c r="R116" s="56" t="s">
        <v>745</v>
      </c>
      <c r="S116" s="30" t="s">
        <v>9</v>
      </c>
      <c r="T116" s="30" t="str">
        <f t="shared" ref="T116" si="43">SUBSTITUTE(C116, ".", " ")</f>
        <v>De Climatização</v>
      </c>
      <c r="U116" s="30" t="str">
        <f t="shared" ref="U116" si="44">SUBSTITUTE(D116, ".", " ")</f>
        <v>Qualidade de Ar</v>
      </c>
      <c r="V116" s="57" t="str">
        <f t="shared" ref="V116" si="45">SUBSTITUTE(E116, ".", " ")</f>
        <v>Circulação de Ar Interior</v>
      </c>
      <c r="W116" s="30" t="s">
        <v>209</v>
      </c>
      <c r="X116" s="48" t="str">
        <f t="shared" ref="X116" si="46">CONCATENATE("Key-AVAC-",A116)</f>
        <v>Key-AVAC-116</v>
      </c>
      <c r="Y116" s="58" t="s">
        <v>9</v>
      </c>
      <c r="Z116" s="58" t="s">
        <v>9</v>
      </c>
      <c r="AA116" s="58" t="s">
        <v>9</v>
      </c>
      <c r="AB116" s="58" t="s">
        <v>9</v>
      </c>
      <c r="AC116" s="58" t="s">
        <v>9</v>
      </c>
      <c r="AD116" s="58" t="s">
        <v>9</v>
      </c>
    </row>
    <row r="117" spans="1:30" s="59" customFormat="1" ht="6.75" customHeight="1" x14ac:dyDescent="0.25">
      <c r="A117" s="49">
        <v>117</v>
      </c>
      <c r="B117" s="1" t="s">
        <v>558</v>
      </c>
      <c r="C117" s="60" t="s">
        <v>468</v>
      </c>
      <c r="D117" s="60" t="s">
        <v>581</v>
      </c>
      <c r="E117" s="60" t="s">
        <v>583</v>
      </c>
      <c r="F117" s="60" t="s">
        <v>575</v>
      </c>
      <c r="G117" s="51" t="s">
        <v>9</v>
      </c>
      <c r="H117" s="51" t="s">
        <v>9</v>
      </c>
      <c r="I117" s="51" t="s">
        <v>9</v>
      </c>
      <c r="J117" s="51" t="s">
        <v>9</v>
      </c>
      <c r="K117" s="51" t="s">
        <v>9</v>
      </c>
      <c r="L117" s="35" t="str">
        <f t="shared" si="30"/>
        <v>De Climatização</v>
      </c>
      <c r="M117" s="35" t="str">
        <f t="shared" si="31"/>
        <v>Qualidade de Ar</v>
      </c>
      <c r="N117" s="35" t="str">
        <f t="shared" si="32"/>
        <v>Circulação de Ar Interior</v>
      </c>
      <c r="O117" s="35" t="str">
        <f t="shared" si="33"/>
        <v>Ar Filtrado Interno</v>
      </c>
      <c r="P117" s="30" t="s">
        <v>579</v>
      </c>
      <c r="Q117" s="56" t="str">
        <f t="shared" si="34"/>
        <v>Proyecto de instalación de filtración de aire interior.</v>
      </c>
      <c r="R117" s="56" t="s">
        <v>746</v>
      </c>
      <c r="S117" s="30" t="s">
        <v>9</v>
      </c>
      <c r="T117" s="30" t="str">
        <f t="shared" si="35"/>
        <v>De Climatização</v>
      </c>
      <c r="U117" s="30" t="str">
        <f t="shared" si="36"/>
        <v>Qualidade de Ar</v>
      </c>
      <c r="V117" s="57" t="str">
        <f t="shared" si="37"/>
        <v>Circulação de Ar Interior</v>
      </c>
      <c r="W117" s="30" t="s">
        <v>209</v>
      </c>
      <c r="X117" s="48" t="str">
        <f t="shared" si="23"/>
        <v>Key-AVAC-117</v>
      </c>
      <c r="Y117" s="58" t="s">
        <v>9</v>
      </c>
      <c r="Z117" s="58" t="s">
        <v>9</v>
      </c>
      <c r="AA117" s="58" t="s">
        <v>9</v>
      </c>
      <c r="AB117" s="58" t="s">
        <v>9</v>
      </c>
      <c r="AC117" s="58" t="s">
        <v>9</v>
      </c>
      <c r="AD117" s="58" t="s">
        <v>9</v>
      </c>
    </row>
    <row r="118" spans="1:30" s="59" customFormat="1" ht="6.75" customHeight="1" x14ac:dyDescent="0.25">
      <c r="A118" s="49">
        <v>118</v>
      </c>
      <c r="B118" s="1" t="s">
        <v>558</v>
      </c>
      <c r="C118" s="60" t="s">
        <v>468</v>
      </c>
      <c r="D118" s="60" t="s">
        <v>581</v>
      </c>
      <c r="E118" s="60" t="s">
        <v>582</v>
      </c>
      <c r="F118" s="60" t="s">
        <v>576</v>
      </c>
      <c r="G118" s="51" t="s">
        <v>9</v>
      </c>
      <c r="H118" s="51" t="s">
        <v>9</v>
      </c>
      <c r="I118" s="51" t="s">
        <v>9</v>
      </c>
      <c r="J118" s="51" t="s">
        <v>9</v>
      </c>
      <c r="K118" s="51" t="s">
        <v>9</v>
      </c>
      <c r="L118" s="35" t="str">
        <f t="shared" ref="L118" si="47">SUBSTITUTE(CONCATENATE("", C118), ".", " ")</f>
        <v>De Climatização</v>
      </c>
      <c r="M118" s="35" t="str">
        <f t="shared" ref="M118" si="48">SUBSTITUTE(CONCATENATE("", D118), ".", " ")</f>
        <v>Qualidade de Ar</v>
      </c>
      <c r="N118" s="35" t="str">
        <f t="shared" ref="N118" si="49">SUBSTITUTE(CONCATENATE("", E118), ".", " ")</f>
        <v>Captação de Ar Exterior</v>
      </c>
      <c r="O118" s="35" t="str">
        <f t="shared" ref="O118" si="50">SUBSTITUTE(CONCATENATE("", F118), ".", " ")</f>
        <v>Ar Filtrado Externo</v>
      </c>
      <c r="P118" s="30" t="s">
        <v>573</v>
      </c>
      <c r="Q118" s="56" t="str">
        <f t="shared" ref="Q118" si="51">_xlfn.TRANSLATE(P118,"pt","es")</f>
        <v>Proyecto de instalación de filtración de aire exterior.</v>
      </c>
      <c r="R118" s="56" t="s">
        <v>747</v>
      </c>
      <c r="S118" s="30" t="s">
        <v>9</v>
      </c>
      <c r="T118" s="30" t="str">
        <f t="shared" ref="T118" si="52">SUBSTITUTE(C118, ".", " ")</f>
        <v>De Climatização</v>
      </c>
      <c r="U118" s="30" t="str">
        <f t="shared" ref="U118" si="53">SUBSTITUTE(D118, ".", " ")</f>
        <v>Qualidade de Ar</v>
      </c>
      <c r="V118" s="57" t="str">
        <f t="shared" ref="V118" si="54">SUBSTITUTE(E118, ".", " ")</f>
        <v>Captação de Ar Exterior</v>
      </c>
      <c r="W118" s="30" t="s">
        <v>209</v>
      </c>
      <c r="X118" s="48" t="str">
        <f t="shared" ref="X118:X124" si="55">CONCATENATE("Key-AVAC-",A118)</f>
        <v>Key-AVAC-118</v>
      </c>
      <c r="Y118" s="58" t="s">
        <v>9</v>
      </c>
      <c r="Z118" s="58" t="s">
        <v>9</v>
      </c>
      <c r="AA118" s="58" t="s">
        <v>9</v>
      </c>
      <c r="AB118" s="58" t="s">
        <v>9</v>
      </c>
      <c r="AC118" s="58" t="s">
        <v>9</v>
      </c>
      <c r="AD118" s="58" t="s">
        <v>9</v>
      </c>
    </row>
    <row r="119" spans="1:30" s="59" customFormat="1" ht="6.75" customHeight="1" x14ac:dyDescent="0.25">
      <c r="A119" s="49">
        <v>119</v>
      </c>
      <c r="B119" s="1" t="s">
        <v>558</v>
      </c>
      <c r="C119" s="60" t="s">
        <v>468</v>
      </c>
      <c r="D119" s="60" t="s">
        <v>581</v>
      </c>
      <c r="E119" s="60" t="s">
        <v>582</v>
      </c>
      <c r="F119" s="60" t="s">
        <v>584</v>
      </c>
      <c r="G119" s="51" t="s">
        <v>9</v>
      </c>
      <c r="H119" s="51" t="s">
        <v>9</v>
      </c>
      <c r="I119" s="51" t="s">
        <v>9</v>
      </c>
      <c r="J119" s="51" t="s">
        <v>9</v>
      </c>
      <c r="K119" s="51" t="s">
        <v>9</v>
      </c>
      <c r="L119" s="35" t="str">
        <f t="shared" ref="L119:O124" si="56">SUBSTITUTE(CONCATENATE("", C119), ".", " ")</f>
        <v>De Climatização</v>
      </c>
      <c r="M119" s="35" t="str">
        <f t="shared" ref="M119" si="57">SUBSTITUTE(CONCATENATE("", D119), ".", " ")</f>
        <v>Qualidade de Ar</v>
      </c>
      <c r="N119" s="35" t="str">
        <f t="shared" ref="N119" si="58">SUBSTITUTE(CONCATENATE("", E119), ".", " ")</f>
        <v>Captação de Ar Exterior</v>
      </c>
      <c r="O119" s="35" t="str">
        <f t="shared" ref="O119" si="59">SUBSTITUTE(CONCATENATE("", F119), ".", " ")</f>
        <v>Ar Captador</v>
      </c>
      <c r="P119" s="30" t="s">
        <v>580</v>
      </c>
      <c r="Q119" s="56" t="str">
        <f t="shared" ref="Q119" si="60">_xlfn.TRANSLATE(P119,"pt","es")</f>
        <v>Proyecto de instalación de la toma de aire exterior.</v>
      </c>
      <c r="R119" s="56" t="s">
        <v>748</v>
      </c>
      <c r="S119" s="30" t="s">
        <v>9</v>
      </c>
      <c r="T119" s="30" t="str">
        <f t="shared" ref="T119:V124" si="61">SUBSTITUTE(C119, ".", " ")</f>
        <v>De Climatização</v>
      </c>
      <c r="U119" s="30" t="str">
        <f t="shared" ref="U119" si="62">SUBSTITUTE(D119, ".", " ")</f>
        <v>Qualidade de Ar</v>
      </c>
      <c r="V119" s="57" t="str">
        <f t="shared" ref="V119" si="63">SUBSTITUTE(E119, ".", " ")</f>
        <v>Captação de Ar Exterior</v>
      </c>
      <c r="W119" s="30" t="s">
        <v>209</v>
      </c>
      <c r="X119" s="48" t="str">
        <f t="shared" si="55"/>
        <v>Key-AVAC-119</v>
      </c>
      <c r="Y119" s="58" t="s">
        <v>9</v>
      </c>
      <c r="Z119" s="58" t="s">
        <v>9</v>
      </c>
      <c r="AA119" s="58" t="s">
        <v>9</v>
      </c>
      <c r="AB119" s="58" t="s">
        <v>9</v>
      </c>
      <c r="AC119" s="58" t="s">
        <v>9</v>
      </c>
      <c r="AD119" s="58" t="s">
        <v>9</v>
      </c>
    </row>
    <row r="120" spans="1:30" s="59" customFormat="1" ht="6.75" customHeight="1" x14ac:dyDescent="0.25">
      <c r="A120" s="49">
        <v>120</v>
      </c>
      <c r="B120" s="1" t="s">
        <v>558</v>
      </c>
      <c r="C120" s="60" t="s">
        <v>559</v>
      </c>
      <c r="D120" s="60" t="s">
        <v>561</v>
      </c>
      <c r="E120" s="60" t="s">
        <v>560</v>
      </c>
      <c r="F120" s="60" t="s">
        <v>623</v>
      </c>
      <c r="G120" s="51" t="s">
        <v>9</v>
      </c>
      <c r="H120" s="51" t="s">
        <v>9</v>
      </c>
      <c r="I120" s="51" t="s">
        <v>9</v>
      </c>
      <c r="J120" s="51" t="s">
        <v>9</v>
      </c>
      <c r="K120" s="51" t="s">
        <v>9</v>
      </c>
      <c r="L120" s="35" t="str">
        <f t="shared" si="56"/>
        <v>De API</v>
      </c>
      <c r="M120" s="35" t="str">
        <f t="shared" si="56"/>
        <v>Macros</v>
      </c>
      <c r="N120" s="35" t="str">
        <f t="shared" si="56"/>
        <v>Métodos</v>
      </c>
      <c r="O120" s="35" t="str">
        <f t="shared" si="56"/>
        <v>Função Auxiliar</v>
      </c>
      <c r="P120" s="30" t="s">
        <v>624</v>
      </c>
      <c r="Q120" s="30" t="s">
        <v>625</v>
      </c>
      <c r="R120" s="30" t="s">
        <v>626</v>
      </c>
      <c r="S120" s="30" t="s">
        <v>9</v>
      </c>
      <c r="T120" s="30" t="str">
        <f t="shared" si="61"/>
        <v>De API</v>
      </c>
      <c r="U120" s="30" t="str">
        <f t="shared" si="61"/>
        <v>Macros</v>
      </c>
      <c r="V120" s="57" t="str">
        <f t="shared" si="61"/>
        <v>Métodos</v>
      </c>
      <c r="W120" s="30" t="s">
        <v>209</v>
      </c>
      <c r="X120" s="48" t="str">
        <f t="shared" si="55"/>
        <v>Key-AVAC-120</v>
      </c>
      <c r="Y120" s="58" t="s">
        <v>9</v>
      </c>
      <c r="Z120" s="58" t="s">
        <v>9</v>
      </c>
      <c r="AA120" s="58" t="s">
        <v>9</v>
      </c>
      <c r="AB120" s="58" t="s">
        <v>9</v>
      </c>
      <c r="AC120" s="58" t="s">
        <v>9</v>
      </c>
      <c r="AD120" s="58" t="s">
        <v>9</v>
      </c>
    </row>
    <row r="121" spans="1:30" s="59" customFormat="1" ht="6.75" customHeight="1" x14ac:dyDescent="0.25">
      <c r="A121" s="49">
        <v>121</v>
      </c>
      <c r="B121" s="1" t="s">
        <v>558</v>
      </c>
      <c r="C121" s="60" t="s">
        <v>559</v>
      </c>
      <c r="D121" s="60" t="s">
        <v>561</v>
      </c>
      <c r="E121" s="60" t="s">
        <v>560</v>
      </c>
      <c r="F121" s="60" t="s">
        <v>627</v>
      </c>
      <c r="G121" s="51" t="s">
        <v>9</v>
      </c>
      <c r="H121" s="51" t="s">
        <v>9</v>
      </c>
      <c r="I121" s="51" t="s">
        <v>9</v>
      </c>
      <c r="J121" s="51" t="s">
        <v>9</v>
      </c>
      <c r="K121" s="51" t="s">
        <v>9</v>
      </c>
      <c r="L121" s="35" t="str">
        <f t="shared" si="56"/>
        <v>De API</v>
      </c>
      <c r="M121" s="35" t="str">
        <f t="shared" si="56"/>
        <v>Macros</v>
      </c>
      <c r="N121" s="35" t="str">
        <f t="shared" si="56"/>
        <v>Métodos</v>
      </c>
      <c r="O121" s="35" t="str">
        <f t="shared" si="56"/>
        <v>Função Global</v>
      </c>
      <c r="P121" s="30" t="s">
        <v>628</v>
      </c>
      <c r="Q121" s="30" t="s">
        <v>629</v>
      </c>
      <c r="R121" s="30" t="s">
        <v>630</v>
      </c>
      <c r="S121" s="30" t="s">
        <v>9</v>
      </c>
      <c r="T121" s="30" t="str">
        <f t="shared" si="61"/>
        <v>De API</v>
      </c>
      <c r="U121" s="30" t="str">
        <f t="shared" si="61"/>
        <v>Macros</v>
      </c>
      <c r="V121" s="57" t="str">
        <f t="shared" si="61"/>
        <v>Métodos</v>
      </c>
      <c r="W121" s="30" t="s">
        <v>209</v>
      </c>
      <c r="X121" s="48" t="str">
        <f t="shared" si="55"/>
        <v>Key-AVAC-121</v>
      </c>
      <c r="Y121" s="58" t="s">
        <v>9</v>
      </c>
      <c r="Z121" s="58" t="s">
        <v>9</v>
      </c>
      <c r="AA121" s="58" t="s">
        <v>9</v>
      </c>
      <c r="AB121" s="58" t="s">
        <v>9</v>
      </c>
      <c r="AC121" s="58" t="s">
        <v>9</v>
      </c>
      <c r="AD121" s="58" t="s">
        <v>9</v>
      </c>
    </row>
    <row r="122" spans="1:30" s="59" customFormat="1" ht="6.75" customHeight="1" x14ac:dyDescent="0.25">
      <c r="A122" s="49">
        <v>122</v>
      </c>
      <c r="B122" s="1" t="s">
        <v>558</v>
      </c>
      <c r="C122" s="60" t="s">
        <v>559</v>
      </c>
      <c r="D122" s="60" t="s">
        <v>561</v>
      </c>
      <c r="E122" s="60" t="s">
        <v>560</v>
      </c>
      <c r="F122" s="60" t="s">
        <v>631</v>
      </c>
      <c r="G122" s="51" t="s">
        <v>9</v>
      </c>
      <c r="H122" s="51" t="s">
        <v>9</v>
      </c>
      <c r="I122" s="51" t="s">
        <v>9</v>
      </c>
      <c r="J122" s="51" t="s">
        <v>9</v>
      </c>
      <c r="K122" s="51" t="s">
        <v>9</v>
      </c>
      <c r="L122" s="35" t="str">
        <f t="shared" si="56"/>
        <v>De API</v>
      </c>
      <c r="M122" s="35" t="str">
        <f t="shared" si="56"/>
        <v>Macros</v>
      </c>
      <c r="N122" s="35" t="str">
        <f t="shared" si="56"/>
        <v>Métodos</v>
      </c>
      <c r="O122" s="35" t="str">
        <f t="shared" si="56"/>
        <v>Função Local</v>
      </c>
      <c r="P122" s="30" t="s">
        <v>632</v>
      </c>
      <c r="Q122" s="30" t="s">
        <v>633</v>
      </c>
      <c r="R122" s="30" t="s">
        <v>634</v>
      </c>
      <c r="S122" s="30" t="s">
        <v>9</v>
      </c>
      <c r="T122" s="30" t="str">
        <f t="shared" si="61"/>
        <v>De API</v>
      </c>
      <c r="U122" s="30" t="str">
        <f t="shared" si="61"/>
        <v>Macros</v>
      </c>
      <c r="V122" s="57" t="str">
        <f t="shared" si="61"/>
        <v>Métodos</v>
      </c>
      <c r="W122" s="30" t="s">
        <v>209</v>
      </c>
      <c r="X122" s="48" t="str">
        <f t="shared" si="55"/>
        <v>Key-AVAC-122</v>
      </c>
      <c r="Y122" s="58" t="s">
        <v>9</v>
      </c>
      <c r="Z122" s="58" t="s">
        <v>9</v>
      </c>
      <c r="AA122" s="58" t="s">
        <v>9</v>
      </c>
      <c r="AB122" s="58" t="s">
        <v>9</v>
      </c>
      <c r="AC122" s="58" t="s">
        <v>9</v>
      </c>
      <c r="AD122" s="58" t="s">
        <v>9</v>
      </c>
    </row>
    <row r="123" spans="1:30" s="59" customFormat="1" ht="6.75" customHeight="1" x14ac:dyDescent="0.25">
      <c r="A123" s="49">
        <v>123</v>
      </c>
      <c r="B123" s="1" t="s">
        <v>558</v>
      </c>
      <c r="C123" s="60" t="s">
        <v>559</v>
      </c>
      <c r="D123" s="60" t="s">
        <v>561</v>
      </c>
      <c r="E123" s="60" t="s">
        <v>560</v>
      </c>
      <c r="F123" s="60" t="s">
        <v>635</v>
      </c>
      <c r="G123" s="51" t="s">
        <v>9</v>
      </c>
      <c r="H123" s="51" t="s">
        <v>9</v>
      </c>
      <c r="I123" s="51" t="s">
        <v>9</v>
      </c>
      <c r="J123" s="51" t="s">
        <v>9</v>
      </c>
      <c r="K123" s="51" t="s">
        <v>9</v>
      </c>
      <c r="L123" s="35" t="str">
        <f t="shared" si="56"/>
        <v>De API</v>
      </c>
      <c r="M123" s="35" t="str">
        <f t="shared" si="56"/>
        <v>Macros</v>
      </c>
      <c r="N123" s="35" t="str">
        <f t="shared" si="56"/>
        <v>Métodos</v>
      </c>
      <c r="O123" s="35" t="str">
        <f t="shared" si="56"/>
        <v>Função Filtro</v>
      </c>
      <c r="P123" s="30" t="s">
        <v>636</v>
      </c>
      <c r="Q123" s="30" t="s">
        <v>637</v>
      </c>
      <c r="R123" s="30" t="s">
        <v>638</v>
      </c>
      <c r="S123" s="30" t="s">
        <v>9</v>
      </c>
      <c r="T123" s="30" t="str">
        <f t="shared" si="61"/>
        <v>De API</v>
      </c>
      <c r="U123" s="30" t="str">
        <f t="shared" si="61"/>
        <v>Macros</v>
      </c>
      <c r="V123" s="57" t="str">
        <f t="shared" si="61"/>
        <v>Métodos</v>
      </c>
      <c r="W123" s="30" t="s">
        <v>209</v>
      </c>
      <c r="X123" s="48" t="str">
        <f t="shared" si="55"/>
        <v>Key-AVAC-123</v>
      </c>
      <c r="Y123" s="58" t="s">
        <v>9</v>
      </c>
      <c r="Z123" s="58" t="s">
        <v>9</v>
      </c>
      <c r="AA123" s="58" t="s">
        <v>9</v>
      </c>
      <c r="AB123" s="58" t="s">
        <v>9</v>
      </c>
      <c r="AC123" s="58" t="s">
        <v>9</v>
      </c>
      <c r="AD123" s="58" t="s">
        <v>9</v>
      </c>
    </row>
    <row r="124" spans="1:30" s="59" customFormat="1" ht="6.75" customHeight="1" x14ac:dyDescent="0.25">
      <c r="A124" s="49">
        <v>124</v>
      </c>
      <c r="B124" s="1" t="s">
        <v>558</v>
      </c>
      <c r="C124" s="60" t="s">
        <v>559</v>
      </c>
      <c r="D124" s="60" t="s">
        <v>561</v>
      </c>
      <c r="E124" s="60" t="s">
        <v>639</v>
      </c>
      <c r="F124" s="60" t="s">
        <v>640</v>
      </c>
      <c r="G124" s="51" t="s">
        <v>9</v>
      </c>
      <c r="H124" s="51" t="s">
        <v>9</v>
      </c>
      <c r="I124" s="51" t="s">
        <v>9</v>
      </c>
      <c r="J124" s="51" t="s">
        <v>9</v>
      </c>
      <c r="K124" s="51" t="s">
        <v>9</v>
      </c>
      <c r="L124" s="35" t="str">
        <f t="shared" si="56"/>
        <v>De API</v>
      </c>
      <c r="M124" s="35" t="str">
        <f t="shared" si="56"/>
        <v>Macros</v>
      </c>
      <c r="N124" s="35" t="str">
        <f t="shared" si="56"/>
        <v>Códigos Visuais</v>
      </c>
      <c r="O124" s="35" t="str">
        <f t="shared" si="56"/>
        <v>Bloco de Código</v>
      </c>
      <c r="P124" s="30" t="s">
        <v>641</v>
      </c>
      <c r="Q124" s="30" t="s">
        <v>642</v>
      </c>
      <c r="R124" s="30" t="s">
        <v>643</v>
      </c>
      <c r="S124" s="30" t="s">
        <v>9</v>
      </c>
      <c r="T124" s="30" t="str">
        <f t="shared" si="61"/>
        <v>De API</v>
      </c>
      <c r="U124" s="30" t="str">
        <f t="shared" si="61"/>
        <v>Macros</v>
      </c>
      <c r="V124" s="57" t="str">
        <f t="shared" si="61"/>
        <v>Códigos Visuais</v>
      </c>
      <c r="W124" s="30" t="s">
        <v>209</v>
      </c>
      <c r="X124" s="48" t="str">
        <f t="shared" si="55"/>
        <v>Key-AVAC-124</v>
      </c>
      <c r="Y124" s="58" t="s">
        <v>9</v>
      </c>
      <c r="Z124" s="58" t="s">
        <v>9</v>
      </c>
      <c r="AA124" s="58" t="s">
        <v>9</v>
      </c>
      <c r="AB124" s="58" t="s">
        <v>9</v>
      </c>
      <c r="AC124" s="58" t="s">
        <v>9</v>
      </c>
      <c r="AD124" s="58" t="s">
        <v>9</v>
      </c>
    </row>
  </sheetData>
  <conditionalFormatting sqref="A2:B2 B3:B28 A3:A124">
    <cfRule type="cellIs" dxfId="28" priority="2" operator="equal">
      <formula>"null"</formula>
    </cfRule>
  </conditionalFormatting>
  <conditionalFormatting sqref="B112:B124">
    <cfRule type="cellIs" dxfId="27" priority="36" operator="equal">
      <formula>"null"</formula>
    </cfRule>
  </conditionalFormatting>
  <conditionalFormatting sqref="D77:E109 L77:Q109 T77:V109 Y77:Y109 AA77:AA109 E110:E111">
    <cfRule type="cellIs" dxfId="26" priority="88" operator="equal">
      <formula>"null"</formula>
    </cfRule>
  </conditionalFormatting>
  <conditionalFormatting sqref="E124">
    <cfRule type="duplicateValues" dxfId="25" priority="37"/>
  </conditionalFormatting>
  <conditionalFormatting sqref="F1:F1048576">
    <cfRule type="duplicateValues" dxfId="24" priority="1"/>
  </conditionalFormatting>
  <conditionalFormatting sqref="L71:R73 T71:V73 Y71:Y73 AA71:AA73 AE71:XFD73">
    <cfRule type="cellIs" dxfId="23" priority="60" operator="equal">
      <formula>"null"</formula>
    </cfRule>
  </conditionalFormatting>
  <conditionalFormatting sqref="Q112:Q119">
    <cfRule type="duplicateValues" dxfId="22" priority="2411"/>
    <cfRule type="duplicateValues" dxfId="21" priority="2412"/>
    <cfRule type="duplicateValues" dxfId="20" priority="2413"/>
    <cfRule type="duplicateValues" dxfId="19" priority="2414"/>
  </conditionalFormatting>
  <conditionalFormatting sqref="R1:R10 Y2:Y28 AA2:AA28 AC2:AC28">
    <cfRule type="cellIs" dxfId="18" priority="3" operator="equal">
      <formula>"null"</formula>
    </cfRule>
  </conditionalFormatting>
  <conditionalFormatting sqref="R32:R70 R74:R111">
    <cfRule type="cellIs" dxfId="17" priority="50" operator="equal">
      <formula>"null"</formula>
    </cfRule>
  </conditionalFormatting>
  <conditionalFormatting sqref="R112:R119">
    <cfRule type="duplicateValues" dxfId="16" priority="2415"/>
    <cfRule type="duplicateValues" dxfId="15" priority="2416"/>
    <cfRule type="duplicateValues" dxfId="14" priority="2417"/>
    <cfRule type="duplicateValues" dxfId="13" priority="2418"/>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U3"/>
  <sheetViews>
    <sheetView zoomScale="180" zoomScaleNormal="180" workbookViewId="0">
      <selection sqref="A1:XFD1048576"/>
    </sheetView>
  </sheetViews>
  <sheetFormatPr defaultColWidth="11.15234375" defaultRowHeight="7.75" x14ac:dyDescent="0.2"/>
  <cols>
    <col min="1" max="1" width="1.3046875" style="10" bestFit="1" customWidth="1"/>
    <col min="2" max="10" width="5.15234375" style="11" bestFit="1" customWidth="1"/>
    <col min="11" max="21" width="5.53515625" style="9" bestFit="1" customWidth="1"/>
    <col min="22" max="16384" width="11.15234375" style="9"/>
  </cols>
  <sheetData>
    <row r="1" spans="1:21" s="4" customFormat="1" ht="15.45" x14ac:dyDescent="0.2">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2">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row r="3" spans="1:21" ht="10.5" customHeight="1" x14ac:dyDescent="0.2">
      <c r="A3" s="6">
        <v>3</v>
      </c>
      <c r="B3" s="7" t="s">
        <v>9</v>
      </c>
      <c r="C3" s="7" t="s">
        <v>9</v>
      </c>
      <c r="D3" s="7" t="s">
        <v>9</v>
      </c>
      <c r="E3" s="7" t="s">
        <v>9</v>
      </c>
      <c r="F3" s="7" t="s">
        <v>9</v>
      </c>
      <c r="G3" s="7" t="s">
        <v>9</v>
      </c>
      <c r="H3" s="7" t="s">
        <v>9</v>
      </c>
      <c r="I3" s="7" t="s">
        <v>9</v>
      </c>
      <c r="J3" s="7" t="s">
        <v>9</v>
      </c>
      <c r="K3" s="7" t="s">
        <v>9</v>
      </c>
      <c r="L3" s="7" t="s">
        <v>9</v>
      </c>
      <c r="M3" s="7" t="s">
        <v>9</v>
      </c>
      <c r="N3" s="7" t="s">
        <v>9</v>
      </c>
      <c r="O3" s="7" t="s">
        <v>9</v>
      </c>
      <c r="P3" s="7" t="s">
        <v>9</v>
      </c>
      <c r="Q3" s="7" t="s">
        <v>9</v>
      </c>
      <c r="R3" s="7" t="s">
        <v>9</v>
      </c>
      <c r="S3" s="7" t="s">
        <v>9</v>
      </c>
      <c r="T3" s="7" t="s">
        <v>9</v>
      </c>
      <c r="U3" s="8" t="s">
        <v>9</v>
      </c>
    </row>
  </sheetData>
  <conditionalFormatting sqref="A1:XFD1048576">
    <cfRule type="cellIs" dxfId="12"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sheetPr codeName="Planilha4"/>
  <dimension ref="A1:G2"/>
  <sheetViews>
    <sheetView zoomScale="265" zoomScaleNormal="265" workbookViewId="0">
      <pane ySplit="1" topLeftCell="A2" activePane="bottomLeft" state="frozen"/>
      <selection activeCell="B1" sqref="B1"/>
      <selection pane="bottomLeft" activeCell="D5" sqref="D5"/>
    </sheetView>
  </sheetViews>
  <sheetFormatPr defaultColWidth="9.15234375" defaultRowHeight="8.25" customHeight="1" x14ac:dyDescent="0.4"/>
  <cols>
    <col min="1" max="1" width="1.15234375" style="26" bestFit="1" customWidth="1"/>
    <col min="2" max="2" width="5.84375" style="24" bestFit="1" customWidth="1"/>
    <col min="3" max="3" width="11.3046875" style="24" bestFit="1" customWidth="1"/>
    <col min="4" max="7" width="10.84375" style="24" bestFit="1" customWidth="1"/>
  </cols>
  <sheetData>
    <row r="1" spans="1:7" ht="28.2" customHeight="1" x14ac:dyDescent="0.4">
      <c r="A1" s="31">
        <v>0</v>
      </c>
      <c r="B1" s="27" t="s">
        <v>113</v>
      </c>
      <c r="C1" s="28" t="s">
        <v>114</v>
      </c>
      <c r="D1" s="28" t="s">
        <v>115</v>
      </c>
      <c r="E1" s="28" t="s">
        <v>115</v>
      </c>
      <c r="F1" s="28" t="s">
        <v>115</v>
      </c>
      <c r="G1" s="28" t="s">
        <v>115</v>
      </c>
    </row>
    <row r="2" spans="1:7" ht="8.25" customHeight="1" x14ac:dyDescent="0.4">
      <c r="A2" s="32">
        <v>2</v>
      </c>
      <c r="B2" s="30" t="s">
        <v>9</v>
      </c>
      <c r="C2" s="30" t="s">
        <v>9</v>
      </c>
      <c r="D2" s="30" t="s">
        <v>9</v>
      </c>
      <c r="E2" s="30" t="s">
        <v>9</v>
      </c>
      <c r="F2" s="30" t="s">
        <v>9</v>
      </c>
      <c r="G2" s="30" t="s">
        <v>9</v>
      </c>
    </row>
  </sheetData>
  <phoneticPr fontId="1" type="noConversion"/>
  <conditionalFormatting sqref="A1:B1">
    <cfRule type="duplicateValues" dxfId="11" priority="3"/>
  </conditionalFormatting>
  <conditionalFormatting sqref="A1:G1 C2:G2">
    <cfRule type="containsText" dxfId="10" priority="2" operator="containsText" text="null">
      <formula>NOT(ISERROR(SEARCH("null",A1)))</formula>
    </cfRule>
  </conditionalFormatting>
  <conditionalFormatting sqref="B1">
    <cfRule type="duplicateValues" dxfId="9" priority="1"/>
  </conditionalFormatting>
  <conditionalFormatting sqref="B3:B1048576">
    <cfRule type="duplicateValues" dxfId="8" priority="7"/>
    <cfRule type="duplicateValues" dxfId="7" priority="9"/>
  </conditionalFormatting>
  <conditionalFormatting sqref="B3:G1048576">
    <cfRule type="containsText" dxfId="6" priority="8" operator="containsText" text="null">
      <formula>NOT(ISERROR(SEARCH("null",B3)))</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0525-EDFB-44CB-9009-6752AEDD7340}">
  <sheetPr codeName="Planilha5"/>
  <dimension ref="A1:Y10"/>
  <sheetViews>
    <sheetView zoomScale="235" zoomScaleNormal="235" workbookViewId="0">
      <selection activeCell="Z9" sqref="Z9"/>
    </sheetView>
  </sheetViews>
  <sheetFormatPr defaultColWidth="64.3046875" defaultRowHeight="7.5" customHeight="1" x14ac:dyDescent="0.4"/>
  <cols>
    <col min="1" max="1" width="3.15234375" style="74" bestFit="1" customWidth="1"/>
    <col min="2" max="2" width="6.4609375" customWidth="1"/>
    <col min="3" max="3" width="6.4609375" bestFit="1" customWidth="1"/>
    <col min="4" max="4" width="6.69140625" customWidth="1"/>
    <col min="5" max="5" width="6.53515625" customWidth="1"/>
    <col min="6" max="6" width="4.84375" customWidth="1"/>
    <col min="7" max="7" width="37.15234375" customWidth="1"/>
    <col min="8" max="8" width="4.3046875" bestFit="1" customWidth="1"/>
    <col min="9" max="9" width="11.84375" customWidth="1"/>
    <col min="10" max="10" width="4.53515625" style="45" customWidth="1"/>
    <col min="11" max="11" width="11.84375" customWidth="1"/>
    <col min="12" max="12" width="4.3046875" bestFit="1" customWidth="1"/>
    <col min="13" max="13" width="6.69140625" bestFit="1" customWidth="1"/>
    <col min="14" max="14" width="5.3046875" style="45" bestFit="1" customWidth="1"/>
    <col min="15" max="15" width="11.53515625" customWidth="1"/>
    <col min="16" max="16" width="7.3046875" style="45" customWidth="1"/>
    <col min="17" max="17" width="6.15234375" customWidth="1"/>
    <col min="18" max="18" width="6.84375" customWidth="1"/>
    <col min="19" max="19" width="44.15234375" customWidth="1"/>
    <col min="20" max="20" width="5.3046875" customWidth="1"/>
    <col min="21" max="21" width="62.69140625" customWidth="1"/>
    <col min="22" max="22" width="5.84375" customWidth="1"/>
    <col min="23" max="23" width="7.84375" customWidth="1"/>
    <col min="24" max="24" width="6.69140625" customWidth="1"/>
    <col min="25" max="25" width="7.69140625" customWidth="1"/>
  </cols>
  <sheetData>
    <row r="1" spans="1:25" s="45" customFormat="1" ht="14.25" customHeight="1" x14ac:dyDescent="0.4">
      <c r="A1" s="73" t="s">
        <v>10</v>
      </c>
      <c r="B1" s="18" t="s">
        <v>70</v>
      </c>
      <c r="C1" s="18" t="s">
        <v>71</v>
      </c>
      <c r="D1" s="18" t="s">
        <v>72</v>
      </c>
      <c r="E1" s="18" t="s">
        <v>44</v>
      </c>
      <c r="F1" s="18" t="s">
        <v>72</v>
      </c>
      <c r="G1" s="18" t="s">
        <v>77</v>
      </c>
      <c r="H1" s="18" t="s">
        <v>72</v>
      </c>
      <c r="I1" s="18" t="s">
        <v>77</v>
      </c>
      <c r="J1" s="18" t="s">
        <v>72</v>
      </c>
      <c r="K1" s="18" t="s">
        <v>77</v>
      </c>
      <c r="L1" s="18" t="s">
        <v>72</v>
      </c>
      <c r="M1" s="18" t="s">
        <v>77</v>
      </c>
      <c r="N1" s="18" t="s">
        <v>72</v>
      </c>
      <c r="O1" s="18" t="s">
        <v>77</v>
      </c>
      <c r="P1" s="18" t="s">
        <v>72</v>
      </c>
      <c r="Q1" s="18" t="s">
        <v>77</v>
      </c>
      <c r="R1" s="18" t="s">
        <v>72</v>
      </c>
      <c r="S1" s="18" t="s">
        <v>77</v>
      </c>
      <c r="T1" s="25" t="s">
        <v>72</v>
      </c>
      <c r="U1" s="18" t="s">
        <v>77</v>
      </c>
      <c r="V1" s="18" t="s">
        <v>72</v>
      </c>
      <c r="W1" s="18" t="s">
        <v>77</v>
      </c>
      <c r="X1" s="18" t="s">
        <v>72</v>
      </c>
      <c r="Y1" s="18" t="s">
        <v>77</v>
      </c>
    </row>
    <row r="2" spans="1:25" ht="7.5" customHeight="1" x14ac:dyDescent="0.4">
      <c r="A2" s="19">
        <v>2</v>
      </c>
      <c r="B2" s="65" t="s">
        <v>724</v>
      </c>
      <c r="C2" s="1" t="s">
        <v>468</v>
      </c>
      <c r="D2" s="38" t="s">
        <v>9</v>
      </c>
      <c r="E2" s="67" t="s">
        <v>9</v>
      </c>
      <c r="F2" s="20" t="s">
        <v>73</v>
      </c>
      <c r="G2" s="21" t="s">
        <v>442</v>
      </c>
      <c r="H2" s="36" t="s">
        <v>76</v>
      </c>
      <c r="I2" s="23" t="s">
        <v>165</v>
      </c>
      <c r="J2" s="61" t="s">
        <v>595</v>
      </c>
      <c r="K2" s="23" t="s">
        <v>615</v>
      </c>
      <c r="L2" s="36" t="s">
        <v>74</v>
      </c>
      <c r="M2" s="22" t="s">
        <v>75</v>
      </c>
      <c r="N2" s="61" t="s">
        <v>9</v>
      </c>
      <c r="O2" s="23" t="s">
        <v>9</v>
      </c>
      <c r="P2" s="36" t="s">
        <v>463</v>
      </c>
      <c r="Q2" s="22" t="s">
        <v>166</v>
      </c>
      <c r="R2" s="61" t="s">
        <v>9</v>
      </c>
      <c r="S2" s="23" t="s">
        <v>9</v>
      </c>
      <c r="T2" s="61" t="s">
        <v>9</v>
      </c>
      <c r="U2" s="23" t="s">
        <v>9</v>
      </c>
      <c r="V2" s="61" t="s">
        <v>9</v>
      </c>
      <c r="W2" s="23" t="s">
        <v>9</v>
      </c>
      <c r="X2" s="36" t="s">
        <v>9</v>
      </c>
      <c r="Y2" s="23" t="s">
        <v>9</v>
      </c>
    </row>
    <row r="3" spans="1:25" s="44" customFormat="1" ht="7.5" customHeight="1" x14ac:dyDescent="0.4">
      <c r="A3" s="19">
        <v>3</v>
      </c>
      <c r="B3" s="66" t="s">
        <v>587</v>
      </c>
      <c r="C3" s="1" t="s">
        <v>574</v>
      </c>
      <c r="D3" s="38" t="s">
        <v>167</v>
      </c>
      <c r="E3" s="67" t="s">
        <v>724</v>
      </c>
      <c r="F3" s="37" t="s">
        <v>73</v>
      </c>
      <c r="G3" s="21" t="s">
        <v>590</v>
      </c>
      <c r="H3" s="36" t="s">
        <v>76</v>
      </c>
      <c r="I3" s="23" t="s">
        <v>592</v>
      </c>
      <c r="J3" s="61" t="s">
        <v>595</v>
      </c>
      <c r="K3" s="21" t="s">
        <v>616</v>
      </c>
      <c r="L3" s="61" t="s">
        <v>9</v>
      </c>
      <c r="M3" s="23" t="s">
        <v>9</v>
      </c>
      <c r="N3" s="61" t="s">
        <v>9</v>
      </c>
      <c r="O3" s="23" t="s">
        <v>9</v>
      </c>
      <c r="P3" s="61" t="s">
        <v>618</v>
      </c>
      <c r="Q3" s="23" t="s">
        <v>620</v>
      </c>
      <c r="R3" s="37" t="s">
        <v>207</v>
      </c>
      <c r="S3" s="23" t="s">
        <v>469</v>
      </c>
      <c r="T3" s="37" t="s">
        <v>208</v>
      </c>
      <c r="U3" s="23" t="s">
        <v>470</v>
      </c>
      <c r="V3" s="37" t="s">
        <v>464</v>
      </c>
      <c r="W3" s="23" t="s">
        <v>465</v>
      </c>
      <c r="X3" s="36" t="s">
        <v>9</v>
      </c>
      <c r="Y3" s="23" t="s">
        <v>9</v>
      </c>
    </row>
    <row r="4" spans="1:25" s="44" customFormat="1" ht="7.5" customHeight="1" x14ac:dyDescent="0.4">
      <c r="A4" s="19">
        <v>4</v>
      </c>
      <c r="B4" s="66" t="s">
        <v>586</v>
      </c>
      <c r="C4" s="1" t="s">
        <v>622</v>
      </c>
      <c r="D4" s="38" t="s">
        <v>167</v>
      </c>
      <c r="E4" s="67" t="s">
        <v>724</v>
      </c>
      <c r="F4" s="37" t="s">
        <v>73</v>
      </c>
      <c r="G4" s="21" t="s">
        <v>589</v>
      </c>
      <c r="H4" s="36" t="s">
        <v>76</v>
      </c>
      <c r="I4" s="23" t="s">
        <v>592</v>
      </c>
      <c r="J4" s="61" t="s">
        <v>595</v>
      </c>
      <c r="K4" s="21" t="s">
        <v>616</v>
      </c>
      <c r="L4" s="61" t="s">
        <v>9</v>
      </c>
      <c r="M4" s="23" t="s">
        <v>9</v>
      </c>
      <c r="N4" s="61" t="s">
        <v>9</v>
      </c>
      <c r="O4" s="23" t="s">
        <v>9</v>
      </c>
      <c r="P4" s="61" t="s">
        <v>618</v>
      </c>
      <c r="Q4" s="23" t="s">
        <v>619</v>
      </c>
      <c r="R4" s="37" t="s">
        <v>207</v>
      </c>
      <c r="S4" s="23" t="s">
        <v>469</v>
      </c>
      <c r="T4" s="37" t="s">
        <v>208</v>
      </c>
      <c r="U4" s="23" t="s">
        <v>470</v>
      </c>
      <c r="V4" s="37" t="s">
        <v>464</v>
      </c>
      <c r="W4" s="23" t="s">
        <v>465</v>
      </c>
      <c r="X4" s="36" t="s">
        <v>9</v>
      </c>
      <c r="Y4" s="23" t="s">
        <v>9</v>
      </c>
    </row>
    <row r="5" spans="1:25" s="44" customFormat="1" ht="7.5" customHeight="1" x14ac:dyDescent="0.4">
      <c r="A5" s="19">
        <v>5</v>
      </c>
      <c r="B5" s="66" t="s">
        <v>588</v>
      </c>
      <c r="C5" s="1" t="s">
        <v>585</v>
      </c>
      <c r="D5" s="38" t="s">
        <v>167</v>
      </c>
      <c r="E5" s="67" t="s">
        <v>724</v>
      </c>
      <c r="F5" s="37" t="s">
        <v>73</v>
      </c>
      <c r="G5" s="21" t="s">
        <v>591</v>
      </c>
      <c r="H5" s="36" t="s">
        <v>76</v>
      </c>
      <c r="I5" s="23" t="s">
        <v>592</v>
      </c>
      <c r="J5" s="61" t="s">
        <v>595</v>
      </c>
      <c r="K5" s="21" t="s">
        <v>617</v>
      </c>
      <c r="L5" s="61" t="s">
        <v>9</v>
      </c>
      <c r="M5" s="23" t="s">
        <v>9</v>
      </c>
      <c r="N5" s="61" t="s">
        <v>9</v>
      </c>
      <c r="O5" s="23" t="s">
        <v>9</v>
      </c>
      <c r="P5" s="61" t="s">
        <v>618</v>
      </c>
      <c r="Q5" s="23" t="s">
        <v>621</v>
      </c>
      <c r="R5" s="37" t="s">
        <v>207</v>
      </c>
      <c r="S5" s="23" t="s">
        <v>469</v>
      </c>
      <c r="T5" s="37" t="s">
        <v>208</v>
      </c>
      <c r="U5" s="23" t="s">
        <v>470</v>
      </c>
      <c r="V5" s="37" t="s">
        <v>464</v>
      </c>
      <c r="W5" s="23" t="s">
        <v>466</v>
      </c>
      <c r="X5" s="36" t="s">
        <v>9</v>
      </c>
      <c r="Y5" s="23" t="s">
        <v>9</v>
      </c>
    </row>
    <row r="6" spans="1:25" ht="7.5" customHeight="1" x14ac:dyDescent="0.4">
      <c r="A6" s="19">
        <v>6</v>
      </c>
      <c r="B6" s="65" t="s">
        <v>593</v>
      </c>
      <c r="C6" s="68" t="s">
        <v>635</v>
      </c>
      <c r="D6" s="38" t="s">
        <v>9</v>
      </c>
      <c r="E6" s="67" t="s">
        <v>9</v>
      </c>
      <c r="F6" s="62" t="s">
        <v>73</v>
      </c>
      <c r="G6" s="23" t="s">
        <v>597</v>
      </c>
      <c r="H6" s="61" t="s">
        <v>76</v>
      </c>
      <c r="I6" s="22" t="s">
        <v>594</v>
      </c>
      <c r="J6" s="61" t="s">
        <v>595</v>
      </c>
      <c r="K6" s="23" t="s">
        <v>596</v>
      </c>
      <c r="L6" s="61" t="s">
        <v>9</v>
      </c>
      <c r="M6" s="23" t="s">
        <v>9</v>
      </c>
      <c r="N6" s="61" t="s">
        <v>595</v>
      </c>
      <c r="O6" s="23" t="s">
        <v>596</v>
      </c>
      <c r="P6" s="36" t="s">
        <v>9</v>
      </c>
      <c r="Q6" s="23" t="s">
        <v>9</v>
      </c>
      <c r="R6" s="36" t="s">
        <v>9</v>
      </c>
      <c r="S6" s="23" t="s">
        <v>9</v>
      </c>
      <c r="T6" s="36" t="s">
        <v>9</v>
      </c>
      <c r="U6" s="23" t="s">
        <v>9</v>
      </c>
      <c r="V6" s="36" t="s">
        <v>9</v>
      </c>
      <c r="W6" s="23" t="s">
        <v>9</v>
      </c>
      <c r="X6" s="63" t="str">
        <f t="shared" ref="X6:X10" si="0">IF(Y6="null", "null", "método.revit")</f>
        <v>método.revit</v>
      </c>
      <c r="Y6" s="64" t="s">
        <v>598</v>
      </c>
    </row>
    <row r="7" spans="1:25" ht="7.5" customHeight="1" x14ac:dyDescent="0.4">
      <c r="A7" s="19">
        <v>7</v>
      </c>
      <c r="B7" s="65" t="s">
        <v>599</v>
      </c>
      <c r="C7" s="68" t="s">
        <v>635</v>
      </c>
      <c r="D7" s="38" t="s">
        <v>9</v>
      </c>
      <c r="E7" s="67" t="s">
        <v>9</v>
      </c>
      <c r="F7" s="62" t="s">
        <v>73</v>
      </c>
      <c r="G7" s="23" t="s">
        <v>601</v>
      </c>
      <c r="H7" s="61" t="s">
        <v>76</v>
      </c>
      <c r="I7" s="22" t="s">
        <v>594</v>
      </c>
      <c r="J7" s="61" t="s">
        <v>595</v>
      </c>
      <c r="K7" s="23" t="s">
        <v>600</v>
      </c>
      <c r="L7" s="61" t="s">
        <v>9</v>
      </c>
      <c r="M7" s="23" t="s">
        <v>9</v>
      </c>
      <c r="N7" s="61" t="s">
        <v>595</v>
      </c>
      <c r="O7" s="23" t="s">
        <v>600</v>
      </c>
      <c r="P7" s="36" t="s">
        <v>9</v>
      </c>
      <c r="Q7" s="23" t="s">
        <v>9</v>
      </c>
      <c r="R7" s="36" t="s">
        <v>9</v>
      </c>
      <c r="S7" s="23" t="s">
        <v>9</v>
      </c>
      <c r="T7" s="36" t="s">
        <v>9</v>
      </c>
      <c r="U7" s="23" t="s">
        <v>9</v>
      </c>
      <c r="V7" s="36" t="s">
        <v>9</v>
      </c>
      <c r="W7" s="23" t="s">
        <v>9</v>
      </c>
      <c r="X7" s="63" t="str">
        <f t="shared" si="0"/>
        <v>método.revit</v>
      </c>
      <c r="Y7" s="64" t="s">
        <v>602</v>
      </c>
    </row>
    <row r="8" spans="1:25" ht="7.5" customHeight="1" x14ac:dyDescent="0.4">
      <c r="A8" s="19">
        <v>8</v>
      </c>
      <c r="B8" s="65" t="s">
        <v>603</v>
      </c>
      <c r="C8" s="68" t="s">
        <v>635</v>
      </c>
      <c r="D8" s="38" t="s">
        <v>9</v>
      </c>
      <c r="E8" s="67" t="s">
        <v>9</v>
      </c>
      <c r="F8" s="62" t="s">
        <v>73</v>
      </c>
      <c r="G8" s="23" t="s">
        <v>605</v>
      </c>
      <c r="H8" s="61" t="s">
        <v>76</v>
      </c>
      <c r="I8" s="22" t="s">
        <v>594</v>
      </c>
      <c r="J8" s="61" t="s">
        <v>595</v>
      </c>
      <c r="K8" s="23" t="s">
        <v>604</v>
      </c>
      <c r="L8" s="61" t="s">
        <v>9</v>
      </c>
      <c r="M8" s="23" t="s">
        <v>9</v>
      </c>
      <c r="N8" s="61" t="s">
        <v>595</v>
      </c>
      <c r="O8" s="23" t="s">
        <v>604</v>
      </c>
      <c r="P8" s="36" t="s">
        <v>9</v>
      </c>
      <c r="Q8" s="23" t="s">
        <v>9</v>
      </c>
      <c r="R8" s="36" t="s">
        <v>9</v>
      </c>
      <c r="S8" s="23" t="s">
        <v>9</v>
      </c>
      <c r="T8" s="36" t="s">
        <v>9</v>
      </c>
      <c r="U8" s="23" t="s">
        <v>9</v>
      </c>
      <c r="V8" s="36" t="s">
        <v>9</v>
      </c>
      <c r="W8" s="23" t="s">
        <v>9</v>
      </c>
      <c r="X8" s="63" t="str">
        <f t="shared" si="0"/>
        <v>método.revit</v>
      </c>
      <c r="Y8" s="64" t="s">
        <v>606</v>
      </c>
    </row>
    <row r="9" spans="1:25" ht="7.5" customHeight="1" x14ac:dyDescent="0.4">
      <c r="A9" s="19">
        <v>9</v>
      </c>
      <c r="B9" s="65" t="s">
        <v>607</v>
      </c>
      <c r="C9" s="68" t="s">
        <v>635</v>
      </c>
      <c r="D9" s="38" t="s">
        <v>9</v>
      </c>
      <c r="E9" s="67" t="s">
        <v>9</v>
      </c>
      <c r="F9" s="62" t="s">
        <v>73</v>
      </c>
      <c r="G9" s="23" t="s">
        <v>609</v>
      </c>
      <c r="H9" s="61" t="s">
        <v>76</v>
      </c>
      <c r="I9" s="22" t="s">
        <v>594</v>
      </c>
      <c r="J9" s="61" t="s">
        <v>595</v>
      </c>
      <c r="K9" s="23" t="s">
        <v>608</v>
      </c>
      <c r="L9" s="61" t="s">
        <v>9</v>
      </c>
      <c r="M9" s="23" t="s">
        <v>9</v>
      </c>
      <c r="N9" s="61" t="s">
        <v>595</v>
      </c>
      <c r="O9" s="23" t="s">
        <v>608</v>
      </c>
      <c r="P9" s="36" t="s">
        <v>9</v>
      </c>
      <c r="Q9" s="23" t="s">
        <v>9</v>
      </c>
      <c r="R9" s="36" t="s">
        <v>9</v>
      </c>
      <c r="S9" s="23" t="s">
        <v>9</v>
      </c>
      <c r="T9" s="36" t="s">
        <v>9</v>
      </c>
      <c r="U9" s="23" t="s">
        <v>9</v>
      </c>
      <c r="V9" s="36" t="s">
        <v>9</v>
      </c>
      <c r="W9" s="23" t="s">
        <v>9</v>
      </c>
      <c r="X9" s="63" t="str">
        <f t="shared" si="0"/>
        <v>método.revit</v>
      </c>
      <c r="Y9" s="64" t="s">
        <v>610</v>
      </c>
    </row>
    <row r="10" spans="1:25" ht="7.5" customHeight="1" x14ac:dyDescent="0.4">
      <c r="A10" s="19">
        <v>10</v>
      </c>
      <c r="B10" s="65" t="s">
        <v>611</v>
      </c>
      <c r="C10" s="68" t="s">
        <v>635</v>
      </c>
      <c r="D10" s="38" t="s">
        <v>9</v>
      </c>
      <c r="E10" s="67" t="s">
        <v>9</v>
      </c>
      <c r="F10" s="62" t="s">
        <v>73</v>
      </c>
      <c r="G10" s="23" t="s">
        <v>613</v>
      </c>
      <c r="H10" s="61" t="s">
        <v>76</v>
      </c>
      <c r="I10" s="22" t="s">
        <v>594</v>
      </c>
      <c r="J10" s="61" t="s">
        <v>595</v>
      </c>
      <c r="K10" s="23" t="s">
        <v>612</v>
      </c>
      <c r="L10" s="61" t="s">
        <v>9</v>
      </c>
      <c r="M10" s="23" t="s">
        <v>9</v>
      </c>
      <c r="N10" s="61" t="s">
        <v>595</v>
      </c>
      <c r="O10" s="23" t="s">
        <v>612</v>
      </c>
      <c r="P10" s="36" t="s">
        <v>9</v>
      </c>
      <c r="Q10" s="23" t="s">
        <v>9</v>
      </c>
      <c r="R10" s="36" t="s">
        <v>9</v>
      </c>
      <c r="S10" s="23" t="s">
        <v>9</v>
      </c>
      <c r="T10" s="36" t="s">
        <v>9</v>
      </c>
      <c r="U10" s="23" t="s">
        <v>9</v>
      </c>
      <c r="V10" s="36" t="s">
        <v>9</v>
      </c>
      <c r="W10" s="23" t="s">
        <v>9</v>
      </c>
      <c r="X10" s="63" t="str">
        <f t="shared" si="0"/>
        <v>método.revit</v>
      </c>
      <c r="Y10" s="64" t="s">
        <v>614</v>
      </c>
    </row>
  </sheetData>
  <phoneticPr fontId="1" type="noConversion"/>
  <conditionalFormatting sqref="B3:B5 D3:D5 F3:F5">
    <cfRule type="cellIs" dxfId="5" priority="20" operator="equal">
      <formula>"null"</formula>
    </cfRule>
  </conditionalFormatting>
  <conditionalFormatting sqref="B3:B5">
    <cfRule type="duplicateValues" dxfId="4" priority="2249"/>
  </conditionalFormatting>
  <conditionalFormatting sqref="B6:B10">
    <cfRule type="duplicateValues" dxfId="3" priority="2"/>
    <cfRule type="duplicateValues" dxfId="2" priority="3"/>
    <cfRule type="duplicateValues" dxfId="1" priority="4"/>
  </conditionalFormatting>
  <conditionalFormatting sqref="K2 I3:I5 R3:W5 Z3:XFD5">
    <cfRule type="cellIs" dxfId="0" priority="8" operator="equal">
      <formula>"null"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2026-09-06T00:27:42Z</dcterms:modified>
  <dc:language>pt-BR</dc:language>
</cp:coreProperties>
</file>