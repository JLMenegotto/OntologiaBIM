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88CC673-FF52-439A-9059-F047F6DA36A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33" i="39" l="1"/>
  <c r="Y1834" i="39"/>
  <c r="Y1835" i="39"/>
  <c r="Y1836" i="39"/>
  <c r="Y1837" i="39"/>
  <c r="Y1838" i="39"/>
  <c r="Y1839" i="39"/>
  <c r="Y1840" i="39"/>
  <c r="Y1841" i="39"/>
  <c r="Y1842" i="39"/>
  <c r="Y1843" i="39"/>
  <c r="Y1844" i="39"/>
  <c r="Y1845" i="39"/>
  <c r="Y1846" i="39"/>
  <c r="Y1847" i="39"/>
  <c r="X1827" i="39"/>
  <c r="X1828" i="39"/>
  <c r="X1829" i="39"/>
  <c r="X1830" i="39"/>
  <c r="X1831" i="39" s="1"/>
  <c r="X1832" i="39" s="1"/>
  <c r="X1833" i="39" s="1"/>
  <c r="X1834" i="39" s="1"/>
  <c r="X1835" i="39" s="1"/>
  <c r="X1836" i="39"/>
  <c r="X1837" i="39"/>
  <c r="X1838" i="39"/>
  <c r="X1839" i="39"/>
  <c r="X1840" i="39"/>
  <c r="X1841" i="39"/>
  <c r="X1842" i="39"/>
  <c r="X1843" i="39"/>
  <c r="X1844" i="39"/>
  <c r="X1845" i="39"/>
  <c r="X1846" i="39"/>
  <c r="X1847" i="39"/>
  <c r="A1831" i="39"/>
  <c r="A1832" i="39"/>
  <c r="A1833" i="39"/>
  <c r="A1834" i="39"/>
  <c r="A1835" i="39"/>
  <c r="A1836" i="39"/>
  <c r="A1837" i="39"/>
  <c r="A1838" i="39"/>
  <c r="A1839" i="39"/>
  <c r="A1840" i="39"/>
  <c r="A1841" i="39"/>
  <c r="A1842" i="39"/>
  <c r="A1843" i="39"/>
  <c r="A1844" i="39"/>
  <c r="A1845" i="39"/>
  <c r="A1846" i="39"/>
  <c r="A1847" i="39"/>
  <c r="F1838" i="39"/>
  <c r="F1839" i="39"/>
  <c r="F1840" i="39" s="1"/>
  <c r="AE1838" i="39"/>
  <c r="AC1838" i="39"/>
  <c r="AA1838" i="39"/>
  <c r="I1838" i="39"/>
  <c r="D1838" i="39"/>
  <c r="AE1839" i="39"/>
  <c r="AC1839" i="39"/>
  <c r="AA1839" i="39"/>
  <c r="I1839" i="39"/>
  <c r="D1839" i="39"/>
  <c r="AE1840" i="39"/>
  <c r="AC1840" i="39"/>
  <c r="AA1840" i="39"/>
  <c r="I1840" i="39"/>
  <c r="D1840" i="39"/>
  <c r="AE1837" i="39"/>
  <c r="AC1837" i="39"/>
  <c r="AA1837" i="39"/>
  <c r="I1837" i="39"/>
  <c r="F1837" i="39"/>
  <c r="C1837" i="39" s="1"/>
  <c r="D1837" i="39"/>
  <c r="AE1836" i="39"/>
  <c r="AC1836" i="39"/>
  <c r="AA1836" i="39"/>
  <c r="V1836" i="39"/>
  <c r="I1836" i="39"/>
  <c r="D1836" i="39"/>
  <c r="C1836"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0" i="39"/>
  <c r="Y682" i="39"/>
  <c r="Y697" i="39"/>
  <c r="Y701" i="39"/>
  <c r="Y713" i="39"/>
  <c r="Y720" i="39"/>
  <c r="Y724" i="39"/>
  <c r="Y732" i="39"/>
  <c r="Y769" i="39"/>
  <c r="Y801" i="39"/>
  <c r="Y820"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Y1264" i="39"/>
  <c r="Y1278" i="39"/>
  <c r="Y1296" i="39"/>
  <c r="Y1304" i="39"/>
  <c r="Y1325" i="39"/>
  <c r="Y1338" i="39"/>
  <c r="Y1358" i="39"/>
  <c r="Y1364" i="39"/>
  <c r="Y1385" i="39"/>
  <c r="Y1395" i="39"/>
  <c r="Y1424" i="39"/>
  <c r="Y1426" i="39"/>
  <c r="Y1445" i="39"/>
  <c r="Y1451" i="39"/>
  <c r="Y1471" i="39"/>
  <c r="Y1477" i="39"/>
  <c r="Y1540" i="39"/>
  <c r="Y1544" i="39"/>
  <c r="Y1559" i="39"/>
  <c r="Y1564" i="39"/>
  <c r="Y1577" i="39"/>
  <c r="Y1607" i="39"/>
  <c r="Y1610" i="39"/>
  <c r="Y1632" i="39"/>
  <c r="Y1646" i="39"/>
  <c r="Y1652" i="39"/>
  <c r="Y1655" i="39"/>
  <c r="Y1657" i="39"/>
  <c r="Y1666" i="39"/>
  <c r="Y1671" i="39"/>
  <c r="Y1694" i="39"/>
  <c r="Y1700" i="39"/>
  <c r="Y1766" i="39"/>
  <c r="Y1773" i="39"/>
  <c r="Y1789" i="39"/>
  <c r="Y1795" i="39"/>
  <c r="Y1811" i="39"/>
  <c r="Y1819" i="39"/>
  <c r="Y1822" i="39"/>
  <c r="X450" i="39"/>
  <c r="X1143" i="39"/>
  <c r="C643" i="39"/>
  <c r="F821" i="39"/>
  <c r="AE820" i="39"/>
  <c r="AC820" i="39"/>
  <c r="AA820" i="39"/>
  <c r="V820" i="39"/>
  <c r="I820" i="39"/>
  <c r="D820" i="39"/>
  <c r="C820" i="39"/>
  <c r="U820" i="39" s="1"/>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Y1204" i="39" s="1"/>
  <c r="D1204" i="39"/>
  <c r="AE1203" i="39"/>
  <c r="AC1203" i="39"/>
  <c r="AA1203" i="39"/>
  <c r="V1203" i="39"/>
  <c r="I1203" i="39"/>
  <c r="D1203" i="39"/>
  <c r="C1203" i="39"/>
  <c r="AG1248" i="39"/>
  <c r="Z1248" i="39"/>
  <c r="Z1245" i="39"/>
  <c r="AG1245" i="39"/>
  <c r="C1839" i="39" l="1"/>
  <c r="U1839" i="39" s="1"/>
  <c r="V1839" i="39"/>
  <c r="U1837" i="39"/>
  <c r="V1837" i="39"/>
  <c r="C821" i="39"/>
  <c r="Y821" i="39"/>
  <c r="U1836" i="39"/>
  <c r="C1204" i="39"/>
  <c r="U1204" i="39" s="1"/>
  <c r="U1203" i="39"/>
  <c r="F1205" i="39"/>
  <c r="Y1205" i="39" s="1"/>
  <c r="V1204" i="39"/>
  <c r="V1840" i="39" l="1"/>
  <c r="C1840" i="39"/>
  <c r="U1840" i="39" s="1"/>
  <c r="F1206" i="39"/>
  <c r="Y1206" i="39" s="1"/>
  <c r="C1205" i="39"/>
  <c r="U1205" i="39" s="1"/>
  <c r="V1205" i="39"/>
  <c r="F1207" i="39" l="1"/>
  <c r="Y1207" i="39" s="1"/>
  <c r="V1206" i="39"/>
  <c r="C1206" i="39"/>
  <c r="U1206" i="39" s="1"/>
  <c r="C1207" i="39" l="1"/>
  <c r="U1207" i="39" s="1"/>
  <c r="F1208" i="39"/>
  <c r="Y1208" i="39" s="1"/>
  <c r="V1207" i="39"/>
  <c r="V1208" i="39" l="1"/>
  <c r="C1208" i="39"/>
  <c r="U1208" i="39" s="1"/>
  <c r="F1209" i="39"/>
  <c r="Y1209" i="39" s="1"/>
  <c r="F1210" i="39" l="1"/>
  <c r="Y1210" i="39" s="1"/>
  <c r="C1209" i="39"/>
  <c r="U1209" i="39" s="1"/>
  <c r="V1209" i="39"/>
  <c r="C1210" i="39" l="1"/>
  <c r="U1210" i="39" s="1"/>
  <c r="V1210" i="39"/>
  <c r="F1211" i="39"/>
  <c r="Y1211" i="39" s="1"/>
  <c r="V1211" i="39" l="1"/>
  <c r="F1212" i="39"/>
  <c r="Y1212" i="39" s="1"/>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Y1168" i="39" s="1"/>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Y434" i="39" s="1"/>
  <c r="D434" i="39"/>
  <c r="AE433" i="39"/>
  <c r="AC433" i="39"/>
  <c r="AA433" i="39"/>
  <c r="V433" i="39"/>
  <c r="I433" i="39"/>
  <c r="D433" i="39"/>
  <c r="C433" i="39"/>
  <c r="F1647" i="39"/>
  <c r="Y1647" i="39" s="1"/>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Y1701" i="39" s="1"/>
  <c r="D1701" i="39"/>
  <c r="AE1700" i="39"/>
  <c r="AC1700" i="39"/>
  <c r="AA1700" i="39"/>
  <c r="V1700" i="39"/>
  <c r="I1700" i="39"/>
  <c r="D1700" i="39"/>
  <c r="C1700" i="39"/>
  <c r="F1695" i="39"/>
  <c r="Y1695" i="39" s="1"/>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Y986" i="39" s="1"/>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Y1767" i="39" s="1"/>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Y1653" i="39" s="1"/>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41" i="39"/>
  <c r="D1842" i="39"/>
  <c r="D1843" i="39"/>
  <c r="D1844" i="39"/>
  <c r="D1845" i="39"/>
  <c r="D1846" i="39"/>
  <c r="D1847"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3" i="39"/>
  <c r="AG252" i="39"/>
  <c r="AG254" i="39"/>
  <c r="Y698" i="39" l="1"/>
  <c r="Y1012" i="39"/>
  <c r="Y1609" i="39"/>
  <c r="X1610" i="39"/>
  <c r="Y1667" i="39"/>
  <c r="Y112" i="39"/>
  <c r="Y1774" i="39"/>
  <c r="Y1386" i="39"/>
  <c r="Y596" i="39"/>
  <c r="Y367" i="39"/>
  <c r="Y601" i="39"/>
  <c r="Y1633" i="39"/>
  <c r="Y1658" i="39"/>
  <c r="Y570" i="39"/>
  <c r="Y722" i="39"/>
  <c r="Y1656" i="39"/>
  <c r="X1657" i="39"/>
  <c r="X1658" i="39" s="1"/>
  <c r="Y1672" i="39"/>
  <c r="Y721" i="39"/>
  <c r="Y733" i="39"/>
  <c r="Y416" i="39"/>
  <c r="Y428" i="39"/>
  <c r="Y770" i="39"/>
  <c r="Y1578" i="39"/>
  <c r="Y1148" i="39"/>
  <c r="Y1545" i="39"/>
  <c r="Y889" i="39"/>
  <c r="Y19" i="39"/>
  <c r="Y1608" i="39"/>
  <c r="Y1305" i="39"/>
  <c r="Y1452" i="39"/>
  <c r="Y36" i="39"/>
  <c r="Y1790" i="39"/>
  <c r="F602" i="39"/>
  <c r="Y602" i="39" s="1"/>
  <c r="V721" i="39"/>
  <c r="V1212" i="39"/>
  <c r="C1212" i="39"/>
  <c r="U1212" i="39" s="1"/>
  <c r="F1213" i="39"/>
  <c r="Y1213" i="39" s="1"/>
  <c r="C721" i="39"/>
  <c r="U721" i="39" s="1"/>
  <c r="F890" i="39"/>
  <c r="Y890" i="39" s="1"/>
  <c r="F723" i="39"/>
  <c r="F699" i="39"/>
  <c r="Y699" i="39" s="1"/>
  <c r="C1168" i="39"/>
  <c r="U1168" i="39" s="1"/>
  <c r="U697" i="39"/>
  <c r="F1169" i="39"/>
  <c r="Y1169" i="39" s="1"/>
  <c r="V1168" i="39"/>
  <c r="U1167" i="39"/>
  <c r="U1789" i="39"/>
  <c r="C1790" i="39"/>
  <c r="U1790" i="39" s="1"/>
  <c r="F1013" i="39"/>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2" i="39"/>
  <c r="U722" i="39" s="1"/>
  <c r="U427" i="39"/>
  <c r="U720" i="39"/>
  <c r="V722" i="39"/>
  <c r="C68" i="39"/>
  <c r="U68" i="39" s="1"/>
  <c r="U111" i="39"/>
  <c r="F368" i="39"/>
  <c r="C367" i="39"/>
  <c r="U367" i="39" s="1"/>
  <c r="U366" i="39"/>
  <c r="V367" i="39"/>
  <c r="F137" i="39"/>
  <c r="Y137" i="39" s="1"/>
  <c r="C112" i="39"/>
  <c r="U112" i="39" s="1"/>
  <c r="V136" i="39"/>
  <c r="U135" i="39"/>
  <c r="U67" i="39"/>
  <c r="V112" i="39"/>
  <c r="V68" i="39"/>
  <c r="C596" i="39"/>
  <c r="U596" i="39" s="1"/>
  <c r="U595" i="39"/>
  <c r="F597" i="39"/>
  <c r="Y597" i="39" s="1"/>
  <c r="V596" i="39"/>
  <c r="U433" i="39"/>
  <c r="F1702" i="39"/>
  <c r="Y1702" i="39" s="1"/>
  <c r="F435" i="39"/>
  <c r="Y435" i="39" s="1"/>
  <c r="C434" i="39"/>
  <c r="U434" i="39" s="1"/>
  <c r="V434" i="39"/>
  <c r="F1648" i="39"/>
  <c r="C1647" i="39"/>
  <c r="U1647" i="39" s="1"/>
  <c r="V1647" i="39"/>
  <c r="U1646" i="39"/>
  <c r="C1386" i="39"/>
  <c r="U1386" i="39" s="1"/>
  <c r="C1633" i="39"/>
  <c r="U1633" i="39" s="1"/>
  <c r="F1696" i="39"/>
  <c r="Y1696" i="39" s="1"/>
  <c r="U1700" i="39"/>
  <c r="F987" i="39"/>
  <c r="Y987" i="39" s="1"/>
  <c r="C1701" i="39"/>
  <c r="U1701" i="39" s="1"/>
  <c r="V1701" i="39"/>
  <c r="U985" i="39"/>
  <c r="C986" i="39"/>
  <c r="U986" i="39" s="1"/>
  <c r="U1694" i="39"/>
  <c r="V986" i="39"/>
  <c r="C1767" i="39"/>
  <c r="U1767" i="39" s="1"/>
  <c r="F1387" i="39"/>
  <c r="Y1387" i="39" s="1"/>
  <c r="V1386" i="39"/>
  <c r="U1385" i="39"/>
  <c r="V570" i="39"/>
  <c r="U569" i="39"/>
  <c r="F571" i="39"/>
  <c r="C570" i="39"/>
  <c r="U570" i="39" s="1"/>
  <c r="F1548" i="39"/>
  <c r="Y1548" i="39" s="1"/>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Y1768" i="39" s="1"/>
  <c r="V1767" i="39"/>
  <c r="U1766" i="39"/>
  <c r="C1672" i="39"/>
  <c r="C1667" i="39"/>
  <c r="U1667" i="39" s="1"/>
  <c r="F1673" i="39"/>
  <c r="Y1673" i="39" s="1"/>
  <c r="V1672" i="39"/>
  <c r="C416" i="39"/>
  <c r="V1667" i="39"/>
  <c r="F1654" i="39"/>
  <c r="C1656" i="39"/>
  <c r="U1656" i="39" s="1"/>
  <c r="U1655" i="39"/>
  <c r="V1653" i="39"/>
  <c r="V1656" i="39"/>
  <c r="C1653" i="39"/>
  <c r="U1653" i="39" s="1"/>
  <c r="U1666" i="39"/>
  <c r="U1652" i="39"/>
  <c r="F1634" i="39"/>
  <c r="Y1634" i="39" s="1"/>
  <c r="U1632" i="39"/>
  <c r="V1633" i="39"/>
  <c r="U1304" i="39"/>
  <c r="C1305" i="39"/>
  <c r="U1305" i="39" s="1"/>
  <c r="F1306" i="39"/>
  <c r="Y1306" i="39" s="1"/>
  <c r="V1305" i="39"/>
  <c r="F417" i="39"/>
  <c r="U415" i="39"/>
  <c r="V416" i="39"/>
  <c r="F37" i="39"/>
  <c r="Y37" i="39" s="1"/>
  <c r="C36" i="39"/>
  <c r="U36" i="39" s="1"/>
  <c r="V36" i="39"/>
  <c r="U35" i="39"/>
  <c r="C19" i="39"/>
  <c r="U19" i="39" s="1"/>
  <c r="F20" i="39"/>
  <c r="Y20" i="39" s="1"/>
  <c r="U18" i="39"/>
  <c r="V19" i="39"/>
  <c r="D1819" i="39"/>
  <c r="F1668" i="39"/>
  <c r="Y1668" i="39" s="1"/>
  <c r="C1452" i="39"/>
  <c r="U1452" i="39" s="1"/>
  <c r="V1452" i="39"/>
  <c r="F1453" i="39"/>
  <c r="Y1453" i="39" s="1"/>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1" i="39"/>
  <c r="F734" i="39"/>
  <c r="Y734" i="39" s="1"/>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41" i="39"/>
  <c r="I1842" i="39"/>
  <c r="I1843" i="39"/>
  <c r="I1844" i="39"/>
  <c r="I1845" i="39"/>
  <c r="I1846" i="39"/>
  <c r="I1847" i="39"/>
  <c r="I2" i="39"/>
  <c r="AE1443" i="39"/>
  <c r="AC1443" i="39"/>
  <c r="AA1443" i="39"/>
  <c r="AE1847" i="39"/>
  <c r="AC1847" i="39"/>
  <c r="AA1847" i="39"/>
  <c r="AE1846" i="39"/>
  <c r="AC1846" i="39"/>
  <c r="AA1846" i="39"/>
  <c r="AE1845" i="39"/>
  <c r="AC1845" i="39"/>
  <c r="AA1845" i="39"/>
  <c r="AE1844" i="39"/>
  <c r="AC1844" i="39"/>
  <c r="AA1844" i="39"/>
  <c r="AE1843" i="39"/>
  <c r="AC1843" i="39"/>
  <c r="AA1843" i="39"/>
  <c r="AE1842" i="39"/>
  <c r="AC1842" i="39"/>
  <c r="AA1842" i="39"/>
  <c r="F1842" i="39"/>
  <c r="AE1841" i="39"/>
  <c r="AC1841" i="39"/>
  <c r="AA1841" i="39"/>
  <c r="V1841" i="39"/>
  <c r="C1841"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Y1812" i="39" s="1"/>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Y1565" i="39" s="1"/>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Y1541" i="39" s="1"/>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Y1478" i="39" s="1"/>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Y1326" i="39" s="1"/>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Y1279" i="39" s="1"/>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Y1265" i="39" s="1"/>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Y802" i="39" s="1"/>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X1659" i="39" l="1"/>
  <c r="Y1297" i="39"/>
  <c r="Y1359" i="39"/>
  <c r="Y1472" i="39"/>
  <c r="Y1796" i="39"/>
  <c r="Y1648" i="39"/>
  <c r="Y1039" i="39"/>
  <c r="X1040" i="39"/>
  <c r="X1041" i="39" s="1"/>
  <c r="Y1425" i="39"/>
  <c r="X1426" i="39"/>
  <c r="X1427" i="39" s="1"/>
  <c r="Y1446" i="39"/>
  <c r="Y571" i="39"/>
  <c r="Y822" i="39"/>
  <c r="Y1823" i="39"/>
  <c r="Y968" i="39"/>
  <c r="Y1130" i="39"/>
  <c r="Y873" i="39"/>
  <c r="Y1152" i="39"/>
  <c r="X1152" i="39"/>
  <c r="X1153" i="39" s="1"/>
  <c r="Y723" i="39"/>
  <c r="X724" i="39"/>
  <c r="Y417" i="39"/>
  <c r="Y1659" i="39"/>
  <c r="Y1427" i="39"/>
  <c r="Y1150" i="39"/>
  <c r="X1151" i="39"/>
  <c r="Y1791" i="39"/>
  <c r="Y1055" i="39"/>
  <c r="Y1112" i="39"/>
  <c r="Y1820" i="39"/>
  <c r="Y1775" i="39"/>
  <c r="Y1579" i="39"/>
  <c r="Y935" i="39"/>
  <c r="Y1126" i="39"/>
  <c r="Y1144" i="39"/>
  <c r="X1144" i="39"/>
  <c r="X1145" i="39" s="1"/>
  <c r="Y1200" i="39"/>
  <c r="Y976" i="39"/>
  <c r="Y771" i="39"/>
  <c r="Y1187" i="39"/>
  <c r="Y826" i="39"/>
  <c r="X1611" i="39"/>
  <c r="Y1611" i="39"/>
  <c r="Y1546" i="39"/>
  <c r="Y1339" i="39"/>
  <c r="Y368" i="39"/>
  <c r="Y1041" i="39"/>
  <c r="Y1365" i="39"/>
  <c r="Y1396" i="39"/>
  <c r="Y1560" i="39"/>
  <c r="Y1654" i="39"/>
  <c r="X1655" i="39"/>
  <c r="X1656" i="39" s="1"/>
  <c r="Y1013" i="39"/>
  <c r="C1213" i="39"/>
  <c r="U1213" i="39" s="1"/>
  <c r="V1213" i="39"/>
  <c r="F1214" i="39"/>
  <c r="Y1214" i="39" s="1"/>
  <c r="F603" i="39"/>
  <c r="F891" i="39"/>
  <c r="F700" i="39"/>
  <c r="V1169" i="39"/>
  <c r="C1169" i="39"/>
  <c r="U1169" i="39" s="1"/>
  <c r="F1170" i="39"/>
  <c r="F1792" i="39"/>
  <c r="Y1792" i="39" s="1"/>
  <c r="F1014" i="39"/>
  <c r="Y1014" i="39" s="1"/>
  <c r="C70" i="39"/>
  <c r="U70" i="39" s="1"/>
  <c r="F71" i="39"/>
  <c r="Y71" i="39" s="1"/>
  <c r="V69" i="39"/>
  <c r="C113" i="39"/>
  <c r="U113" i="39" s="1"/>
  <c r="V113" i="39"/>
  <c r="F114" i="39"/>
  <c r="Y114" i="39" s="1"/>
  <c r="C69" i="39"/>
  <c r="U69" i="39" s="1"/>
  <c r="V1791" i="39"/>
  <c r="C1791" i="39"/>
  <c r="U1791" i="39" s="1"/>
  <c r="F472" i="39"/>
  <c r="V471" i="39"/>
  <c r="C471" i="39"/>
  <c r="U471" i="39" s="1"/>
  <c r="V70" i="39"/>
  <c r="V1775" i="39"/>
  <c r="C1775" i="39"/>
  <c r="U1775" i="39" s="1"/>
  <c r="F1776" i="39"/>
  <c r="C429" i="39"/>
  <c r="U429" i="39" s="1"/>
  <c r="V430" i="39"/>
  <c r="C430" i="39"/>
  <c r="U430" i="39" s="1"/>
  <c r="F431" i="39"/>
  <c r="Y431" i="39" s="1"/>
  <c r="V429" i="39"/>
  <c r="V368" i="39"/>
  <c r="V723" i="39"/>
  <c r="C723" i="39"/>
  <c r="U723"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Y1703" i="39" s="1"/>
  <c r="F1649" i="39"/>
  <c r="Y1649" i="39" s="1"/>
  <c r="V1696" i="39"/>
  <c r="C1696" i="39"/>
  <c r="U1696" i="39" s="1"/>
  <c r="F1697" i="39"/>
  <c r="Y1697" i="39" s="1"/>
  <c r="F1549" i="39"/>
  <c r="Y1549" i="39" s="1"/>
  <c r="C987" i="39"/>
  <c r="U987" i="39" s="1"/>
  <c r="F988" i="39"/>
  <c r="Y988" i="39" s="1"/>
  <c r="V987" i="39"/>
  <c r="V1546" i="39"/>
  <c r="C1546" i="39"/>
  <c r="U1546" i="39" s="1"/>
  <c r="V1387" i="39"/>
  <c r="F1388" i="39"/>
  <c r="Y1388" i="39" s="1"/>
  <c r="C1387" i="39"/>
  <c r="U1387" i="39" s="1"/>
  <c r="F1547" i="39"/>
  <c r="Y1547" i="39" s="1"/>
  <c r="C571" i="39"/>
  <c r="U571" i="39" s="1"/>
  <c r="V571" i="39"/>
  <c r="F572" i="39"/>
  <c r="F1669" i="39"/>
  <c r="Y1669" i="39" s="1"/>
  <c r="V1548" i="39"/>
  <c r="C1548" i="39"/>
  <c r="U1548" i="39" s="1"/>
  <c r="F231" i="39"/>
  <c r="U1672" i="39"/>
  <c r="U1671" i="39"/>
  <c r="F1660" i="39"/>
  <c r="X1660" i="39" s="1"/>
  <c r="C1659" i="39"/>
  <c r="U1659" i="39" s="1"/>
  <c r="V1659" i="39"/>
  <c r="V1768" i="39"/>
  <c r="F1769" i="39"/>
  <c r="Y1769" i="39" s="1"/>
  <c r="C1768" i="39"/>
  <c r="U1768" i="39" s="1"/>
  <c r="V1673" i="39"/>
  <c r="F1674" i="39"/>
  <c r="Y1674" i="39" s="1"/>
  <c r="C1673" i="39"/>
  <c r="U1673" i="39" s="1"/>
  <c r="U416" i="39"/>
  <c r="V1654" i="39"/>
  <c r="C1654" i="39"/>
  <c r="U1654" i="39" s="1"/>
  <c r="V1634" i="39"/>
  <c r="C1634" i="39"/>
  <c r="U1634" i="39" s="1"/>
  <c r="F1635" i="39"/>
  <c r="V1306" i="39"/>
  <c r="F1307" i="39"/>
  <c r="Y1307" i="39" s="1"/>
  <c r="C1306" i="39"/>
  <c r="U1306" i="39" s="1"/>
  <c r="V417" i="39"/>
  <c r="F418" i="39"/>
  <c r="Y418" i="39" s="1"/>
  <c r="C417" i="39"/>
  <c r="U417" i="39" s="1"/>
  <c r="V37" i="39"/>
  <c r="F38" i="39"/>
  <c r="Y38" i="39" s="1"/>
  <c r="C37" i="39"/>
  <c r="U37" i="39" s="1"/>
  <c r="V20" i="39"/>
  <c r="F21" i="39"/>
  <c r="Y21" i="39" s="1"/>
  <c r="C20" i="39"/>
  <c r="U20" i="39" s="1"/>
  <c r="V1453" i="39"/>
  <c r="C1453" i="39"/>
  <c r="U1453" i="39" s="1"/>
  <c r="F1454" i="39"/>
  <c r="Y1454" i="39" s="1"/>
  <c r="C1150" i="39"/>
  <c r="U1150" i="39" s="1"/>
  <c r="V1150" i="39"/>
  <c r="V202" i="39"/>
  <c r="F203" i="39"/>
  <c r="Y203" i="39" s="1"/>
  <c r="F1580" i="39"/>
  <c r="Y1580" i="39" s="1"/>
  <c r="C202" i="39"/>
  <c r="U202" i="39" s="1"/>
  <c r="V1579" i="39"/>
  <c r="C1579" i="39"/>
  <c r="U1579" i="39" s="1"/>
  <c r="F772" i="39"/>
  <c r="Y772" i="39" s="1"/>
  <c r="F735" i="39"/>
  <c r="Y735" i="39" s="1"/>
  <c r="V734" i="39"/>
  <c r="C734" i="39"/>
  <c r="U734" i="39" s="1"/>
  <c r="C822" i="39"/>
  <c r="U822" i="39" s="1"/>
  <c r="C1187" i="39"/>
  <c r="U1187" i="39" s="1"/>
  <c r="F874" i="39"/>
  <c r="Y874" i="39" s="1"/>
  <c r="C1112" i="39"/>
  <c r="U1112" i="39" s="1"/>
  <c r="F1131" i="39"/>
  <c r="Y1131" i="39" s="1"/>
  <c r="C1478" i="39"/>
  <c r="U1478" i="39" s="1"/>
  <c r="C1279" i="39"/>
  <c r="U1279" i="39" s="1"/>
  <c r="V1126" i="39"/>
  <c r="F1429" i="39"/>
  <c r="V976" i="39"/>
  <c r="F1366" i="39"/>
  <c r="Y1366" i="39" s="1"/>
  <c r="F1146" i="39"/>
  <c r="F1080" i="39"/>
  <c r="Y1080" i="39" s="1"/>
  <c r="C826" i="39"/>
  <c r="U826" i="39" s="1"/>
  <c r="C935" i="39"/>
  <c r="U935" i="39" s="1"/>
  <c r="C1359" i="39"/>
  <c r="U1359" i="39" s="1"/>
  <c r="C1796" i="39"/>
  <c r="U1796" i="39" s="1"/>
  <c r="C1130" i="39"/>
  <c r="U1130" i="39" s="1"/>
  <c r="F823" i="39"/>
  <c r="Y823" i="39" s="1"/>
  <c r="V1425" i="39"/>
  <c r="V1162" i="39"/>
  <c r="C1297" i="39"/>
  <c r="U1297" i="39" s="1"/>
  <c r="F803" i="39"/>
  <c r="Y803" i="39" s="1"/>
  <c r="V1265" i="39"/>
  <c r="C1472" i="39"/>
  <c r="U1472" i="39" s="1"/>
  <c r="F1042" i="39"/>
  <c r="Y1042" i="39" s="1"/>
  <c r="F1397" i="39"/>
  <c r="Y1397" i="39" s="1"/>
  <c r="V1039" i="39"/>
  <c r="F1056" i="39"/>
  <c r="Y1056" i="39" s="1"/>
  <c r="C1842" i="39"/>
  <c r="U1842" i="39" s="1"/>
  <c r="U1822" i="39"/>
  <c r="U1795" i="39"/>
  <c r="U1125" i="39"/>
  <c r="C889" i="39"/>
  <c r="U889" i="39" s="1"/>
  <c r="U975" i="39"/>
  <c r="U1559" i="39"/>
  <c r="U1358" i="39"/>
  <c r="F1127" i="39"/>
  <c r="Y1127" i="39" s="1"/>
  <c r="F1128" i="39"/>
  <c r="U1841" i="39"/>
  <c r="U801" i="39"/>
  <c r="V822" i="39"/>
  <c r="V1297" i="39"/>
  <c r="U1143" i="39"/>
  <c r="V1055" i="39"/>
  <c r="V1446" i="39"/>
  <c r="C1055" i="39"/>
  <c r="U1055" i="39" s="1"/>
  <c r="F1473" i="39"/>
  <c r="Y1473" i="39" s="1"/>
  <c r="U888" i="39"/>
  <c r="U1111" i="39"/>
  <c r="U1477" i="39"/>
  <c r="U1610" i="39"/>
  <c r="C1396" i="39"/>
  <c r="U1396" i="39" s="1"/>
  <c r="C1565" i="39"/>
  <c r="U1565" i="39" s="1"/>
  <c r="V826" i="39"/>
  <c r="F1298" i="39"/>
  <c r="Y1298" i="39" s="1"/>
  <c r="F1113" i="39"/>
  <c r="Y1113" i="39" s="1"/>
  <c r="F1447" i="39"/>
  <c r="V1326" i="39"/>
  <c r="C802" i="39"/>
  <c r="U802" i="39" s="1"/>
  <c r="U934" i="39"/>
  <c r="F969" i="39"/>
  <c r="Y969" i="39" s="1"/>
  <c r="C1126" i="39"/>
  <c r="U1126" i="39" s="1"/>
  <c r="U1161" i="39"/>
  <c r="F1266" i="39"/>
  <c r="Y1266" i="39" s="1"/>
  <c r="U1395" i="39"/>
  <c r="V1820" i="39"/>
  <c r="U1426" i="39"/>
  <c r="V1144" i="39"/>
  <c r="F827" i="39"/>
  <c r="Y827" i="39" s="1"/>
  <c r="U1325" i="39"/>
  <c r="U1564" i="39"/>
  <c r="U825" i="39"/>
  <c r="U967" i="39"/>
  <c r="U1040" i="39"/>
  <c r="U1264" i="39"/>
  <c r="U1038" i="39"/>
  <c r="U1296" i="39"/>
  <c r="U1364" i="39"/>
  <c r="U1471" i="39"/>
  <c r="V1565" i="39"/>
  <c r="V1842" i="39"/>
  <c r="U1445" i="39"/>
  <c r="U1151" i="39"/>
  <c r="V1396" i="39"/>
  <c r="V1130" i="39"/>
  <c r="U1609" i="39"/>
  <c r="F1813" i="39"/>
  <c r="Y1813" i="39" s="1"/>
  <c r="V802"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U821" i="39"/>
  <c r="F936" i="39"/>
  <c r="Y936" i="39" s="1"/>
  <c r="C1144" i="39"/>
  <c r="U1144" i="39" s="1"/>
  <c r="V1079" i="39"/>
  <c r="C1079" i="39"/>
  <c r="U1079" i="39" s="1"/>
  <c r="F1153" i="39"/>
  <c r="C1152" i="39"/>
  <c r="U1152" i="39" s="1"/>
  <c r="V1152" i="39"/>
  <c r="C1039" i="39"/>
  <c r="U1039" i="39" s="1"/>
  <c r="C1541" i="39"/>
  <c r="U1541" i="39" s="1"/>
  <c r="V1541" i="39"/>
  <c r="F1542" i="39"/>
  <c r="Y1542" i="39" s="1"/>
  <c r="F1280" i="39"/>
  <c r="V1279" i="39"/>
  <c r="F977" i="39"/>
  <c r="V979" i="39"/>
  <c r="C1162" i="39"/>
  <c r="U1162" i="39" s="1"/>
  <c r="F1163" i="39"/>
  <c r="Y1163" i="39" s="1"/>
  <c r="C1265" i="39"/>
  <c r="U1265" i="39" s="1"/>
  <c r="V1478" i="39"/>
  <c r="F1479" i="39"/>
  <c r="Y1479" i="39" s="1"/>
  <c r="V1041" i="39"/>
  <c r="V1472" i="39"/>
  <c r="C1560" i="39"/>
  <c r="U1560" i="39" s="1"/>
  <c r="V1560" i="39"/>
  <c r="F1561" i="39"/>
  <c r="F1612" i="39"/>
  <c r="Y1612" i="39" s="1"/>
  <c r="V1611" i="39"/>
  <c r="C1611" i="39"/>
  <c r="U1611" i="39" s="1"/>
  <c r="F1188" i="39"/>
  <c r="Y1188" i="39" s="1"/>
  <c r="V1187" i="39"/>
  <c r="C1145" i="39"/>
  <c r="U1145" i="39" s="1"/>
  <c r="V1145" i="39"/>
  <c r="C1365" i="39"/>
  <c r="U1365" i="39" s="1"/>
  <c r="V1365" i="39"/>
  <c r="C1427" i="39"/>
  <c r="U1427" i="39" s="1"/>
  <c r="F1428" i="39"/>
  <c r="Y1428" i="39" s="1"/>
  <c r="C1326" i="39"/>
  <c r="U1326" i="39" s="1"/>
  <c r="F1327" i="39"/>
  <c r="Y1327" i="39" s="1"/>
  <c r="V1339" i="39"/>
  <c r="C1339" i="39"/>
  <c r="U1339" i="39" s="1"/>
  <c r="F1340" i="39"/>
  <c r="Y1340" i="39" s="1"/>
  <c r="V1427" i="39"/>
  <c r="F1430" i="39"/>
  <c r="V1823" i="39"/>
  <c r="C1823" i="39"/>
  <c r="U1823" i="39" s="1"/>
  <c r="F1824" i="39"/>
  <c r="Y1824" i="39" s="1"/>
  <c r="V889" i="39"/>
  <c r="U1278" i="39"/>
  <c r="F1360" i="39"/>
  <c r="Y1360" i="39" s="1"/>
  <c r="V1359" i="39"/>
  <c r="C1425" i="39"/>
  <c r="U1425" i="39" s="1"/>
  <c r="F1797" i="39"/>
  <c r="V1796" i="39"/>
  <c r="U1540" i="39"/>
  <c r="U1819" i="39"/>
  <c r="F1821" i="39"/>
  <c r="C1820" i="39"/>
  <c r="U1820" i="39" s="1"/>
  <c r="F1843" i="39"/>
  <c r="X1042" i="39" l="1"/>
  <c r="X1428" i="39"/>
  <c r="X1429" i="39" s="1"/>
  <c r="X1430" i="39" s="1"/>
  <c r="X1612" i="39"/>
  <c r="Y1128" i="39"/>
  <c r="X1129" i="39"/>
  <c r="X1130" i="39" s="1"/>
  <c r="X370" i="39"/>
  <c r="Y369" i="39"/>
  <c r="Y1561" i="39"/>
  <c r="X1131" i="39"/>
  <c r="Y1170" i="39"/>
  <c r="Y1280" i="39"/>
  <c r="Y1821" i="39"/>
  <c r="X1822" i="39"/>
  <c r="X1823" i="39" s="1"/>
  <c r="X1824" i="39" s="1"/>
  <c r="Y1566" i="39"/>
  <c r="Y1447" i="39"/>
  <c r="Y472" i="39"/>
  <c r="Y1797" i="39"/>
  <c r="Y1660" i="39"/>
  <c r="Y1430" i="39"/>
  <c r="X1146" i="39"/>
  <c r="Y1429" i="39"/>
  <c r="Y1153" i="39"/>
  <c r="Y231" i="39"/>
  <c r="Y700" i="39"/>
  <c r="X701" i="39"/>
  <c r="Y891" i="39"/>
  <c r="Y603" i="39"/>
  <c r="Y1635" i="39"/>
  <c r="Y977" i="39"/>
  <c r="X978" i="39"/>
  <c r="X979" i="39" s="1"/>
  <c r="X980" i="39" s="1"/>
  <c r="Y1146" i="39"/>
  <c r="X1147" i="39"/>
  <c r="X1148" i="39" s="1"/>
  <c r="X1149" i="39" s="1"/>
  <c r="X1150" i="39" s="1"/>
  <c r="Y1776" i="39"/>
  <c r="Y572" i="39"/>
  <c r="F604" i="39"/>
  <c r="Y604" i="39" s="1"/>
  <c r="C1214" i="39"/>
  <c r="U1214" i="39" s="1"/>
  <c r="F1215" i="39"/>
  <c r="Y1215" i="39" s="1"/>
  <c r="V1214" i="39"/>
  <c r="F892" i="39"/>
  <c r="Y892" i="39" s="1"/>
  <c r="C700" i="39"/>
  <c r="U700" i="39" s="1"/>
  <c r="V700" i="39"/>
  <c r="F1171" i="39"/>
  <c r="Y1171" i="39" s="1"/>
  <c r="V1170" i="39"/>
  <c r="C1170" i="39"/>
  <c r="U1170" i="39" s="1"/>
  <c r="C1792" i="39"/>
  <c r="U1792" i="39" s="1"/>
  <c r="V1792" i="39"/>
  <c r="F1793" i="39"/>
  <c r="Y1793" i="39" s="1"/>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Y1704" i="39" s="1"/>
  <c r="F1650" i="39"/>
  <c r="Y1650" i="39" s="1"/>
  <c r="V1649" i="39"/>
  <c r="C1649" i="39"/>
  <c r="U1649" i="39" s="1"/>
  <c r="F1698" i="39"/>
  <c r="Y1698" i="39" s="1"/>
  <c r="F1699" i="39"/>
  <c r="V1697" i="39"/>
  <c r="C1697" i="39"/>
  <c r="U1697" i="39" s="1"/>
  <c r="C1549" i="39"/>
  <c r="U1549" i="39" s="1"/>
  <c r="F989" i="39"/>
  <c r="Y989" i="39" s="1"/>
  <c r="V988" i="39"/>
  <c r="C988" i="39"/>
  <c r="U988" i="39" s="1"/>
  <c r="F1551" i="39"/>
  <c r="Y1551" i="39" s="1"/>
  <c r="V1549" i="39"/>
  <c r="F1550" i="39"/>
  <c r="Y1550" i="39" s="1"/>
  <c r="V1547" i="39"/>
  <c r="C1547" i="39"/>
  <c r="U1547" i="39" s="1"/>
  <c r="F1670" i="39"/>
  <c r="V1388" i="39"/>
  <c r="F1389" i="39"/>
  <c r="Y1389" i="39" s="1"/>
  <c r="C1388" i="39"/>
  <c r="U1388" i="39" s="1"/>
  <c r="V572" i="39"/>
  <c r="F573" i="39"/>
  <c r="C572" i="39"/>
  <c r="U572" i="39" s="1"/>
  <c r="V231" i="39"/>
  <c r="C231" i="39"/>
  <c r="U231" i="39" s="1"/>
  <c r="F232" i="39"/>
  <c r="F1661" i="39"/>
  <c r="X1661" i="39" s="1"/>
  <c r="C1660" i="39"/>
  <c r="U1660" i="39" s="1"/>
  <c r="V1660" i="39"/>
  <c r="V1769" i="39"/>
  <c r="F1770" i="39"/>
  <c r="Y1770" i="39" s="1"/>
  <c r="C1769" i="39"/>
  <c r="U1769" i="39" s="1"/>
  <c r="V1674" i="39"/>
  <c r="F1675" i="39"/>
  <c r="Y1675" i="39" s="1"/>
  <c r="C1674" i="39"/>
  <c r="U1674" i="39" s="1"/>
  <c r="F1636" i="39"/>
  <c r="V1635" i="39"/>
  <c r="C1635" i="39"/>
  <c r="U1635" i="39" s="1"/>
  <c r="V1307" i="39"/>
  <c r="F1308" i="39"/>
  <c r="Y1308" i="39" s="1"/>
  <c r="C1307" i="39"/>
  <c r="U1307" i="39" s="1"/>
  <c r="V418" i="39"/>
  <c r="C418" i="39"/>
  <c r="U418" i="39" s="1"/>
  <c r="F419" i="39"/>
  <c r="Y419" i="39" s="1"/>
  <c r="V38" i="39"/>
  <c r="C38" i="39"/>
  <c r="U38" i="39" s="1"/>
  <c r="F39" i="39"/>
  <c r="Y39" i="39" s="1"/>
  <c r="V21" i="39"/>
  <c r="F22" i="39"/>
  <c r="Y22" i="39" s="1"/>
  <c r="C21" i="39"/>
  <c r="U21" i="39" s="1"/>
  <c r="V1454" i="39"/>
  <c r="F1455" i="39"/>
  <c r="Y1455" i="39" s="1"/>
  <c r="C1454" i="39"/>
  <c r="U1454" i="39" s="1"/>
  <c r="V1580" i="39"/>
  <c r="C1580" i="39"/>
  <c r="U1580" i="39" s="1"/>
  <c r="C203" i="39"/>
  <c r="U203" i="39" s="1"/>
  <c r="V203" i="39"/>
  <c r="F204" i="39"/>
  <c r="F1581" i="39"/>
  <c r="V735" i="39"/>
  <c r="C735" i="39"/>
  <c r="U735" i="39" s="1"/>
  <c r="F736" i="39"/>
  <c r="Y736" i="39" s="1"/>
  <c r="C772" i="39"/>
  <c r="F773" i="39"/>
  <c r="Y773" i="39" s="1"/>
  <c r="F1132" i="39"/>
  <c r="Y1132" i="39" s="1"/>
  <c r="C1131" i="39"/>
  <c r="U1131" i="39" s="1"/>
  <c r="V1146" i="39"/>
  <c r="C1397" i="39"/>
  <c r="U1397" i="39" s="1"/>
  <c r="F1367" i="39"/>
  <c r="Y1367" i="39" s="1"/>
  <c r="C1080" i="39"/>
  <c r="U1080" i="39" s="1"/>
  <c r="F875" i="39"/>
  <c r="Y875" i="39" s="1"/>
  <c r="V1366" i="39"/>
  <c r="V1080" i="39"/>
  <c r="F1081" i="39"/>
  <c r="Y1081" i="39" s="1"/>
  <c r="F804" i="39"/>
  <c r="Y804" i="39" s="1"/>
  <c r="V823" i="39"/>
  <c r="C1128" i="39"/>
  <c r="U1128" i="39" s="1"/>
  <c r="C1056" i="39"/>
  <c r="U1056" i="39" s="1"/>
  <c r="V1473" i="39"/>
  <c r="C1127" i="39"/>
  <c r="U1127" i="39" s="1"/>
  <c r="F824" i="39"/>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3" i="39"/>
  <c r="C803" i="39"/>
  <c r="U803" i="39" s="1"/>
  <c r="V1127" i="39"/>
  <c r="V1056" i="39"/>
  <c r="F1043" i="39"/>
  <c r="Y1043" i="39" s="1"/>
  <c r="C1042" i="39"/>
  <c r="U1042" i="39" s="1"/>
  <c r="V1042" i="39"/>
  <c r="C823" i="39"/>
  <c r="U823" i="39" s="1"/>
  <c r="F970" i="39"/>
  <c r="Y970" i="39" s="1"/>
  <c r="F1398" i="39"/>
  <c r="Y1398" i="39" s="1"/>
  <c r="V1128" i="39"/>
  <c r="C827" i="39"/>
  <c r="U827" i="39" s="1"/>
  <c r="F1267" i="39"/>
  <c r="Y1267" i="39" s="1"/>
  <c r="F1474" i="39"/>
  <c r="V969" i="39"/>
  <c r="C1473" i="39"/>
  <c r="U1473" i="39" s="1"/>
  <c r="C1266" i="39"/>
  <c r="U1266" i="39" s="1"/>
  <c r="V1266" i="39"/>
  <c r="F1449" i="39"/>
  <c r="Y1449" i="39" s="1"/>
  <c r="C1113" i="39"/>
  <c r="U1113" i="39" s="1"/>
  <c r="V1113" i="39"/>
  <c r="C1447" i="39"/>
  <c r="U1447" i="39" s="1"/>
  <c r="F1448" i="39"/>
  <c r="F1299" i="39"/>
  <c r="Y1299" i="39" s="1"/>
  <c r="V1447" i="39"/>
  <c r="V1298" i="39"/>
  <c r="C969" i="39"/>
  <c r="U969" i="39" s="1"/>
  <c r="V827" i="39"/>
  <c r="F1115" i="39"/>
  <c r="Y1115" i="39" s="1"/>
  <c r="V1566" i="39"/>
  <c r="F1567" i="39"/>
  <c r="C1566" i="39"/>
  <c r="U1566" i="39" s="1"/>
  <c r="C980" i="39"/>
  <c r="U980" i="39" s="1"/>
  <c r="F1814" i="39"/>
  <c r="Y1814" i="39" s="1"/>
  <c r="C1813" i="39"/>
  <c r="U1813" i="39" s="1"/>
  <c r="V1813" i="39"/>
  <c r="V980" i="39"/>
  <c r="F1431" i="39"/>
  <c r="V1428" i="39"/>
  <c r="C1428" i="39"/>
  <c r="U1428" i="39" s="1"/>
  <c r="C1280" i="39"/>
  <c r="U1280" i="39" s="1"/>
  <c r="V1280" i="39"/>
  <c r="F1281" i="39"/>
  <c r="Y1281" i="39" s="1"/>
  <c r="V1542" i="39"/>
  <c r="F1543" i="39"/>
  <c r="C1542" i="39"/>
  <c r="U1542" i="39" s="1"/>
  <c r="V1163" i="39"/>
  <c r="F1164" i="39"/>
  <c r="Y1164" i="39" s="1"/>
  <c r="C1163" i="39"/>
  <c r="U1163" i="39" s="1"/>
  <c r="V1430" i="39"/>
  <c r="C1430" i="39"/>
  <c r="U1430" i="39" s="1"/>
  <c r="F1202" i="39"/>
  <c r="C1201" i="39"/>
  <c r="U1201" i="39" s="1"/>
  <c r="V1201" i="39"/>
  <c r="V1843" i="39"/>
  <c r="F1844" i="39"/>
  <c r="C1843" i="39"/>
  <c r="U1843" i="39" s="1"/>
  <c r="V1612" i="39"/>
  <c r="F1613" i="39"/>
  <c r="Y1613" i="39" s="1"/>
  <c r="C1612" i="39"/>
  <c r="U1612" i="39" s="1"/>
  <c r="V1360" i="39"/>
  <c r="C1360" i="39"/>
  <c r="U1360" i="39" s="1"/>
  <c r="F1361" i="39"/>
  <c r="Y1361" i="39" s="1"/>
  <c r="C1561" i="39"/>
  <c r="U1561" i="39" s="1"/>
  <c r="F1562" i="39"/>
  <c r="V1561" i="39"/>
  <c r="C1479" i="39"/>
  <c r="U1479" i="39" s="1"/>
  <c r="F1480" i="39"/>
  <c r="Y1480" i="39" s="1"/>
  <c r="V1479" i="39"/>
  <c r="C977" i="39"/>
  <c r="U977" i="39" s="1"/>
  <c r="V977" i="39"/>
  <c r="V1188" i="39"/>
  <c r="C1188" i="39"/>
  <c r="U1188" i="39" s="1"/>
  <c r="F1189" i="39"/>
  <c r="Y1189" i="39" s="1"/>
  <c r="V1824" i="39"/>
  <c r="F1825" i="39"/>
  <c r="F1827" i="39"/>
  <c r="Y1827" i="39" s="1"/>
  <c r="F1834" i="39"/>
  <c r="F1829" i="39"/>
  <c r="Y1829" i="39" s="1"/>
  <c r="C1824" i="39"/>
  <c r="U1824" i="39" s="1"/>
  <c r="F1831" i="39"/>
  <c r="Y1831" i="39" s="1"/>
  <c r="F1826" i="39"/>
  <c r="Y1826" i="39" s="1"/>
  <c r="F1833" i="39"/>
  <c r="F1828" i="39"/>
  <c r="Y1828" i="39" s="1"/>
  <c r="F1832" i="39"/>
  <c r="Y1832" i="39" s="1"/>
  <c r="F1830" i="39"/>
  <c r="Y1830" i="39" s="1"/>
  <c r="V1821" i="39"/>
  <c r="C1821" i="39"/>
  <c r="U1821" i="39" s="1"/>
  <c r="F1341" i="39"/>
  <c r="Y1341" i="39" s="1"/>
  <c r="C1340" i="39"/>
  <c r="U1340" i="39" s="1"/>
  <c r="V1340" i="39"/>
  <c r="V1797" i="39"/>
  <c r="C1797" i="39"/>
  <c r="U1797" i="39" s="1"/>
  <c r="F1798" i="39"/>
  <c r="C936" i="39"/>
  <c r="U936" i="39" s="1"/>
  <c r="V936" i="39"/>
  <c r="F937" i="39"/>
  <c r="F1154" i="39"/>
  <c r="X1154" i="39" s="1"/>
  <c r="C1153" i="39"/>
  <c r="U1153" i="39" s="1"/>
  <c r="V1153" i="39"/>
  <c r="F1328" i="39"/>
  <c r="Y1328" i="39" s="1"/>
  <c r="V1327" i="39"/>
  <c r="C1327" i="39"/>
  <c r="U1327" i="39" s="1"/>
  <c r="X1431" i="39" l="1"/>
  <c r="X1825" i="39"/>
  <c r="X233" i="39"/>
  <c r="Y232" i="39"/>
  <c r="Y1474" i="39"/>
  <c r="Y573" i="39"/>
  <c r="Y1699" i="39"/>
  <c r="X1700" i="39"/>
  <c r="X1701" i="39" s="1"/>
  <c r="X1702" i="39" s="1"/>
  <c r="X1703" i="39" s="1"/>
  <c r="X1704" i="39" s="1"/>
  <c r="X1671" i="39"/>
  <c r="X1672" i="39" s="1"/>
  <c r="X1673" i="39" s="1"/>
  <c r="X1674" i="39" s="1"/>
  <c r="X1675" i="39" s="1"/>
  <c r="X1676" i="39" s="1"/>
  <c r="Y1670" i="39"/>
  <c r="Y1154" i="39"/>
  <c r="X1613" i="39"/>
  <c r="Y1581" i="39"/>
  <c r="Y1567" i="39"/>
  <c r="Y824" i="39"/>
  <c r="X825" i="39"/>
  <c r="X826" i="39" s="1"/>
  <c r="X827" i="39" s="1"/>
  <c r="X828" i="39" s="1"/>
  <c r="Y1798" i="39"/>
  <c r="Y1636" i="39"/>
  <c r="X981" i="39"/>
  <c r="X1826" i="39"/>
  <c r="Y1825" i="39"/>
  <c r="Y204" i="39"/>
  <c r="X1132" i="39"/>
  <c r="X1544" i="39"/>
  <c r="X1545" i="39" s="1"/>
  <c r="X1546" i="39" s="1"/>
  <c r="X1547" i="39" s="1"/>
  <c r="X1548" i="39" s="1"/>
  <c r="X1549" i="39" s="1"/>
  <c r="X1550" i="39" s="1"/>
  <c r="X1551" i="39" s="1"/>
  <c r="Y1543" i="39"/>
  <c r="Y1448" i="39"/>
  <c r="Y1661" i="39"/>
  <c r="Y1431" i="39"/>
  <c r="Y599" i="39"/>
  <c r="X600" i="39"/>
  <c r="X601" i="39" s="1"/>
  <c r="X602" i="39" s="1"/>
  <c r="X603" i="39" s="1"/>
  <c r="X604" i="39" s="1"/>
  <c r="X140" i="39"/>
  <c r="Y139" i="39"/>
  <c r="Y1777" i="39"/>
  <c r="Y937" i="39"/>
  <c r="Y1202" i="39"/>
  <c r="X1203" i="39"/>
  <c r="X1204" i="39" s="1"/>
  <c r="X1205" i="39" s="1"/>
  <c r="X1206" i="39" s="1"/>
  <c r="X1207" i="39" s="1"/>
  <c r="X1208" i="39" s="1"/>
  <c r="X1209" i="39" s="1"/>
  <c r="X1210" i="39" s="1"/>
  <c r="X1211" i="39" s="1"/>
  <c r="X1212" i="39" s="1"/>
  <c r="X1213" i="39" s="1"/>
  <c r="X1214" i="39" s="1"/>
  <c r="X1215" i="39" s="1"/>
  <c r="X1216" i="39" s="1"/>
  <c r="Y1562" i="39"/>
  <c r="Y432" i="39"/>
  <c r="X433" i="39"/>
  <c r="X434" i="39" s="1"/>
  <c r="X435" i="39" s="1"/>
  <c r="X436" i="39" s="1"/>
  <c r="X437" i="39" s="1"/>
  <c r="X438" i="39" s="1"/>
  <c r="X1043" i="39"/>
  <c r="V1215" i="39"/>
  <c r="F1216" i="39"/>
  <c r="Y1216" i="39" s="1"/>
  <c r="C1215" i="39"/>
  <c r="U1215" i="39" s="1"/>
  <c r="F605" i="39"/>
  <c r="Y605" i="39" s="1"/>
  <c r="F893" i="39"/>
  <c r="Y893" i="39" s="1"/>
  <c r="V115" i="39"/>
  <c r="F116" i="39"/>
  <c r="V1793" i="39"/>
  <c r="C1793" i="39"/>
  <c r="U1793" i="39" s="1"/>
  <c r="F1794" i="39"/>
  <c r="V1171" i="39"/>
  <c r="F1172" i="39"/>
  <c r="Y1172" i="39" s="1"/>
  <c r="C1171" i="39"/>
  <c r="U1171" i="39" s="1"/>
  <c r="V478" i="39"/>
  <c r="C478" i="39"/>
  <c r="U478" i="39" s="1"/>
  <c r="F479" i="39"/>
  <c r="Y479" i="39" s="1"/>
  <c r="F1016" i="39"/>
  <c r="Y1016"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C599" i="39"/>
  <c r="U599" i="39" s="1"/>
  <c r="V599" i="39"/>
  <c r="C1704" i="39"/>
  <c r="U1704" i="39" s="1"/>
  <c r="F1705" i="39"/>
  <c r="Y1705" i="39" s="1"/>
  <c r="V1704" i="39"/>
  <c r="C1699" i="39"/>
  <c r="U1699" i="39" s="1"/>
  <c r="V1650" i="39"/>
  <c r="C1650" i="39"/>
  <c r="U1650" i="39" s="1"/>
  <c r="C1698" i="39"/>
  <c r="U1698" i="39" s="1"/>
  <c r="V1698" i="39"/>
  <c r="F1651" i="39"/>
  <c r="V1699" i="39"/>
  <c r="F1552" i="39"/>
  <c r="Y1552" i="39" s="1"/>
  <c r="F990" i="39"/>
  <c r="Y990" i="39" s="1"/>
  <c r="V989" i="39"/>
  <c r="C989" i="39"/>
  <c r="U989" i="39" s="1"/>
  <c r="V1550" i="39"/>
  <c r="C1551" i="39"/>
  <c r="U1551" i="39" s="1"/>
  <c r="C1670" i="39"/>
  <c r="U1670" i="39" s="1"/>
  <c r="V1551" i="39"/>
  <c r="C1550" i="39"/>
  <c r="U1550" i="39" s="1"/>
  <c r="V1670" i="39"/>
  <c r="V1389" i="39"/>
  <c r="F1390" i="39"/>
  <c r="Y1390" i="39" s="1"/>
  <c r="C1389" i="39"/>
  <c r="U1389" i="39" s="1"/>
  <c r="C573" i="39"/>
  <c r="U573" i="39" s="1"/>
  <c r="V573" i="39"/>
  <c r="F574" i="39"/>
  <c r="Y574" i="39" s="1"/>
  <c r="C232" i="39"/>
  <c r="U232" i="39" s="1"/>
  <c r="V232" i="39"/>
  <c r="F1662" i="39"/>
  <c r="X1662" i="39" s="1"/>
  <c r="V1661" i="39"/>
  <c r="C1661" i="39"/>
  <c r="U1661" i="39" s="1"/>
  <c r="V1770" i="39"/>
  <c r="F1771" i="39"/>
  <c r="Y1771" i="39" s="1"/>
  <c r="C1770" i="39"/>
  <c r="U1770" i="39" s="1"/>
  <c r="V1675" i="39"/>
  <c r="F1676" i="39"/>
  <c r="Y1676" i="39" s="1"/>
  <c r="C1675" i="39"/>
  <c r="U1675" i="39" s="1"/>
  <c r="V1636" i="39"/>
  <c r="F1637" i="39"/>
  <c r="Y1637" i="39" s="1"/>
  <c r="C1636" i="39"/>
  <c r="U1636" i="39" s="1"/>
  <c r="F1309" i="39"/>
  <c r="V1308" i="39"/>
  <c r="C1308" i="39"/>
  <c r="U1308" i="39" s="1"/>
  <c r="C419" i="39"/>
  <c r="U419" i="39" s="1"/>
  <c r="V419" i="39"/>
  <c r="F420" i="39"/>
  <c r="Y420" i="39" s="1"/>
  <c r="C39" i="39"/>
  <c r="U39" i="39" s="1"/>
  <c r="V39" i="39"/>
  <c r="F40" i="39"/>
  <c r="Y40" i="39" s="1"/>
  <c r="F23" i="39"/>
  <c r="Y23" i="39" s="1"/>
  <c r="C22" i="39"/>
  <c r="U22" i="39" s="1"/>
  <c r="V22" i="39"/>
  <c r="V1455" i="39"/>
  <c r="F1456" i="39"/>
  <c r="C1455" i="39"/>
  <c r="U1455" i="39" s="1"/>
  <c r="C1581" i="39"/>
  <c r="U1581" i="39" s="1"/>
  <c r="C204" i="39"/>
  <c r="U204" i="39" s="1"/>
  <c r="V204" i="39"/>
  <c r="F205" i="39"/>
  <c r="F1582" i="39"/>
  <c r="V1581" i="39"/>
  <c r="C1015" i="39"/>
  <c r="U1015" i="39" s="1"/>
  <c r="V1015" i="39"/>
  <c r="F737" i="39"/>
  <c r="Y737" i="39" s="1"/>
  <c r="V736" i="39"/>
  <c r="C736" i="39"/>
  <c r="U736" i="39" s="1"/>
  <c r="C773" i="39"/>
  <c r="U773" i="39" s="1"/>
  <c r="V773" i="39"/>
  <c r="F774" i="39"/>
  <c r="V1132" i="39"/>
  <c r="C1132" i="39"/>
  <c r="U1132" i="39" s="1"/>
  <c r="F1133" i="39"/>
  <c r="Y1133" i="39" s="1"/>
  <c r="F1082" i="39"/>
  <c r="Y1082" i="39" s="1"/>
  <c r="C1081" i="39"/>
  <c r="U1081" i="39" s="1"/>
  <c r="F876" i="39"/>
  <c r="Y876" i="39" s="1"/>
  <c r="V875" i="39"/>
  <c r="V1081" i="39"/>
  <c r="C875" i="39"/>
  <c r="U875" i="39" s="1"/>
  <c r="C804" i="39"/>
  <c r="U804" i="39" s="1"/>
  <c r="C891" i="39"/>
  <c r="U891" i="39" s="1"/>
  <c r="V891" i="39"/>
  <c r="F1368" i="39"/>
  <c r="F805" i="39"/>
  <c r="Y805" i="39" s="1"/>
  <c r="V1114" i="39"/>
  <c r="V824" i="39"/>
  <c r="V1367" i="39"/>
  <c r="C1367" i="39"/>
  <c r="U1367" i="39" s="1"/>
  <c r="F1116" i="39"/>
  <c r="Y1116" i="39" s="1"/>
  <c r="C824" i="39"/>
  <c r="U824" i="39" s="1"/>
  <c r="V1057" i="39"/>
  <c r="F1058" i="39"/>
  <c r="Y1058" i="39" s="1"/>
  <c r="C1057" i="39"/>
  <c r="U1057" i="39" s="1"/>
  <c r="F1300" i="39"/>
  <c r="Y1300" i="39" s="1"/>
  <c r="F1450" i="39"/>
  <c r="F829" i="39"/>
  <c r="Y829" i="39" s="1"/>
  <c r="F1044" i="39"/>
  <c r="V804"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Y1399" i="39" s="1"/>
  <c r="V1398" i="39"/>
  <c r="C1398" i="39"/>
  <c r="U1398" i="39" s="1"/>
  <c r="V970" i="39"/>
  <c r="V1474" i="39"/>
  <c r="F1475" i="39"/>
  <c r="V1267" i="39"/>
  <c r="C1449" i="39"/>
  <c r="U1449" i="39" s="1"/>
  <c r="F1268" i="39"/>
  <c r="Y1268" i="39" s="1"/>
  <c r="V1449" i="39"/>
  <c r="C1115" i="39"/>
  <c r="U1115" i="39" s="1"/>
  <c r="F1117" i="39"/>
  <c r="Y1117" i="39" s="1"/>
  <c r="C1299" i="39"/>
  <c r="U1299" i="39" s="1"/>
  <c r="V1299" i="39"/>
  <c r="C1814" i="39"/>
  <c r="U1814" i="39" s="1"/>
  <c r="F1815" i="39"/>
  <c r="V1814" i="39"/>
  <c r="C1567" i="39"/>
  <c r="U1567" i="39" s="1"/>
  <c r="F1568" i="39"/>
  <c r="Y1568" i="39" s="1"/>
  <c r="V1567" i="39"/>
  <c r="V1829" i="39"/>
  <c r="C1829" i="39"/>
  <c r="U1829" i="39" s="1"/>
  <c r="V1834" i="39"/>
  <c r="C1834" i="39"/>
  <c r="U1834" i="39" s="1"/>
  <c r="V1844" i="39"/>
  <c r="C1844" i="39"/>
  <c r="U1844" i="39" s="1"/>
  <c r="F1845" i="39"/>
  <c r="C1164" i="39"/>
  <c r="U1164" i="39" s="1"/>
  <c r="F1165" i="39"/>
  <c r="Y1165" i="39" s="1"/>
  <c r="V1164" i="39"/>
  <c r="C1431" i="39"/>
  <c r="U1431" i="39" s="1"/>
  <c r="F1436" i="39"/>
  <c r="V1431" i="39"/>
  <c r="F1437" i="39"/>
  <c r="F1432" i="39"/>
  <c r="Y1432" i="39" s="1"/>
  <c r="F938" i="39"/>
  <c r="Y938" i="39" s="1"/>
  <c r="C937" i="39"/>
  <c r="U937" i="39" s="1"/>
  <c r="V937" i="39"/>
  <c r="V1827" i="39"/>
  <c r="C1827" i="39"/>
  <c r="U1827" i="39" s="1"/>
  <c r="F1799" i="39"/>
  <c r="Y1799" i="39" s="1"/>
  <c r="C1798" i="39"/>
  <c r="U1798" i="39" s="1"/>
  <c r="V1798" i="39"/>
  <c r="C1543" i="39"/>
  <c r="U1543" i="39" s="1"/>
  <c r="V1543" i="39"/>
  <c r="C1281" i="39"/>
  <c r="U1281" i="39" s="1"/>
  <c r="F1282" i="39"/>
  <c r="V1281" i="39"/>
  <c r="F1190" i="39"/>
  <c r="Y1190" i="39" s="1"/>
  <c r="V1189" i="39"/>
  <c r="C1189" i="39"/>
  <c r="U1189" i="39" s="1"/>
  <c r="C1341" i="39"/>
  <c r="U1341" i="39" s="1"/>
  <c r="F1342" i="39"/>
  <c r="Y1342" i="39" s="1"/>
  <c r="V1341" i="39"/>
  <c r="V1831" i="39"/>
  <c r="C1831" i="39"/>
  <c r="U1831" i="39" s="1"/>
  <c r="C1833" i="39"/>
  <c r="U1833" i="39" s="1"/>
  <c r="V1833" i="39"/>
  <c r="V1154" i="39"/>
  <c r="C1154" i="39"/>
  <c r="U1154" i="39" s="1"/>
  <c r="F1155" i="39"/>
  <c r="X1155" i="39" s="1"/>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Y1614" i="39" s="1"/>
  <c r="V1613" i="39"/>
  <c r="C1613" i="39"/>
  <c r="U1613" i="39" s="1"/>
  <c r="C1328" i="39"/>
  <c r="U1328" i="39" s="1"/>
  <c r="V1328" i="39"/>
  <c r="F1329" i="39"/>
  <c r="Y1329" i="39" s="1"/>
  <c r="F1362" i="39"/>
  <c r="Y1362" i="39" s="1"/>
  <c r="C1361" i="39"/>
  <c r="U1361" i="39" s="1"/>
  <c r="V1361" i="39"/>
  <c r="V1828" i="39"/>
  <c r="C1828" i="39"/>
  <c r="U1828" i="39" s="1"/>
  <c r="F1563" i="39"/>
  <c r="V1562" i="39"/>
  <c r="C1562" i="39"/>
  <c r="U1562" i="39" s="1"/>
  <c r="X1705" i="39" l="1"/>
  <c r="X1432" i="39"/>
  <c r="Y1456" i="39"/>
  <c r="Y1475" i="39"/>
  <c r="Y1044" i="39"/>
  <c r="X74" i="39"/>
  <c r="Y73" i="39"/>
  <c r="X1044" i="39"/>
  <c r="X1552" i="39"/>
  <c r="Y1778" i="39"/>
  <c r="X1677" i="39"/>
  <c r="Y1436" i="39"/>
  <c r="X1217" i="39"/>
  <c r="X1614" i="39"/>
  <c r="X1663" i="39"/>
  <c r="Y1662" i="39"/>
  <c r="Y438" i="39"/>
  <c r="X982" i="39"/>
  <c r="Y1481" i="39"/>
  <c r="Y774" i="39"/>
  <c r="X1652" i="39"/>
  <c r="X1653" i="39" s="1"/>
  <c r="X1654" i="39" s="1"/>
  <c r="Y1651" i="39"/>
  <c r="X1133" i="39"/>
  <c r="Y1368" i="39"/>
  <c r="Y1582" i="39"/>
  <c r="X1564" i="39"/>
  <c r="X1565" i="39" s="1"/>
  <c r="X1566" i="39" s="1"/>
  <c r="X1567" i="39" s="1"/>
  <c r="X1568" i="39" s="1"/>
  <c r="Y1563" i="39"/>
  <c r="Y1309" i="39"/>
  <c r="Y205" i="39"/>
  <c r="X117" i="39"/>
  <c r="Y116" i="39"/>
  <c r="X829" i="39"/>
  <c r="Y1282" i="39"/>
  <c r="X1156" i="39"/>
  <c r="Y1155" i="39"/>
  <c r="Y1815" i="39"/>
  <c r="X1795" i="39"/>
  <c r="X1796" i="39" s="1"/>
  <c r="X1797" i="39" s="1"/>
  <c r="X1798" i="39" s="1"/>
  <c r="X1799" i="39" s="1"/>
  <c r="X1800" i="39" s="1"/>
  <c r="Y1794" i="39"/>
  <c r="Y1437" i="39"/>
  <c r="X605" i="39"/>
  <c r="X1451" i="39"/>
  <c r="X1452" i="39" s="1"/>
  <c r="X1453" i="39" s="1"/>
  <c r="X1454" i="39" s="1"/>
  <c r="X1455" i="39" s="1"/>
  <c r="X1456" i="39" s="1"/>
  <c r="Y1450" i="39"/>
  <c r="F606" i="39"/>
  <c r="Y606" i="39" s="1"/>
  <c r="F1217" i="39"/>
  <c r="Y1217" i="39" s="1"/>
  <c r="V1216" i="39"/>
  <c r="C1216" i="39"/>
  <c r="U1216" i="39" s="1"/>
  <c r="V116" i="39"/>
  <c r="F894" i="39"/>
  <c r="Y894" i="39" s="1"/>
  <c r="C116" i="39"/>
  <c r="U116" i="39" s="1"/>
  <c r="C1794" i="39"/>
  <c r="U1794" i="39" s="1"/>
  <c r="V1794" i="39"/>
  <c r="V1172" i="39"/>
  <c r="C1172" i="39"/>
  <c r="U1172" i="39" s="1"/>
  <c r="F1173" i="39"/>
  <c r="Y1173" i="39" s="1"/>
  <c r="F1779" i="39"/>
  <c r="Y1779" i="39" s="1"/>
  <c r="V479" i="39"/>
  <c r="C479" i="39"/>
  <c r="U479" i="39" s="1"/>
  <c r="F480" i="39"/>
  <c r="Y480" i="39" s="1"/>
  <c r="V1778" i="39"/>
  <c r="F1017" i="39"/>
  <c r="Y1017" i="39" s="1"/>
  <c r="V73" i="39"/>
  <c r="C1778" i="39"/>
  <c r="U1778" i="39" s="1"/>
  <c r="C73" i="39"/>
  <c r="U73" i="39" s="1"/>
  <c r="C474" i="39"/>
  <c r="U474" i="39" s="1"/>
  <c r="F475" i="39"/>
  <c r="Y475" i="39" s="1"/>
  <c r="V474" i="39"/>
  <c r="F439" i="39"/>
  <c r="C438" i="39"/>
  <c r="U438" i="39" s="1"/>
  <c r="V438" i="39"/>
  <c r="C1705" i="39"/>
  <c r="U1705" i="39" s="1"/>
  <c r="V1705" i="39"/>
  <c r="F1706" i="39"/>
  <c r="Y1706" i="39" s="1"/>
  <c r="V1651" i="39"/>
  <c r="V1552" i="39"/>
  <c r="C1552" i="39"/>
  <c r="U1552" i="39" s="1"/>
  <c r="C1651" i="39"/>
  <c r="U1651" i="39" s="1"/>
  <c r="F1553" i="39"/>
  <c r="Y1553" i="39" s="1"/>
  <c r="C990" i="39"/>
  <c r="U990" i="39" s="1"/>
  <c r="V990" i="39"/>
  <c r="F991" i="39"/>
  <c r="Y991" i="39" s="1"/>
  <c r="V1390" i="39"/>
  <c r="F1391" i="39"/>
  <c r="Y1391" i="39" s="1"/>
  <c r="C1390" i="39"/>
  <c r="U1390" i="39" s="1"/>
  <c r="F575" i="39"/>
  <c r="C574" i="39"/>
  <c r="U574" i="39" s="1"/>
  <c r="V574" i="39"/>
  <c r="F1663" i="39"/>
  <c r="C1662" i="39"/>
  <c r="U1662" i="39" s="1"/>
  <c r="V1662" i="39"/>
  <c r="V1771" i="39"/>
  <c r="F1772" i="39"/>
  <c r="C1771" i="39"/>
  <c r="U1771" i="39" s="1"/>
  <c r="V1676" i="39"/>
  <c r="F1677" i="39"/>
  <c r="Y1677" i="39" s="1"/>
  <c r="C1676" i="39"/>
  <c r="U1676" i="39" s="1"/>
  <c r="C1637" i="39"/>
  <c r="U1637" i="39" s="1"/>
  <c r="F1638" i="39"/>
  <c r="Y1638" i="39" s="1"/>
  <c r="V1637" i="39"/>
  <c r="F1310" i="39"/>
  <c r="Y1310" i="39" s="1"/>
  <c r="C1309" i="39"/>
  <c r="U1309" i="39" s="1"/>
  <c r="V1309" i="39"/>
  <c r="V420" i="39"/>
  <c r="C420" i="39"/>
  <c r="U420" i="39" s="1"/>
  <c r="F421" i="39"/>
  <c r="Y421" i="39" s="1"/>
  <c r="C40" i="39"/>
  <c r="U40" i="39" s="1"/>
  <c r="V40" i="39"/>
  <c r="F41" i="39"/>
  <c r="Y41" i="39" s="1"/>
  <c r="V23" i="39"/>
  <c r="C23" i="39"/>
  <c r="U23" i="39" s="1"/>
  <c r="F24" i="39"/>
  <c r="Y24" i="39" s="1"/>
  <c r="F1457" i="39"/>
  <c r="Y1457" i="39" s="1"/>
  <c r="C1456" i="39"/>
  <c r="U1456" i="39" s="1"/>
  <c r="V1456" i="39"/>
  <c r="C1582" i="39"/>
  <c r="U1582" i="39" s="1"/>
  <c r="F206" i="39"/>
  <c r="Y206" i="39" s="1"/>
  <c r="C205" i="39"/>
  <c r="U205" i="39" s="1"/>
  <c r="V205" i="39"/>
  <c r="V1582" i="39"/>
  <c r="F1583" i="39"/>
  <c r="V1016" i="39"/>
  <c r="C1016" i="39"/>
  <c r="U1016" i="39" s="1"/>
  <c r="C737" i="39"/>
  <c r="U737" i="39" s="1"/>
  <c r="F738" i="39"/>
  <c r="Y738" i="39" s="1"/>
  <c r="V737" i="39"/>
  <c r="F775" i="39"/>
  <c r="Y775" i="39" s="1"/>
  <c r="C774" i="39"/>
  <c r="U774" i="39" s="1"/>
  <c r="V774"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5" i="39"/>
  <c r="F806" i="39"/>
  <c r="Y806" i="39" s="1"/>
  <c r="C805" i="39"/>
  <c r="U805" i="39" s="1"/>
  <c r="V1368" i="39"/>
  <c r="F1369" i="39"/>
  <c r="Y1369" i="39" s="1"/>
  <c r="C1058" i="39"/>
  <c r="U1058" i="39" s="1"/>
  <c r="F1301" i="39"/>
  <c r="Y1301" i="39" s="1"/>
  <c r="C1300" i="39"/>
  <c r="U1300" i="39" s="1"/>
  <c r="V1300" i="39"/>
  <c r="V1058" i="39"/>
  <c r="F1059" i="39"/>
  <c r="Y1059" i="39" s="1"/>
  <c r="C1450" i="39"/>
  <c r="U1450" i="39" s="1"/>
  <c r="C829" i="39"/>
  <c r="U829" i="39" s="1"/>
  <c r="V829" i="39"/>
  <c r="F830" i="39"/>
  <c r="Y830" i="39" s="1"/>
  <c r="F1045" i="39"/>
  <c r="V1044" i="39"/>
  <c r="C1044" i="39"/>
  <c r="U1044" i="39" s="1"/>
  <c r="F1119" i="39"/>
  <c r="Y1119" i="39" s="1"/>
  <c r="V1450" i="39"/>
  <c r="V971" i="39"/>
  <c r="C982" i="39"/>
  <c r="U982" i="39" s="1"/>
  <c r="V982" i="39"/>
  <c r="F983" i="39"/>
  <c r="V1117" i="39"/>
  <c r="C1117" i="39"/>
  <c r="U1117" i="39" s="1"/>
  <c r="C1475" i="39"/>
  <c r="U1475" i="39" s="1"/>
  <c r="F1476" i="39"/>
  <c r="V1475" i="39"/>
  <c r="F972" i="39"/>
  <c r="Y972" i="39" s="1"/>
  <c r="C971" i="39"/>
  <c r="U971" i="39" s="1"/>
  <c r="F1400" i="39"/>
  <c r="Y1400" i="39" s="1"/>
  <c r="V1399" i="39"/>
  <c r="C1399" i="39"/>
  <c r="U1399" i="39" s="1"/>
  <c r="F1269" i="39"/>
  <c r="Y1269" i="39" s="1"/>
  <c r="C1268" i="39"/>
  <c r="U1268" i="39" s="1"/>
  <c r="V1268" i="39"/>
  <c r="V1568" i="39"/>
  <c r="F1569" i="39"/>
  <c r="C1568" i="39"/>
  <c r="U1568" i="39" s="1"/>
  <c r="F1816" i="39"/>
  <c r="Y1816" i="39" s="1"/>
  <c r="C1815" i="39"/>
  <c r="U1815" i="39" s="1"/>
  <c r="V1815" i="39"/>
  <c r="C1437" i="39"/>
  <c r="U1437" i="39" s="1"/>
  <c r="V1437" i="39"/>
  <c r="F1283" i="39"/>
  <c r="Y1283" i="39" s="1"/>
  <c r="V1282" i="39"/>
  <c r="C1282" i="39"/>
  <c r="U1282" i="39" s="1"/>
  <c r="F1343" i="39"/>
  <c r="Y1343" i="39" s="1"/>
  <c r="V1342" i="39"/>
  <c r="C1342" i="39"/>
  <c r="U1342" i="39" s="1"/>
  <c r="V1165" i="39"/>
  <c r="F1166" i="39"/>
  <c r="C1165" i="39"/>
  <c r="U1165" i="39" s="1"/>
  <c r="V1155" i="39"/>
  <c r="C1155" i="39"/>
  <c r="U1155" i="39" s="1"/>
  <c r="F1156" i="39"/>
  <c r="Y1156" i="39" s="1"/>
  <c r="V1799" i="39"/>
  <c r="C1799" i="39"/>
  <c r="U1799" i="39" s="1"/>
  <c r="F1800" i="39"/>
  <c r="Y1800" i="39" s="1"/>
  <c r="V938" i="39"/>
  <c r="C938" i="39"/>
  <c r="U938" i="39" s="1"/>
  <c r="F939" i="39"/>
  <c r="Y939" i="39" s="1"/>
  <c r="F1435" i="39"/>
  <c r="Y1435" i="39" s="1"/>
  <c r="V1432" i="39"/>
  <c r="F1438" i="39"/>
  <c r="F1433" i="39"/>
  <c r="Y1433" i="39" s="1"/>
  <c r="C1432" i="39"/>
  <c r="U1432" i="39" s="1"/>
  <c r="C1845" i="39"/>
  <c r="U1845" i="39" s="1"/>
  <c r="F1846" i="39"/>
  <c r="V1845" i="39"/>
  <c r="V1362" i="39"/>
  <c r="C1362" i="39"/>
  <c r="U1362" i="39" s="1"/>
  <c r="F1363" i="39"/>
  <c r="C1835" i="39"/>
  <c r="U1835" i="39" s="1"/>
  <c r="V1835" i="39"/>
  <c r="C1436" i="39"/>
  <c r="U1436" i="39" s="1"/>
  <c r="V1436" i="39"/>
  <c r="C1563" i="39"/>
  <c r="U1563" i="39" s="1"/>
  <c r="V1563" i="39"/>
  <c r="C1481" i="39"/>
  <c r="U1481" i="39" s="1"/>
  <c r="F1482" i="39"/>
  <c r="Y1482" i="39" s="1"/>
  <c r="F1483" i="39"/>
  <c r="V1481" i="39"/>
  <c r="F1330" i="39"/>
  <c r="Y1330" i="39" s="1"/>
  <c r="V1329" i="39"/>
  <c r="C1329" i="39"/>
  <c r="U1329" i="39" s="1"/>
  <c r="V1190" i="39"/>
  <c r="C1190" i="39"/>
  <c r="U1190" i="39" s="1"/>
  <c r="F1191" i="39"/>
  <c r="Y1191" i="39" s="1"/>
  <c r="C1614" i="39"/>
  <c r="U1614" i="39" s="1"/>
  <c r="F1615" i="39"/>
  <c r="Y1615" i="39" s="1"/>
  <c r="V1614" i="39"/>
  <c r="X1706" i="39" l="1"/>
  <c r="X606" i="39"/>
  <c r="V1838" i="39"/>
  <c r="C1838" i="39"/>
  <c r="U1838" i="39" s="1"/>
  <c r="X1615" i="39"/>
  <c r="X1569" i="39"/>
  <c r="X1045" i="39"/>
  <c r="Y983" i="39"/>
  <c r="Y1166" i="39"/>
  <c r="X1167" i="39"/>
  <c r="X1168" i="39" s="1"/>
  <c r="X1169" i="39" s="1"/>
  <c r="X1170" i="39" s="1"/>
  <c r="X1171" i="39" s="1"/>
  <c r="X1172" i="39" s="1"/>
  <c r="X1173" i="39" s="1"/>
  <c r="Y1583" i="39"/>
  <c r="X1553" i="39"/>
  <c r="X1134" i="39"/>
  <c r="Y1483" i="39"/>
  <c r="X1570" i="39"/>
  <c r="Y1569" i="39"/>
  <c r="Y1772" i="39"/>
  <c r="X1773" i="39"/>
  <c r="X1774" i="39" s="1"/>
  <c r="X1775" i="39" s="1"/>
  <c r="X1776" i="39" s="1"/>
  <c r="X1777" i="39" s="1"/>
  <c r="X1778" i="39" s="1"/>
  <c r="X1779" i="39" s="1"/>
  <c r="X830" i="39"/>
  <c r="X1433" i="39"/>
  <c r="Y1476" i="39"/>
  <c r="X1477" i="39"/>
  <c r="X1478" i="39" s="1"/>
  <c r="X1479" i="39" s="1"/>
  <c r="X1480" i="39" s="1"/>
  <c r="X1481" i="39" s="1"/>
  <c r="X1482" i="39" s="1"/>
  <c r="X1483" i="39" s="1"/>
  <c r="Y1045" i="39"/>
  <c r="Y439" i="39"/>
  <c r="Y1438" i="39"/>
  <c r="Y1663" i="39"/>
  <c r="X439" i="39"/>
  <c r="Y1363" i="39"/>
  <c r="X1364" i="39"/>
  <c r="X1365" i="39" s="1"/>
  <c r="X1366" i="39" s="1"/>
  <c r="X1367" i="39" s="1"/>
  <c r="X1368" i="39" s="1"/>
  <c r="X1369" i="39" s="1"/>
  <c r="X1370" i="39" s="1"/>
  <c r="X576" i="39"/>
  <c r="Y575" i="39"/>
  <c r="X983" i="39"/>
  <c r="X1457" i="39"/>
  <c r="F607" i="39"/>
  <c r="Y607" i="39" s="1"/>
  <c r="C1217" i="39"/>
  <c r="U1217" i="39" s="1"/>
  <c r="V1217" i="39"/>
  <c r="F1218" i="39"/>
  <c r="Y1218" i="39" s="1"/>
  <c r="F895" i="39"/>
  <c r="F1780" i="39"/>
  <c r="Y1780" i="39" s="1"/>
  <c r="C1779" i="39"/>
  <c r="U1779" i="39" s="1"/>
  <c r="V1779" i="39"/>
  <c r="C1173" i="39"/>
  <c r="U1173" i="39" s="1"/>
  <c r="V1173" i="39"/>
  <c r="F1174" i="39"/>
  <c r="Y1174" i="39" s="1"/>
  <c r="F483" i="39"/>
  <c r="Y483" i="39" s="1"/>
  <c r="F482" i="39"/>
  <c r="V480" i="39"/>
  <c r="C480" i="39"/>
  <c r="U480" i="39" s="1"/>
  <c r="F481" i="39"/>
  <c r="Y481" i="39" s="1"/>
  <c r="F477" i="39"/>
  <c r="Y477" i="39" s="1"/>
  <c r="F1018" i="39"/>
  <c r="Y1018" i="39" s="1"/>
  <c r="V475" i="39"/>
  <c r="C475" i="39"/>
  <c r="U475" i="39" s="1"/>
  <c r="F476" i="39"/>
  <c r="Y476" i="39" s="1"/>
  <c r="V439" i="39"/>
  <c r="F440" i="39"/>
  <c r="C439" i="39"/>
  <c r="U439" i="39" s="1"/>
  <c r="F1707" i="39"/>
  <c r="Y1707" i="39" s="1"/>
  <c r="V1706" i="39"/>
  <c r="C1706" i="39"/>
  <c r="U1706" i="39" s="1"/>
  <c r="C1553" i="39"/>
  <c r="U1553" i="39" s="1"/>
  <c r="F1555" i="39"/>
  <c r="Y1555" i="39" s="1"/>
  <c r="F1554" i="39"/>
  <c r="Y1554" i="39" s="1"/>
  <c r="V1553" i="39"/>
  <c r="C991" i="39"/>
  <c r="U991" i="39" s="1"/>
  <c r="V991" i="39"/>
  <c r="F992" i="39"/>
  <c r="Y992" i="39" s="1"/>
  <c r="V1391" i="39"/>
  <c r="F1392" i="39"/>
  <c r="Y1392" i="39" s="1"/>
  <c r="C1391" i="39"/>
  <c r="U1391" i="39" s="1"/>
  <c r="C575" i="39"/>
  <c r="U575" i="39" s="1"/>
  <c r="V575" i="39"/>
  <c r="C1663" i="39"/>
  <c r="U1663" i="39" s="1"/>
  <c r="V1663" i="39"/>
  <c r="F1664" i="39"/>
  <c r="Y1664" i="39" s="1"/>
  <c r="V1772" i="39"/>
  <c r="C1772" i="39"/>
  <c r="U1772" i="39" s="1"/>
  <c r="V1677" i="39"/>
  <c r="F1678" i="39"/>
  <c r="Y1678" i="39" s="1"/>
  <c r="C1677" i="39"/>
  <c r="U1677" i="39" s="1"/>
  <c r="V1638" i="39"/>
  <c r="F1639" i="39"/>
  <c r="Y1639" i="39" s="1"/>
  <c r="C1638" i="39"/>
  <c r="U1638" i="39" s="1"/>
  <c r="F1311" i="39"/>
  <c r="Y1311" i="39" s="1"/>
  <c r="V1310" i="39"/>
  <c r="C1310" i="39"/>
  <c r="U1310" i="39" s="1"/>
  <c r="F422" i="39"/>
  <c r="Y422" i="39" s="1"/>
  <c r="V421" i="39"/>
  <c r="C421" i="39"/>
  <c r="U421" i="39" s="1"/>
  <c r="C41" i="39"/>
  <c r="U41" i="39" s="1"/>
  <c r="F42" i="39"/>
  <c r="Y42" i="39" s="1"/>
  <c r="V41" i="39"/>
  <c r="C24" i="39"/>
  <c r="U24" i="39" s="1"/>
  <c r="V24" i="39"/>
  <c r="F25" i="39"/>
  <c r="Y25" i="39" s="1"/>
  <c r="V1457" i="39"/>
  <c r="C1457" i="39"/>
  <c r="U1457" i="39" s="1"/>
  <c r="F1458" i="39"/>
  <c r="C206" i="39"/>
  <c r="U206" i="39" s="1"/>
  <c r="F207" i="39"/>
  <c r="V206" i="39"/>
  <c r="F1584" i="39"/>
  <c r="V1583" i="39"/>
  <c r="C1583" i="39"/>
  <c r="U1583" i="39" s="1"/>
  <c r="V1017" i="39"/>
  <c r="C1017" i="39"/>
  <c r="U1017" i="39" s="1"/>
  <c r="F739" i="39"/>
  <c r="Y739" i="39" s="1"/>
  <c r="C738" i="39"/>
  <c r="U738" i="39" s="1"/>
  <c r="V738" i="39"/>
  <c r="C1134" i="39"/>
  <c r="U1134" i="39" s="1"/>
  <c r="F1135" i="39"/>
  <c r="Y1135" i="39" s="1"/>
  <c r="V1134" i="39"/>
  <c r="C1118" i="39"/>
  <c r="U1118" i="39" s="1"/>
  <c r="V1118" i="39"/>
  <c r="F1120" i="39"/>
  <c r="C775" i="39"/>
  <c r="U775" i="39" s="1"/>
  <c r="F776" i="39"/>
  <c r="V775" i="39"/>
  <c r="V1083" i="39"/>
  <c r="C1083" i="39"/>
  <c r="U1083" i="39" s="1"/>
  <c r="F1084" i="39"/>
  <c r="Y1084" i="39" s="1"/>
  <c r="V893" i="39"/>
  <c r="C893" i="39"/>
  <c r="U893" i="39" s="1"/>
  <c r="V806" i="39"/>
  <c r="F878" i="39"/>
  <c r="C877" i="39"/>
  <c r="U877" i="39" s="1"/>
  <c r="V877" i="39"/>
  <c r="V1301" i="39"/>
  <c r="C1301" i="39"/>
  <c r="U1301" i="39" s="1"/>
  <c r="V1369" i="39"/>
  <c r="C1369" i="39"/>
  <c r="U1369" i="39" s="1"/>
  <c r="F1370" i="39"/>
  <c r="Y1370" i="39" s="1"/>
  <c r="F807" i="39"/>
  <c r="Y807" i="39" s="1"/>
  <c r="C806" i="39"/>
  <c r="U806" i="39" s="1"/>
  <c r="F1302" i="39"/>
  <c r="Y1302" i="39" s="1"/>
  <c r="C1059" i="39"/>
  <c r="U1059" i="39" s="1"/>
  <c r="F1060" i="39"/>
  <c r="Y1060" i="39" s="1"/>
  <c r="V1059" i="39"/>
  <c r="F831" i="39"/>
  <c r="C830" i="39"/>
  <c r="U830" i="39" s="1"/>
  <c r="V830" i="39"/>
  <c r="V1045" i="39"/>
  <c r="C1045" i="39"/>
  <c r="U1045" i="39" s="1"/>
  <c r="F1046" i="39"/>
  <c r="Y1046" i="39" s="1"/>
  <c r="F984" i="39"/>
  <c r="C983" i="39"/>
  <c r="U983" i="39" s="1"/>
  <c r="V983" i="39"/>
  <c r="F1121" i="39"/>
  <c r="C1269" i="39"/>
  <c r="U1269" i="39" s="1"/>
  <c r="C1119" i="39"/>
  <c r="U1119" i="39" s="1"/>
  <c r="V1119" i="39"/>
  <c r="C1476" i="39"/>
  <c r="U1476" i="39" s="1"/>
  <c r="V1476" i="39"/>
  <c r="F1270" i="39"/>
  <c r="Y1270" i="39" s="1"/>
  <c r="V1269" i="39"/>
  <c r="C1400" i="39"/>
  <c r="U1400" i="39" s="1"/>
  <c r="F1401" i="39"/>
  <c r="Y1401" i="39" s="1"/>
  <c r="V1400" i="39"/>
  <c r="F973" i="39"/>
  <c r="Y973" i="39" s="1"/>
  <c r="C972" i="39"/>
  <c r="U972" i="39" s="1"/>
  <c r="V972" i="39"/>
  <c r="F1817" i="39"/>
  <c r="Y1817" i="39" s="1"/>
  <c r="V1816" i="39"/>
  <c r="C1816" i="39"/>
  <c r="U1816" i="39" s="1"/>
  <c r="F1570" i="39"/>
  <c r="V1569" i="39"/>
  <c r="C1569" i="39"/>
  <c r="U1569" i="39" s="1"/>
  <c r="F1192" i="39"/>
  <c r="Y1192" i="39" s="1"/>
  <c r="V1191" i="39"/>
  <c r="C1191" i="39"/>
  <c r="U1191" i="39" s="1"/>
  <c r="C1433" i="39"/>
  <c r="U1433" i="39" s="1"/>
  <c r="V1433" i="39"/>
  <c r="F1439" i="39"/>
  <c r="Y1439" i="39" s="1"/>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7" i="39"/>
  <c r="V1846" i="39"/>
  <c r="C1846" i="39"/>
  <c r="U1846" i="39" s="1"/>
  <c r="F1801" i="39"/>
  <c r="Y1801" i="39" s="1"/>
  <c r="C1800" i="39"/>
  <c r="U1800" i="39" s="1"/>
  <c r="V1800" i="39"/>
  <c r="C1283" i="39"/>
  <c r="U1283" i="39" s="1"/>
  <c r="V1283" i="39"/>
  <c r="F1284" i="39"/>
  <c r="C1483" i="39"/>
  <c r="U1483" i="39" s="1"/>
  <c r="V1483" i="39"/>
  <c r="V1438" i="39"/>
  <c r="C1438" i="39"/>
  <c r="U1438" i="39" s="1"/>
  <c r="F1484" i="39"/>
  <c r="X1484" i="39" s="1"/>
  <c r="C1482" i="39"/>
  <c r="U1482" i="39" s="1"/>
  <c r="V1482" i="39"/>
  <c r="F1344" i="39"/>
  <c r="Y1344" i="39" s="1"/>
  <c r="V1343" i="39"/>
  <c r="C1343" i="39"/>
  <c r="U1343" i="39" s="1"/>
  <c r="F1616" i="39"/>
  <c r="Y1616" i="39" s="1"/>
  <c r="V1615" i="39"/>
  <c r="C1615" i="39"/>
  <c r="U1615" i="39" s="1"/>
  <c r="C1330" i="39"/>
  <c r="U1330" i="39" s="1"/>
  <c r="F1331" i="39"/>
  <c r="Y1331" i="39" s="1"/>
  <c r="V1330" i="39"/>
  <c r="X831" i="39" l="1"/>
  <c r="X1157" i="39"/>
  <c r="X607" i="39"/>
  <c r="X1616" i="39"/>
  <c r="X1664" i="39"/>
  <c r="X440" i="39"/>
  <c r="X1135" i="39"/>
  <c r="Y1284" i="39"/>
  <c r="Y1434" i="39"/>
  <c r="Y482" i="39"/>
  <c r="Y1121" i="39"/>
  <c r="Y878" i="39"/>
  <c r="Y1584" i="39"/>
  <c r="X1554" i="39"/>
  <c r="X1555" i="39" s="1"/>
  <c r="X1556" i="39" s="1"/>
  <c r="X1557" i="39" s="1"/>
  <c r="Y984" i="39"/>
  <c r="X985" i="39"/>
  <c r="X986" i="39" s="1"/>
  <c r="X987" i="39" s="1"/>
  <c r="X988" i="39" s="1"/>
  <c r="X989" i="39" s="1"/>
  <c r="X990" i="39" s="1"/>
  <c r="X991" i="39" s="1"/>
  <c r="X992" i="39" s="1"/>
  <c r="Y1484" i="39"/>
  <c r="Y895" i="39"/>
  <c r="Y207" i="39"/>
  <c r="Y440" i="39"/>
  <c r="X441" i="39"/>
  <c r="X442" i="39" s="1"/>
  <c r="X443" i="39" s="1"/>
  <c r="X444" i="39" s="1"/>
  <c r="X445" i="39" s="1"/>
  <c r="X446" i="39" s="1"/>
  <c r="X447" i="39" s="1"/>
  <c r="X448" i="39" s="1"/>
  <c r="X449" i="39" s="1"/>
  <c r="X1046" i="39"/>
  <c r="X1678" i="39"/>
  <c r="X1174" i="39"/>
  <c r="Y1458" i="39"/>
  <c r="X1707" i="39"/>
  <c r="Y1570" i="39"/>
  <c r="X984" i="39"/>
  <c r="X1780" i="39"/>
  <c r="Y776" i="39"/>
  <c r="Y1120" i="39"/>
  <c r="X1458" i="39"/>
  <c r="X1434" i="39"/>
  <c r="X1435" i="39" s="1"/>
  <c r="X1436" i="39" s="1"/>
  <c r="X1437" i="39" s="1"/>
  <c r="X1438" i="39" s="1"/>
  <c r="X1439" i="39" s="1"/>
  <c r="X1440" i="39" s="1"/>
  <c r="Y831" i="39"/>
  <c r="X832" i="39"/>
  <c r="X1218" i="39"/>
  <c r="X1801" i="39"/>
  <c r="F608" i="39"/>
  <c r="C1218" i="39"/>
  <c r="U1218" i="39" s="1"/>
  <c r="F1219" i="39"/>
  <c r="Y1219" i="39" s="1"/>
  <c r="V1218" i="39"/>
  <c r="F896" i="39"/>
  <c r="Y896" i="39" s="1"/>
  <c r="F1781" i="39"/>
  <c r="Y1781" i="39" s="1"/>
  <c r="C1780" i="39"/>
  <c r="U1780" i="39" s="1"/>
  <c r="V1780"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Y1556" i="39" s="1"/>
  <c r="F1708" i="39"/>
  <c r="Y1708" i="39" s="1"/>
  <c r="C1707" i="39"/>
  <c r="U1707" i="39" s="1"/>
  <c r="V1707" i="39"/>
  <c r="C1555" i="39"/>
  <c r="U1555" i="39" s="1"/>
  <c r="F832" i="39"/>
  <c r="Y832" i="39" s="1"/>
  <c r="V1392" i="39"/>
  <c r="F1393" i="39"/>
  <c r="C1392" i="39"/>
  <c r="U1392" i="39" s="1"/>
  <c r="V1664" i="39"/>
  <c r="F1665" i="39"/>
  <c r="X1665" i="39" s="1"/>
  <c r="C1664" i="39"/>
  <c r="U1664" i="39" s="1"/>
  <c r="V1678" i="39"/>
  <c r="F1679" i="39"/>
  <c r="Y1679" i="39" s="1"/>
  <c r="F1680" i="39"/>
  <c r="Y1680" i="39" s="1"/>
  <c r="F1681" i="39"/>
  <c r="Y1681" i="39" s="1"/>
  <c r="C1678" i="39"/>
  <c r="U1678" i="39" s="1"/>
  <c r="F1640" i="39"/>
  <c r="Y1640" i="39" s="1"/>
  <c r="V1639" i="39"/>
  <c r="C1639" i="39"/>
  <c r="U1639" i="39" s="1"/>
  <c r="F1312" i="39"/>
  <c r="Y1312" i="39" s="1"/>
  <c r="C1311" i="39"/>
  <c r="U1311" i="39" s="1"/>
  <c r="V1311" i="39"/>
  <c r="V422" i="39"/>
  <c r="C422" i="39"/>
  <c r="U422" i="39" s="1"/>
  <c r="F423" i="39"/>
  <c r="Y423" i="39" s="1"/>
  <c r="F43" i="39"/>
  <c r="Y43" i="39" s="1"/>
  <c r="C42" i="39"/>
  <c r="U42" i="39" s="1"/>
  <c r="V42" i="39"/>
  <c r="F26" i="39"/>
  <c r="Y26" i="39" s="1"/>
  <c r="V25" i="39"/>
  <c r="C25" i="39"/>
  <c r="U25" i="39" s="1"/>
  <c r="V1458" i="39"/>
  <c r="F1459" i="39"/>
  <c r="Y1459" i="39" s="1"/>
  <c r="F1460" i="39"/>
  <c r="Y1460" i="39" s="1"/>
  <c r="C1458" i="39"/>
  <c r="U1458" i="39" s="1"/>
  <c r="V207" i="39"/>
  <c r="C207" i="39"/>
  <c r="U207" i="39" s="1"/>
  <c r="F208" i="39"/>
  <c r="Y208" i="39" s="1"/>
  <c r="V1584" i="39"/>
  <c r="C1584" i="39"/>
  <c r="U1584" i="39" s="1"/>
  <c r="F1585" i="39"/>
  <c r="V1018" i="39"/>
  <c r="C1018" i="39"/>
  <c r="U1018" i="39" s="1"/>
  <c r="C739" i="39"/>
  <c r="U739" i="39" s="1"/>
  <c r="F740" i="39"/>
  <c r="Y740" i="39" s="1"/>
  <c r="V739" i="39"/>
  <c r="V1135" i="39"/>
  <c r="C1135" i="39"/>
  <c r="U1135" i="39" s="1"/>
  <c r="F1136" i="39"/>
  <c r="Y1136" i="39" s="1"/>
  <c r="V1120" i="39"/>
  <c r="F1122" i="39"/>
  <c r="C1120" i="39"/>
  <c r="U1120" i="39" s="1"/>
  <c r="C776" i="39"/>
  <c r="U776" i="39" s="1"/>
  <c r="V776" i="39"/>
  <c r="F777" i="39"/>
  <c r="Y777" i="39" s="1"/>
  <c r="C1084" i="39"/>
  <c r="U1084" i="39" s="1"/>
  <c r="F1085" i="39"/>
  <c r="Y1085" i="39" s="1"/>
  <c r="V1084" i="39"/>
  <c r="V894" i="39"/>
  <c r="C894" i="39"/>
  <c r="U894" i="39" s="1"/>
  <c r="F879" i="39"/>
  <c r="Y879" i="39" s="1"/>
  <c r="V878" i="39"/>
  <c r="C878" i="39"/>
  <c r="U878" i="39" s="1"/>
  <c r="C807" i="39"/>
  <c r="U807" i="39" s="1"/>
  <c r="F1371" i="39"/>
  <c r="Y1371" i="39" s="1"/>
  <c r="C1370" i="39"/>
  <c r="U1370" i="39" s="1"/>
  <c r="V1370" i="39"/>
  <c r="F1303" i="39"/>
  <c r="V1302" i="39"/>
  <c r="C1302" i="39"/>
  <c r="U1302" i="39" s="1"/>
  <c r="F808" i="39"/>
  <c r="Y808" i="39" s="1"/>
  <c r="V807" i="39"/>
  <c r="F1061" i="39"/>
  <c r="Y1061" i="39" s="1"/>
  <c r="V1060" i="39"/>
  <c r="C1060" i="39"/>
  <c r="U1060" i="39" s="1"/>
  <c r="C831" i="39"/>
  <c r="U831" i="39" s="1"/>
  <c r="V831" i="39"/>
  <c r="V1046" i="39"/>
  <c r="F1047" i="39"/>
  <c r="Y1047" i="39" s="1"/>
  <c r="C1046" i="39"/>
  <c r="U1046" i="39" s="1"/>
  <c r="C1270" i="39"/>
  <c r="U1270" i="39" s="1"/>
  <c r="F1271" i="39"/>
  <c r="Y1271" i="39" s="1"/>
  <c r="V1270" i="39"/>
  <c r="C1121" i="39"/>
  <c r="U1121" i="39" s="1"/>
  <c r="F1123" i="39"/>
  <c r="V973" i="39"/>
  <c r="V1121" i="39"/>
  <c r="C984" i="39"/>
  <c r="U984" i="39" s="1"/>
  <c r="V984" i="39"/>
  <c r="F1402" i="39"/>
  <c r="Y1402" i="39" s="1"/>
  <c r="C1401" i="39"/>
  <c r="U1401" i="39" s="1"/>
  <c r="V1401" i="39"/>
  <c r="F974" i="39"/>
  <c r="C973" i="39"/>
  <c r="U973" i="39" s="1"/>
  <c r="V1570" i="39"/>
  <c r="F1571" i="39"/>
  <c r="Y1571" i="39" s="1"/>
  <c r="C1570" i="39"/>
  <c r="U1570" i="39" s="1"/>
  <c r="C1817" i="39"/>
  <c r="U1817" i="39" s="1"/>
  <c r="F1818" i="39"/>
  <c r="V1817" i="39"/>
  <c r="V940" i="39"/>
  <c r="F941" i="39"/>
  <c r="Y941" i="39" s="1"/>
  <c r="C940" i="39"/>
  <c r="U940" i="39" s="1"/>
  <c r="V1847" i="39"/>
  <c r="C1847" i="39"/>
  <c r="U1847" i="39" s="1"/>
  <c r="C1434" i="39"/>
  <c r="U1434" i="39" s="1"/>
  <c r="F1440" i="39"/>
  <c r="Y1440" i="39" s="1"/>
  <c r="V1434" i="39"/>
  <c r="V1157" i="39"/>
  <c r="C1157" i="39"/>
  <c r="U1157" i="39" s="1"/>
  <c r="F1158" i="39"/>
  <c r="Y1158" i="39" s="1"/>
  <c r="C1439" i="39"/>
  <c r="U1439" i="39" s="1"/>
  <c r="V1439" i="39"/>
  <c r="F1285" i="39"/>
  <c r="Y1285" i="39" s="1"/>
  <c r="V1284" i="39"/>
  <c r="C1284" i="39"/>
  <c r="U1284" i="39" s="1"/>
  <c r="F1345" i="39"/>
  <c r="Y1345" i="39" s="1"/>
  <c r="V1344" i="39"/>
  <c r="C1344" i="39"/>
  <c r="U1344" i="39" s="1"/>
  <c r="V1616" i="39"/>
  <c r="C1616" i="39"/>
  <c r="U1616" i="39" s="1"/>
  <c r="F1617" i="39"/>
  <c r="Y1617" i="39" s="1"/>
  <c r="C1484" i="39"/>
  <c r="U1484" i="39" s="1"/>
  <c r="F1485" i="39"/>
  <c r="Y1485" i="39" s="1"/>
  <c r="V1484" i="39"/>
  <c r="F1332" i="39"/>
  <c r="Y1332" i="39" s="1"/>
  <c r="V1331" i="39"/>
  <c r="C1331" i="39"/>
  <c r="U1331" i="39" s="1"/>
  <c r="V1801" i="39"/>
  <c r="C1801" i="39"/>
  <c r="U1801" i="39" s="1"/>
  <c r="F1802" i="39"/>
  <c r="Y1802" i="39" s="1"/>
  <c r="V1192" i="39"/>
  <c r="F1193" i="39"/>
  <c r="Y1193" i="39" s="1"/>
  <c r="C1192" i="39"/>
  <c r="U1192" i="39" s="1"/>
  <c r="X993" i="39" l="1"/>
  <c r="X1781" i="39"/>
  <c r="X1571" i="39"/>
  <c r="X1459" i="39"/>
  <c r="X1460" i="39" s="1"/>
  <c r="X1219" i="39"/>
  <c r="X1136" i="39"/>
  <c r="Y1557" i="39"/>
  <c r="Y1585" i="39"/>
  <c r="X1158" i="39"/>
  <c r="X1304" i="39"/>
  <c r="X1305" i="39" s="1"/>
  <c r="X1306" i="39" s="1"/>
  <c r="X1307" i="39" s="1"/>
  <c r="X1308" i="39" s="1"/>
  <c r="X1309" i="39" s="1"/>
  <c r="X1310" i="39" s="1"/>
  <c r="X1311" i="39" s="1"/>
  <c r="X1312" i="39" s="1"/>
  <c r="Y1303" i="39"/>
  <c r="Y1123" i="39"/>
  <c r="X1708" i="39"/>
  <c r="X1175" i="39"/>
  <c r="X1679" i="39"/>
  <c r="X1680" i="39" s="1"/>
  <c r="X1681" i="39" s="1"/>
  <c r="X1682" i="39" s="1"/>
  <c r="X1047" i="39"/>
  <c r="X1048" i="39" s="1"/>
  <c r="X1617" i="39"/>
  <c r="X994" i="39"/>
  <c r="Y608" i="39"/>
  <c r="X609" i="39"/>
  <c r="X833" i="39"/>
  <c r="X1802" i="39"/>
  <c r="X1666" i="39"/>
  <c r="X1667" i="39" s="1"/>
  <c r="X1668" i="39" s="1"/>
  <c r="X1669" i="39" s="1"/>
  <c r="X1670" i="39" s="1"/>
  <c r="Y1665" i="39"/>
  <c r="Y1818" i="39"/>
  <c r="X1819" i="39"/>
  <c r="X1820" i="39" s="1"/>
  <c r="X1821" i="39" s="1"/>
  <c r="X608" i="39"/>
  <c r="Y1122" i="39"/>
  <c r="Y1393" i="39"/>
  <c r="Y974" i="39"/>
  <c r="X975" i="39"/>
  <c r="X976" i="39" s="1"/>
  <c r="X977" i="39" s="1"/>
  <c r="X1485" i="39"/>
  <c r="X1486" i="39" s="1"/>
  <c r="X1371" i="39"/>
  <c r="V1219" i="39"/>
  <c r="F1220" i="39"/>
  <c r="Y1220" i="39" s="1"/>
  <c r="C1219" i="39"/>
  <c r="U1219" i="39" s="1"/>
  <c r="F897" i="39"/>
  <c r="Y897" i="39" s="1"/>
  <c r="F1782" i="39"/>
  <c r="Y1782" i="39" s="1"/>
  <c r="C1781" i="39"/>
  <c r="U1781" i="39" s="1"/>
  <c r="V1781" i="39"/>
  <c r="C1175" i="39"/>
  <c r="U1175" i="39" s="1"/>
  <c r="F1176" i="39"/>
  <c r="Y1176" i="39" s="1"/>
  <c r="V1175" i="39"/>
  <c r="F1020" i="39"/>
  <c r="Y1020" i="39" s="1"/>
  <c r="C484" i="39"/>
  <c r="U484" i="39" s="1"/>
  <c r="F485" i="39"/>
  <c r="Y485" i="39" s="1"/>
  <c r="V484" i="39"/>
  <c r="V993" i="39"/>
  <c r="F994" i="39"/>
  <c r="Y994" i="39" s="1"/>
  <c r="C993" i="39"/>
  <c r="U993" i="39" s="1"/>
  <c r="C1557" i="39"/>
  <c r="U1557" i="39" s="1"/>
  <c r="V1557" i="39"/>
  <c r="C1556" i="39"/>
  <c r="U1556" i="39" s="1"/>
  <c r="V1556" i="39"/>
  <c r="F1558" i="39"/>
  <c r="X1558" i="39" s="1"/>
  <c r="C1708" i="39"/>
  <c r="U1708" i="39" s="1"/>
  <c r="V1708" i="39"/>
  <c r="F1709" i="39"/>
  <c r="F1487" i="39"/>
  <c r="F833" i="39"/>
  <c r="Y833" i="39" s="1"/>
  <c r="V1393" i="39"/>
  <c r="F1394" i="39"/>
  <c r="C1393" i="39"/>
  <c r="U1393" i="39" s="1"/>
  <c r="V1665" i="39"/>
  <c r="C1665" i="39"/>
  <c r="U1665" i="39" s="1"/>
  <c r="V1679" i="39"/>
  <c r="F1682" i="39"/>
  <c r="Y1682" i="39" s="1"/>
  <c r="C1679" i="39"/>
  <c r="U1679" i="39" s="1"/>
  <c r="V1680" i="39"/>
  <c r="C1680" i="39"/>
  <c r="U1680" i="39" s="1"/>
  <c r="V1681" i="39"/>
  <c r="C1681" i="39"/>
  <c r="U1681" i="39" s="1"/>
  <c r="V1640" i="39"/>
  <c r="F1641" i="39"/>
  <c r="Y1641" i="39" s="1"/>
  <c r="C1640" i="39"/>
  <c r="U1640" i="39" s="1"/>
  <c r="V1312" i="39"/>
  <c r="F1313" i="39"/>
  <c r="Y1313" i="39" s="1"/>
  <c r="C1312" i="39"/>
  <c r="U1312" i="39" s="1"/>
  <c r="V423" i="39"/>
  <c r="F424" i="39"/>
  <c r="Y424" i="39" s="1"/>
  <c r="C423" i="39"/>
  <c r="U423" i="39" s="1"/>
  <c r="V43" i="39"/>
  <c r="F44" i="39"/>
  <c r="Y44" i="39" s="1"/>
  <c r="C43" i="39"/>
  <c r="U43" i="39" s="1"/>
  <c r="V26" i="39"/>
  <c r="C26" i="39"/>
  <c r="U26" i="39" s="1"/>
  <c r="F27" i="39"/>
  <c r="Y27" i="39" s="1"/>
  <c r="V1668" i="39"/>
  <c r="C1668" i="39"/>
  <c r="U1668" i="39" s="1"/>
  <c r="V1459" i="39"/>
  <c r="F1461" i="39"/>
  <c r="Y1461" i="39" s="1"/>
  <c r="C1459" i="39"/>
  <c r="U1459" i="39" s="1"/>
  <c r="V1460" i="39"/>
  <c r="C1460" i="39"/>
  <c r="U1460" i="39" s="1"/>
  <c r="C208" i="39"/>
  <c r="U208" i="39" s="1"/>
  <c r="F209" i="39"/>
  <c r="Y209" i="39" s="1"/>
  <c r="V208" i="39"/>
  <c r="C1585" i="39"/>
  <c r="U1585" i="39" s="1"/>
  <c r="F1586" i="39"/>
  <c r="Y1586" i="39" s="1"/>
  <c r="V1585" i="39"/>
  <c r="F741" i="39"/>
  <c r="Y741" i="39" s="1"/>
  <c r="V740" i="39"/>
  <c r="C740" i="39"/>
  <c r="U740" i="39" s="1"/>
  <c r="V1136" i="39"/>
  <c r="F1137" i="39"/>
  <c r="Y1137" i="39" s="1"/>
  <c r="C1136" i="39"/>
  <c r="U1136" i="39" s="1"/>
  <c r="V1122" i="39"/>
  <c r="C1122" i="39"/>
  <c r="U1122" i="39" s="1"/>
  <c r="F1124" i="39"/>
  <c r="F1086" i="39"/>
  <c r="Y1086" i="39" s="1"/>
  <c r="V895" i="39"/>
  <c r="C895" i="39"/>
  <c r="U895" i="39" s="1"/>
  <c r="V1303" i="39"/>
  <c r="C1303" i="39"/>
  <c r="U1303" i="39" s="1"/>
  <c r="V777" i="39"/>
  <c r="C777" i="39"/>
  <c r="U777" i="39" s="1"/>
  <c r="F778" i="39"/>
  <c r="V1085" i="39"/>
  <c r="C1085" i="39"/>
  <c r="U1085" i="39" s="1"/>
  <c r="V879" i="39"/>
  <c r="F880" i="39"/>
  <c r="Y880" i="39" s="1"/>
  <c r="C879" i="39"/>
  <c r="U879" i="39" s="1"/>
  <c r="F1372" i="39"/>
  <c r="Y1372" i="39" s="1"/>
  <c r="V1371" i="39"/>
  <c r="C1371" i="39"/>
  <c r="U1371" i="39" s="1"/>
  <c r="F809" i="39"/>
  <c r="Y809" i="39" s="1"/>
  <c r="V808" i="39"/>
  <c r="C808" i="39"/>
  <c r="U808" i="39" s="1"/>
  <c r="F1062" i="39"/>
  <c r="Y1062" i="39" s="1"/>
  <c r="V1061" i="39"/>
  <c r="C1061" i="39"/>
  <c r="U1061" i="39" s="1"/>
  <c r="C1271" i="39"/>
  <c r="U1271" i="39" s="1"/>
  <c r="V1047" i="39"/>
  <c r="F1048" i="39"/>
  <c r="Y1048" i="39" s="1"/>
  <c r="C1047" i="39"/>
  <c r="U1047" i="39" s="1"/>
  <c r="V1271" i="39"/>
  <c r="F1272" i="39"/>
  <c r="Y1272" i="39" s="1"/>
  <c r="F1443" i="39"/>
  <c r="Y1443" i="39" s="1"/>
  <c r="V1123" i="39"/>
  <c r="C1123" i="39"/>
  <c r="U1123" i="39" s="1"/>
  <c r="C974" i="39"/>
  <c r="U974" i="39" s="1"/>
  <c r="V974" i="39"/>
  <c r="F1403" i="39"/>
  <c r="Y1403" i="39" s="1"/>
  <c r="V1402" i="39"/>
  <c r="C1402" i="39"/>
  <c r="U1402" i="39" s="1"/>
  <c r="C1818" i="39"/>
  <c r="U1818" i="39" s="1"/>
  <c r="V1818" i="39"/>
  <c r="V1571" i="39"/>
  <c r="C1571" i="39"/>
  <c r="U1571" i="39" s="1"/>
  <c r="F1572" i="39"/>
  <c r="Y1572" i="39" s="1"/>
  <c r="V1158" i="39"/>
  <c r="F1159" i="39"/>
  <c r="C1158" i="39"/>
  <c r="U1158" i="39" s="1"/>
  <c r="C1332" i="39"/>
  <c r="U1332" i="39" s="1"/>
  <c r="V1332" i="39"/>
  <c r="F1333" i="39"/>
  <c r="Y1333" i="39" s="1"/>
  <c r="C1485" i="39"/>
  <c r="U1485" i="39" s="1"/>
  <c r="F1486" i="39"/>
  <c r="V1485" i="39"/>
  <c r="V941" i="39"/>
  <c r="F942" i="39"/>
  <c r="Y942" i="39" s="1"/>
  <c r="C941" i="39"/>
  <c r="U941" i="39" s="1"/>
  <c r="C1345" i="39"/>
  <c r="U1345" i="39" s="1"/>
  <c r="V1345" i="39"/>
  <c r="F1346" i="39"/>
  <c r="Y1346" i="39" s="1"/>
  <c r="F1618" i="39"/>
  <c r="Y1618" i="39" s="1"/>
  <c r="C1617" i="39"/>
  <c r="U1617" i="39" s="1"/>
  <c r="V1617" i="39"/>
  <c r="F1194" i="39"/>
  <c r="Y1194" i="39" s="1"/>
  <c r="C1193" i="39"/>
  <c r="U1193" i="39" s="1"/>
  <c r="V1193" i="39"/>
  <c r="C1285" i="39"/>
  <c r="U1285" i="39" s="1"/>
  <c r="V1285" i="39"/>
  <c r="F1286" i="39"/>
  <c r="Y1286" i="39" s="1"/>
  <c r="C1802" i="39"/>
  <c r="U1802" i="39" s="1"/>
  <c r="F1803" i="39"/>
  <c r="Y1803" i="39" s="1"/>
  <c r="V1802" i="39"/>
  <c r="V1440" i="39"/>
  <c r="C1440" i="39"/>
  <c r="U1440" i="39" s="1"/>
  <c r="F1441" i="39"/>
  <c r="Y1441" i="39" s="1"/>
  <c r="X1372" i="39" l="1"/>
  <c r="X1176" i="39"/>
  <c r="X1709" i="39"/>
  <c r="X1572" i="39"/>
  <c r="X1137" i="39"/>
  <c r="X1618" i="39"/>
  <c r="Y1486" i="39"/>
  <c r="X1487" i="39"/>
  <c r="X1220" i="39"/>
  <c r="Y778" i="39"/>
  <c r="X1313" i="39"/>
  <c r="X1803" i="39"/>
  <c r="Y1124" i="39"/>
  <c r="X1125" i="39"/>
  <c r="X1126" i="39" s="1"/>
  <c r="X1127" i="39" s="1"/>
  <c r="X1128" i="39" s="1"/>
  <c r="X1461" i="39"/>
  <c r="X1462" i="39" s="1"/>
  <c r="X834" i="39"/>
  <c r="X1683" i="39"/>
  <c r="Y1159" i="39"/>
  <c r="X1159" i="39"/>
  <c r="Y1487" i="39"/>
  <c r="Y1558" i="39"/>
  <c r="X1559" i="39"/>
  <c r="X1560" i="39" s="1"/>
  <c r="X1561" i="39" s="1"/>
  <c r="X1562" i="39" s="1"/>
  <c r="X1563" i="39" s="1"/>
  <c r="Y1394" i="39"/>
  <c r="X1395" i="39"/>
  <c r="X1396" i="39" s="1"/>
  <c r="X1397" i="39" s="1"/>
  <c r="X1398" i="39" s="1"/>
  <c r="X1399" i="39" s="1"/>
  <c r="X1400" i="39" s="1"/>
  <c r="X1401" i="39" s="1"/>
  <c r="X1402" i="39" s="1"/>
  <c r="X1403" i="39" s="1"/>
  <c r="Y1709" i="39"/>
  <c r="X1441" i="39"/>
  <c r="X1782" i="39"/>
  <c r="C1220" i="39"/>
  <c r="U1220" i="39" s="1"/>
  <c r="V1220" i="39"/>
  <c r="F1221" i="39"/>
  <c r="Y1221" i="39" s="1"/>
  <c r="F898" i="39"/>
  <c r="Y898" i="39" s="1"/>
  <c r="C1782" i="39"/>
  <c r="U1782" i="39" s="1"/>
  <c r="V1782" i="39"/>
  <c r="F1783" i="39"/>
  <c r="Y1783" i="39" s="1"/>
  <c r="F1177" i="39"/>
  <c r="Y1177" i="39" s="1"/>
  <c r="V1176" i="39"/>
  <c r="C1176" i="39"/>
  <c r="U1176" i="39" s="1"/>
  <c r="F1021" i="39"/>
  <c r="Y1021"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V1394" i="39"/>
  <c r="C1394" i="39"/>
  <c r="U1394" i="39" s="1"/>
  <c r="V1682" i="39"/>
  <c r="F1683" i="39"/>
  <c r="C1682" i="39"/>
  <c r="U1682" i="39" s="1"/>
  <c r="V1641" i="39"/>
  <c r="F1642" i="39"/>
  <c r="Y1642" i="39" s="1"/>
  <c r="C1641" i="39"/>
  <c r="U1641" i="39" s="1"/>
  <c r="V1313" i="39"/>
  <c r="F1314" i="39"/>
  <c r="Y1314" i="39" s="1"/>
  <c r="C1313" i="39"/>
  <c r="U1313" i="39" s="1"/>
  <c r="F425" i="39"/>
  <c r="Y425" i="39" s="1"/>
  <c r="V424" i="39"/>
  <c r="C424" i="39"/>
  <c r="U424" i="39" s="1"/>
  <c r="V44" i="39"/>
  <c r="F45" i="39"/>
  <c r="Y45" i="39" s="1"/>
  <c r="C44" i="39"/>
  <c r="U44" i="39" s="1"/>
  <c r="F28" i="39"/>
  <c r="Y28" i="39" s="1"/>
  <c r="V27" i="39"/>
  <c r="C27" i="39"/>
  <c r="U27" i="39" s="1"/>
  <c r="V1669" i="39"/>
  <c r="C1669" i="39"/>
  <c r="U1669" i="39" s="1"/>
  <c r="F210" i="39"/>
  <c r="Y210" i="39" s="1"/>
  <c r="V1461" i="39"/>
  <c r="C1461" i="39"/>
  <c r="U1461" i="39" s="1"/>
  <c r="F1462" i="39"/>
  <c r="Y1462" i="39" s="1"/>
  <c r="C209" i="39"/>
  <c r="U209" i="39" s="1"/>
  <c r="V209" i="39"/>
  <c r="C1586" i="39"/>
  <c r="U1586" i="39" s="1"/>
  <c r="V1586" i="39"/>
  <c r="F1587" i="39"/>
  <c r="Y1587" i="39" s="1"/>
  <c r="V1019" i="39"/>
  <c r="C1019" i="39"/>
  <c r="U1019" i="39" s="1"/>
  <c r="V741" i="39"/>
  <c r="C741" i="39"/>
  <c r="U741" i="39" s="1"/>
  <c r="F742" i="39"/>
  <c r="Y742"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Y1373" i="39" s="1"/>
  <c r="V1372" i="39"/>
  <c r="C1372" i="39"/>
  <c r="U1372" i="39" s="1"/>
  <c r="V778" i="39"/>
  <c r="C778" i="39"/>
  <c r="U778" i="39" s="1"/>
  <c r="F779" i="39"/>
  <c r="F1063" i="39"/>
  <c r="Y1063" i="39" s="1"/>
  <c r="C809" i="39"/>
  <c r="U809" i="39" s="1"/>
  <c r="F810" i="39"/>
  <c r="Y810" i="39" s="1"/>
  <c r="V809" i="39"/>
  <c r="C1062" i="39"/>
  <c r="U1062" i="39" s="1"/>
  <c r="V1062" i="39"/>
  <c r="V1048" i="39"/>
  <c r="C1048" i="39"/>
  <c r="U1048" i="39" s="1"/>
  <c r="F1049" i="39"/>
  <c r="Y1049" i="39" s="1"/>
  <c r="V1272" i="39"/>
  <c r="F1273" i="39"/>
  <c r="Y1273" i="39" s="1"/>
  <c r="C1272" i="39"/>
  <c r="U1272" i="39" s="1"/>
  <c r="V1443" i="39"/>
  <c r="C1443" i="39"/>
  <c r="U1443" i="39" s="1"/>
  <c r="F1404" i="39"/>
  <c r="Y1404" i="39" s="1"/>
  <c r="V1403" i="39"/>
  <c r="C1403" i="39"/>
  <c r="U1403" i="39" s="1"/>
  <c r="V1572" i="39"/>
  <c r="F1573" i="39"/>
  <c r="Y1573" i="39" s="1"/>
  <c r="C1572" i="39"/>
  <c r="U1572" i="39" s="1"/>
  <c r="C1803" i="39"/>
  <c r="U1803" i="39" s="1"/>
  <c r="F1804" i="39"/>
  <c r="Y1804" i="39" s="1"/>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Y1619" i="39" s="1"/>
  <c r="C1618" i="39"/>
  <c r="U1618" i="39" s="1"/>
  <c r="V1346" i="39"/>
  <c r="F1347" i="39"/>
  <c r="Y1347" i="39" s="1"/>
  <c r="C1346" i="39"/>
  <c r="U1346" i="39" s="1"/>
  <c r="C1441" i="39"/>
  <c r="U1441" i="39" s="1"/>
  <c r="V1441" i="39"/>
  <c r="F1442" i="39"/>
  <c r="Y1442" i="39" s="1"/>
  <c r="F1334" i="39"/>
  <c r="Y1334" i="39" s="1"/>
  <c r="V1333" i="39"/>
  <c r="C1333" i="39"/>
  <c r="U1333" i="39" s="1"/>
  <c r="C1286" i="39"/>
  <c r="U1286" i="39" s="1"/>
  <c r="F1287" i="39"/>
  <c r="Y1287" i="39" s="1"/>
  <c r="V1286" i="39"/>
  <c r="X1442" i="39" l="1"/>
  <c r="X1443" i="39" s="1"/>
  <c r="X1314" i="39"/>
  <c r="X1573" i="39"/>
  <c r="X1804" i="39"/>
  <c r="X1373" i="39"/>
  <c r="X1488" i="39"/>
  <c r="X1783" i="39"/>
  <c r="Y1710" i="39"/>
  <c r="X1711" i="39"/>
  <c r="X1221" i="39"/>
  <c r="Y1160" i="39"/>
  <c r="X1161" i="39"/>
  <c r="X1162" i="39" s="1"/>
  <c r="X1163" i="39" s="1"/>
  <c r="X1164" i="39" s="1"/>
  <c r="X1165" i="39" s="1"/>
  <c r="X1166" i="39" s="1"/>
  <c r="X1404" i="39"/>
  <c r="X1405" i="39" s="1"/>
  <c r="X1177" i="39"/>
  <c r="Y834" i="39"/>
  <c r="X835" i="39"/>
  <c r="X1049" i="39"/>
  <c r="X1138" i="39"/>
  <c r="X1139" i="39" s="1"/>
  <c r="Y1683" i="39"/>
  <c r="X1684" i="39"/>
  <c r="X1574" i="39"/>
  <c r="X1619" i="39"/>
  <c r="X1620" i="39" s="1"/>
  <c r="X1160" i="39"/>
  <c r="X995" i="39"/>
  <c r="Y1488" i="39"/>
  <c r="X1710" i="39"/>
  <c r="Y779" i="39"/>
  <c r="V1221" i="39"/>
  <c r="F1222" i="39"/>
  <c r="Y1222" i="39" s="1"/>
  <c r="C1221" i="39"/>
  <c r="U1221" i="39" s="1"/>
  <c r="F899" i="39"/>
  <c r="Y899" i="39" s="1"/>
  <c r="V1783" i="39"/>
  <c r="F1784" i="39"/>
  <c r="Y1784" i="39" s="1"/>
  <c r="C1783" i="39"/>
  <c r="U1783"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10" i="39"/>
  <c r="U1710" i="39" s="1"/>
  <c r="F1711" i="39"/>
  <c r="Y1711" i="39" s="1"/>
  <c r="V1710" i="39"/>
  <c r="F835" i="39"/>
  <c r="Y835" i="39" s="1"/>
  <c r="V1683" i="39"/>
  <c r="F1684" i="39"/>
  <c r="Y1684" i="39" s="1"/>
  <c r="C1683" i="39"/>
  <c r="U1683" i="39" s="1"/>
  <c r="V1642" i="39"/>
  <c r="F1643" i="39"/>
  <c r="Y1643" i="39" s="1"/>
  <c r="C1642" i="39"/>
  <c r="U1642" i="39" s="1"/>
  <c r="V1314" i="39"/>
  <c r="C1314" i="39"/>
  <c r="U1314" i="39" s="1"/>
  <c r="F1315" i="39"/>
  <c r="Y1315" i="39" s="1"/>
  <c r="C425" i="39"/>
  <c r="U425" i="39" s="1"/>
  <c r="F426" i="39"/>
  <c r="V425" i="39"/>
  <c r="C45" i="39"/>
  <c r="U45" i="39" s="1"/>
  <c r="V45" i="39"/>
  <c r="F46" i="39"/>
  <c r="Y46" i="39" s="1"/>
  <c r="V28" i="39"/>
  <c r="F29" i="39"/>
  <c r="Y29" i="39" s="1"/>
  <c r="C28" i="39"/>
  <c r="U28" i="39" s="1"/>
  <c r="F211" i="39"/>
  <c r="Y211" i="39" s="1"/>
  <c r="V1462" i="39"/>
  <c r="C1462" i="39"/>
  <c r="U1462" i="39" s="1"/>
  <c r="F1463" i="39"/>
  <c r="Y1463" i="39" s="1"/>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Y1374" i="39" s="1"/>
  <c r="V1373" i="39"/>
  <c r="V779" i="39"/>
  <c r="F780" i="39"/>
  <c r="Y780" i="39" s="1"/>
  <c r="C779" i="39"/>
  <c r="U779" i="39" s="1"/>
  <c r="F1064" i="39"/>
  <c r="Y1064" i="39" s="1"/>
  <c r="V1063" i="39"/>
  <c r="C1063" i="39"/>
  <c r="U1063" i="39" s="1"/>
  <c r="F811" i="39"/>
  <c r="Y811" i="39" s="1"/>
  <c r="C810" i="39"/>
  <c r="U810" i="39" s="1"/>
  <c r="V810" i="39"/>
  <c r="C1049" i="39"/>
  <c r="U1049" i="39" s="1"/>
  <c r="F1050" i="39"/>
  <c r="Y1050" i="39" s="1"/>
  <c r="V1049" i="39"/>
  <c r="C1273" i="39"/>
  <c r="U1273" i="39" s="1"/>
  <c r="F1274" i="39"/>
  <c r="Y1274" i="39" s="1"/>
  <c r="V1273" i="39"/>
  <c r="V1404" i="39"/>
  <c r="C1404" i="39"/>
  <c r="U1404" i="39" s="1"/>
  <c r="F1405" i="39"/>
  <c r="Y1405" i="39" s="1"/>
  <c r="V1573" i="39"/>
  <c r="C1573" i="39"/>
  <c r="U1573" i="39" s="1"/>
  <c r="F1574" i="39"/>
  <c r="Y1574" i="39" s="1"/>
  <c r="V1442" i="39"/>
  <c r="F1444" i="39"/>
  <c r="C1442" i="39"/>
  <c r="U1442" i="39" s="1"/>
  <c r="F1805" i="39"/>
  <c r="Y1805" i="39" s="1"/>
  <c r="V1804" i="39"/>
  <c r="C1804" i="39"/>
  <c r="U1804" i="39" s="1"/>
  <c r="F1620" i="39"/>
  <c r="Y1620" i="39" s="1"/>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Y1335" i="39" s="1"/>
  <c r="C1160" i="39"/>
  <c r="U1160" i="39" s="1"/>
  <c r="V1160" i="39"/>
  <c r="F1348" i="39"/>
  <c r="Y1348" i="39" s="1"/>
  <c r="V1347" i="39"/>
  <c r="C1347" i="39"/>
  <c r="U1347" i="39" s="1"/>
  <c r="X1222" i="39" l="1"/>
  <c r="X1050" i="39"/>
  <c r="X1315" i="39"/>
  <c r="X1374" i="39"/>
  <c r="Y1139" i="39"/>
  <c r="X1140" i="39"/>
  <c r="X1141" i="39" s="1"/>
  <c r="X1142" i="39" s="1"/>
  <c r="X1178" i="39"/>
  <c r="X1445" i="39"/>
  <c r="X1446" i="39" s="1"/>
  <c r="X1447" i="39" s="1"/>
  <c r="X1448" i="39" s="1"/>
  <c r="X1449" i="39" s="1"/>
  <c r="X1450" i="39" s="1"/>
  <c r="Y1444" i="39"/>
  <c r="Y743" i="39"/>
  <c r="X1784" i="39"/>
  <c r="X1785" i="39" s="1"/>
  <c r="X1444" i="39"/>
  <c r="Y1489" i="39"/>
  <c r="X1489" i="39"/>
  <c r="X1490" i="39" s="1"/>
  <c r="X1805" i="39"/>
  <c r="X427" i="39"/>
  <c r="X428" i="39" s="1"/>
  <c r="X429" i="39" s="1"/>
  <c r="X430" i="39" s="1"/>
  <c r="X431" i="39" s="1"/>
  <c r="X432" i="39" s="1"/>
  <c r="Y426" i="39"/>
  <c r="Y1588" i="39"/>
  <c r="Y1288" i="39"/>
  <c r="X996" i="39"/>
  <c r="X1463" i="39"/>
  <c r="F1223" i="39"/>
  <c r="Y1223" i="39" s="1"/>
  <c r="C1222" i="39"/>
  <c r="U1222" i="39" s="1"/>
  <c r="V1222" i="39"/>
  <c r="C1784" i="39"/>
  <c r="U1784" i="39" s="1"/>
  <c r="F1785" i="39"/>
  <c r="Y1785" i="39" s="1"/>
  <c r="V1784"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11" i="39"/>
  <c r="C1711" i="39"/>
  <c r="U1711" i="39" s="1"/>
  <c r="F1712" i="39"/>
  <c r="X1712" i="39" s="1"/>
  <c r="F836" i="39"/>
  <c r="Y836" i="39" s="1"/>
  <c r="V1684" i="39"/>
  <c r="F1685" i="39"/>
  <c r="Y1685" i="39" s="1"/>
  <c r="C1684" i="39"/>
  <c r="U1684" i="39" s="1"/>
  <c r="V1643" i="39"/>
  <c r="F1644" i="39"/>
  <c r="Y1644" i="39" s="1"/>
  <c r="C1643" i="39"/>
  <c r="U1643" i="39" s="1"/>
  <c r="F1316" i="39"/>
  <c r="Y1316" i="39" s="1"/>
  <c r="V1315" i="39"/>
  <c r="C1315" i="39"/>
  <c r="U1315" i="39" s="1"/>
  <c r="V426" i="39"/>
  <c r="C426" i="39"/>
  <c r="U426" i="39" s="1"/>
  <c r="V46" i="39"/>
  <c r="F47" i="39"/>
  <c r="Y47" i="39" s="1"/>
  <c r="C46" i="39"/>
  <c r="U46" i="39" s="1"/>
  <c r="F30" i="39"/>
  <c r="Y30" i="39" s="1"/>
  <c r="C29" i="39"/>
  <c r="U29" i="39" s="1"/>
  <c r="V29" i="39"/>
  <c r="F212" i="39"/>
  <c r="Y212" i="39" s="1"/>
  <c r="F1464" i="39"/>
  <c r="Y1464" i="39" s="1"/>
  <c r="V1463" i="39"/>
  <c r="C1463" i="39"/>
  <c r="U1463" i="39" s="1"/>
  <c r="F1589" i="39"/>
  <c r="C1588" i="39"/>
  <c r="U1588" i="39" s="1"/>
  <c r="V1588" i="39"/>
  <c r="V743" i="39"/>
  <c r="F744" i="39"/>
  <c r="Y744" i="39" s="1"/>
  <c r="C743" i="39"/>
  <c r="U743"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Y1375" i="39" s="1"/>
  <c r="V811" i="39"/>
  <c r="C811" i="39"/>
  <c r="U811" i="39" s="1"/>
  <c r="F812" i="39"/>
  <c r="Y812" i="39" s="1"/>
  <c r="F781" i="39"/>
  <c r="Y781" i="39" s="1"/>
  <c r="F1275" i="39"/>
  <c r="Y1275" i="39" s="1"/>
  <c r="C1274" i="39"/>
  <c r="U1274" i="39" s="1"/>
  <c r="V1274" i="39"/>
  <c r="C780" i="39"/>
  <c r="U780" i="39" s="1"/>
  <c r="V780" i="39"/>
  <c r="C1405" i="39"/>
  <c r="U1405" i="39" s="1"/>
  <c r="V1405" i="39"/>
  <c r="F1406" i="39"/>
  <c r="Y1406" i="39" s="1"/>
  <c r="F1575" i="39"/>
  <c r="Y1575" i="39" s="1"/>
  <c r="V1574" i="39"/>
  <c r="C1574" i="39"/>
  <c r="U1574" i="39" s="1"/>
  <c r="F1621" i="39"/>
  <c r="Y1621" i="39" s="1"/>
  <c r="C1620" i="39"/>
  <c r="U1620" i="39" s="1"/>
  <c r="V1620" i="39"/>
  <c r="C1444" i="39"/>
  <c r="U1444" i="39" s="1"/>
  <c r="V1444" i="39"/>
  <c r="F945" i="39"/>
  <c r="Y945" i="39" s="1"/>
  <c r="C944" i="39"/>
  <c r="U944" i="39" s="1"/>
  <c r="V944" i="39"/>
  <c r="V1489" i="39"/>
  <c r="C1489" i="39"/>
  <c r="U1489" i="39" s="1"/>
  <c r="F1490" i="39"/>
  <c r="F1806" i="39"/>
  <c r="Y1806" i="39" s="1"/>
  <c r="C1805" i="39"/>
  <c r="U1805" i="39" s="1"/>
  <c r="V1805" i="39"/>
  <c r="C1196" i="39"/>
  <c r="U1196" i="39" s="1"/>
  <c r="V1196" i="39"/>
  <c r="F1197" i="39"/>
  <c r="Y1197" i="39" s="1"/>
  <c r="C1348" i="39"/>
  <c r="U1348" i="39" s="1"/>
  <c r="F1349" i="39"/>
  <c r="Y1349" i="39" s="1"/>
  <c r="V1348" i="39"/>
  <c r="V1288" i="39"/>
  <c r="C1288" i="39"/>
  <c r="U1288" i="39" s="1"/>
  <c r="F1289" i="39"/>
  <c r="F1336" i="39"/>
  <c r="C1335" i="39"/>
  <c r="U1335" i="39" s="1"/>
  <c r="V1335" i="39"/>
  <c r="X1575" i="39" l="1"/>
  <c r="X1464" i="39"/>
  <c r="X997" i="39"/>
  <c r="X1179" i="39"/>
  <c r="Y1289" i="39"/>
  <c r="Y1336" i="39"/>
  <c r="X1375" i="39"/>
  <c r="Y1490" i="39"/>
  <c r="X1316" i="39"/>
  <c r="Y1712" i="39"/>
  <c r="X1406" i="39"/>
  <c r="X1621" i="39"/>
  <c r="X1622" i="39" s="1"/>
  <c r="X836" i="39"/>
  <c r="X837" i="39" s="1"/>
  <c r="X1786" i="39"/>
  <c r="X1806" i="39"/>
  <c r="X1051" i="39"/>
  <c r="X1052" i="39" s="1"/>
  <c r="Y1589" i="39"/>
  <c r="X1223" i="39"/>
  <c r="X1685" i="39"/>
  <c r="F1224" i="39"/>
  <c r="Y1224" i="39" s="1"/>
  <c r="C1223" i="39"/>
  <c r="U1223" i="39" s="1"/>
  <c r="V1223" i="39"/>
  <c r="F1786" i="39"/>
  <c r="Y1786" i="39" s="1"/>
  <c r="C1785" i="39"/>
  <c r="U1785" i="39" s="1"/>
  <c r="V1785" i="39"/>
  <c r="F901" i="39"/>
  <c r="Y901" i="39" s="1"/>
  <c r="C1179" i="39"/>
  <c r="U1179" i="39" s="1"/>
  <c r="V1179" i="39"/>
  <c r="F1180" i="39"/>
  <c r="Y1180" i="39" s="1"/>
  <c r="C997" i="39"/>
  <c r="U997" i="39" s="1"/>
  <c r="V997" i="39"/>
  <c r="F998" i="39"/>
  <c r="Y998" i="39" s="1"/>
  <c r="F1024" i="39"/>
  <c r="Y1024" i="39" s="1"/>
  <c r="C1023" i="39"/>
  <c r="U1023" i="39" s="1"/>
  <c r="V1023" i="39"/>
  <c r="C488" i="39"/>
  <c r="U488" i="39" s="1"/>
  <c r="F489" i="39"/>
  <c r="Y489" i="39" s="1"/>
  <c r="V488" i="39"/>
  <c r="V428" i="39"/>
  <c r="C428" i="39"/>
  <c r="U428" i="39" s="1"/>
  <c r="C1712" i="39"/>
  <c r="U1712" i="39" s="1"/>
  <c r="V1712" i="39"/>
  <c r="F1713" i="39"/>
  <c r="X1713" i="39" s="1"/>
  <c r="F837" i="39"/>
  <c r="Y837" i="39" s="1"/>
  <c r="V1685" i="39"/>
  <c r="F1686" i="39"/>
  <c r="Y1686" i="39" s="1"/>
  <c r="C1685" i="39"/>
  <c r="U1685" i="39" s="1"/>
  <c r="F1645" i="39"/>
  <c r="V1644" i="39"/>
  <c r="C1644" i="39"/>
  <c r="U1644" i="39" s="1"/>
  <c r="V1316" i="39"/>
  <c r="C1316" i="39"/>
  <c r="U1316" i="39" s="1"/>
  <c r="F1317" i="39"/>
  <c r="Y1317" i="39" s="1"/>
  <c r="C47" i="39"/>
  <c r="U47" i="39" s="1"/>
  <c r="F48" i="39"/>
  <c r="Y48" i="39" s="1"/>
  <c r="V47" i="39"/>
  <c r="V30" i="39"/>
  <c r="F31" i="39"/>
  <c r="Y31" i="39" s="1"/>
  <c r="C30" i="39"/>
  <c r="U30" i="39" s="1"/>
  <c r="F213" i="39"/>
  <c r="Y213" i="39" s="1"/>
  <c r="F1466" i="39"/>
  <c r="Y1466" i="39" s="1"/>
  <c r="V1464" i="39"/>
  <c r="F1465" i="39"/>
  <c r="Y1465" i="39" s="1"/>
  <c r="C1464" i="39"/>
  <c r="U1464" i="39" s="1"/>
  <c r="V744" i="39"/>
  <c r="C744" i="39"/>
  <c r="U744" i="39" s="1"/>
  <c r="C835" i="39"/>
  <c r="U835" i="39" s="1"/>
  <c r="V835" i="39"/>
  <c r="V1589" i="39"/>
  <c r="F1590" i="39"/>
  <c r="C1589" i="39"/>
  <c r="U1589" i="39" s="1"/>
  <c r="F745" i="39"/>
  <c r="Y745"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Y1376" i="39" s="1"/>
  <c r="C1375" i="39"/>
  <c r="U1375" i="39" s="1"/>
  <c r="V812" i="39"/>
  <c r="C812" i="39"/>
  <c r="U812" i="39" s="1"/>
  <c r="F813" i="39"/>
  <c r="Y813" i="39" s="1"/>
  <c r="F1276" i="39"/>
  <c r="Y1276" i="39" s="1"/>
  <c r="V1275" i="39"/>
  <c r="C1275" i="39"/>
  <c r="U1275" i="39" s="1"/>
  <c r="F782" i="39"/>
  <c r="Y782" i="39" s="1"/>
  <c r="V781" i="39"/>
  <c r="C781" i="39"/>
  <c r="U781" i="39" s="1"/>
  <c r="F1407" i="39"/>
  <c r="Y1407" i="39" s="1"/>
  <c r="V1406" i="39"/>
  <c r="C1406" i="39"/>
  <c r="U1406" i="39" s="1"/>
  <c r="V1575" i="39"/>
  <c r="C1575" i="39"/>
  <c r="U1575" i="39" s="1"/>
  <c r="F1576" i="39"/>
  <c r="X1576" i="39" s="1"/>
  <c r="F1807" i="39"/>
  <c r="Y1807" i="39" s="1"/>
  <c r="V1806" i="39"/>
  <c r="C1806" i="39"/>
  <c r="U1806" i="39" s="1"/>
  <c r="C1349" i="39"/>
  <c r="U1349" i="39" s="1"/>
  <c r="F1350" i="39"/>
  <c r="Y1350" i="39" s="1"/>
  <c r="V1349" i="39"/>
  <c r="C945" i="39"/>
  <c r="U945" i="39" s="1"/>
  <c r="F946" i="39"/>
  <c r="Y946" i="39" s="1"/>
  <c r="V945" i="39"/>
  <c r="F1622" i="39"/>
  <c r="Y1622" i="39" s="1"/>
  <c r="C1621" i="39"/>
  <c r="U1621" i="39" s="1"/>
  <c r="V1621" i="39"/>
  <c r="C1490" i="39"/>
  <c r="U1490" i="39" s="1"/>
  <c r="V1490" i="39"/>
  <c r="F1491" i="39"/>
  <c r="C1336" i="39"/>
  <c r="U1336" i="39" s="1"/>
  <c r="V1336" i="39"/>
  <c r="F1337" i="39"/>
  <c r="F1290" i="39"/>
  <c r="Y1290" i="39" s="1"/>
  <c r="V1289" i="39"/>
  <c r="C1289" i="39"/>
  <c r="U1289" i="39" s="1"/>
  <c r="F1198" i="39"/>
  <c r="V1197" i="39"/>
  <c r="C1197" i="39"/>
  <c r="U1197" i="39" s="1"/>
  <c r="X1465" i="39" l="1"/>
  <c r="X1466" i="39" s="1"/>
  <c r="X1807" i="39"/>
  <c r="X998" i="39"/>
  <c r="X1376" i="39"/>
  <c r="Y1713" i="39"/>
  <c r="X1224" i="39"/>
  <c r="X1407" i="39"/>
  <c r="Y1645" i="39"/>
  <c r="X1646" i="39"/>
  <c r="X1647" i="39" s="1"/>
  <c r="X1648" i="39" s="1"/>
  <c r="X1649" i="39" s="1"/>
  <c r="X1650" i="39" s="1"/>
  <c r="X1651" i="39" s="1"/>
  <c r="X1686" i="39"/>
  <c r="X1687" i="39" s="1"/>
  <c r="X1180" i="39"/>
  <c r="Y1590" i="39"/>
  <c r="Y1198" i="39"/>
  <c r="X1199" i="39"/>
  <c r="X1200" i="39" s="1"/>
  <c r="X1201" i="39" s="1"/>
  <c r="X1202" i="39" s="1"/>
  <c r="X1577" i="39"/>
  <c r="X1578" i="39" s="1"/>
  <c r="X1579" i="39" s="1"/>
  <c r="X1580" i="39" s="1"/>
  <c r="X1581" i="39" s="1"/>
  <c r="X1582" i="39" s="1"/>
  <c r="X1583" i="39" s="1"/>
  <c r="X1584" i="39" s="1"/>
  <c r="X1585" i="39" s="1"/>
  <c r="X1586" i="39" s="1"/>
  <c r="X1587" i="39" s="1"/>
  <c r="X1588" i="39" s="1"/>
  <c r="X1589" i="39" s="1"/>
  <c r="X1590" i="39" s="1"/>
  <c r="X1591" i="39" s="1"/>
  <c r="Y1576" i="39"/>
  <c r="Y1337" i="39"/>
  <c r="X1338" i="39"/>
  <c r="X1339" i="39" s="1"/>
  <c r="X1340" i="39" s="1"/>
  <c r="X1341" i="39" s="1"/>
  <c r="X1342" i="39" s="1"/>
  <c r="X1343" i="39" s="1"/>
  <c r="X1344" i="39" s="1"/>
  <c r="X1345" i="39" s="1"/>
  <c r="X1346" i="39" s="1"/>
  <c r="X1347" i="39" s="1"/>
  <c r="X1348" i="39" s="1"/>
  <c r="X1349" i="39" s="1"/>
  <c r="X1350" i="39" s="1"/>
  <c r="X1351" i="39" s="1"/>
  <c r="Y1491" i="39"/>
  <c r="X1317" i="39"/>
  <c r="X1491" i="39"/>
  <c r="V1786" i="39"/>
  <c r="F1787" i="39"/>
  <c r="Y1787" i="39" s="1"/>
  <c r="C1786" i="39"/>
  <c r="U1786" i="39" s="1"/>
  <c r="F1225" i="39"/>
  <c r="Y1225" i="39" s="1"/>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13" i="39"/>
  <c r="U1713" i="39" s="1"/>
  <c r="V1713" i="39"/>
  <c r="F1714" i="39"/>
  <c r="X1714" i="39" s="1"/>
  <c r="F838" i="39"/>
  <c r="Y838" i="39" s="1"/>
  <c r="V1686" i="39"/>
  <c r="F1687" i="39"/>
  <c r="Y1687" i="39" s="1"/>
  <c r="C1686" i="39"/>
  <c r="U1686" i="39" s="1"/>
  <c r="V1466" i="39"/>
  <c r="C1466" i="39"/>
  <c r="U1466" i="39" s="1"/>
  <c r="F49" i="39"/>
  <c r="Y49" i="39" s="1"/>
  <c r="C1645" i="39"/>
  <c r="U1645" i="39" s="1"/>
  <c r="V1645" i="39"/>
  <c r="F1318" i="39"/>
  <c r="Y1318" i="39" s="1"/>
  <c r="V1317" i="39"/>
  <c r="C1317" i="39"/>
  <c r="U1317" i="39" s="1"/>
  <c r="V48" i="39"/>
  <c r="C48" i="39"/>
  <c r="U48" i="39" s="1"/>
  <c r="V31" i="39"/>
  <c r="C31" i="39"/>
  <c r="U31" i="39" s="1"/>
  <c r="F32" i="39"/>
  <c r="Y32" i="39" s="1"/>
  <c r="F214" i="39"/>
  <c r="Y214" i="39" s="1"/>
  <c r="F1467" i="39"/>
  <c r="Y1467" i="39" s="1"/>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6" i="39"/>
  <c r="F1377" i="39"/>
  <c r="Y1377" i="39" s="1"/>
  <c r="V1090" i="39"/>
  <c r="C1376" i="39"/>
  <c r="U1376" i="39" s="1"/>
  <c r="C813" i="39"/>
  <c r="U813" i="39" s="1"/>
  <c r="V813" i="39"/>
  <c r="F814" i="39"/>
  <c r="Y814" i="39" s="1"/>
  <c r="V1276" i="39"/>
  <c r="F1277" i="39"/>
  <c r="C1276" i="39"/>
  <c r="U1276" i="39" s="1"/>
  <c r="F783" i="39"/>
  <c r="Y783" i="39" s="1"/>
  <c r="V782" i="39"/>
  <c r="C782" i="39"/>
  <c r="U782" i="39" s="1"/>
  <c r="V1407" i="39"/>
  <c r="C1407" i="39"/>
  <c r="U1407" i="39" s="1"/>
  <c r="F1408" i="39"/>
  <c r="Y1408" i="39" s="1"/>
  <c r="C1576" i="39"/>
  <c r="U1576" i="39" s="1"/>
  <c r="V1576" i="39"/>
  <c r="C1622" i="39"/>
  <c r="U1622" i="39" s="1"/>
  <c r="F1623" i="39"/>
  <c r="Y1623" i="39" s="1"/>
  <c r="V1622" i="39"/>
  <c r="V1337" i="39"/>
  <c r="C1337" i="39"/>
  <c r="U1337" i="39" s="1"/>
  <c r="C1198" i="39"/>
  <c r="U1198" i="39" s="1"/>
  <c r="V1198" i="39"/>
  <c r="F947" i="39"/>
  <c r="Y947" i="39" s="1"/>
  <c r="V946" i="39"/>
  <c r="C946" i="39"/>
  <c r="U946" i="39" s="1"/>
  <c r="V1807" i="39"/>
  <c r="C1807" i="39"/>
  <c r="U1807" i="39" s="1"/>
  <c r="F1808" i="39"/>
  <c r="Y1808" i="39" s="1"/>
  <c r="F1351" i="39"/>
  <c r="Y1351" i="39" s="1"/>
  <c r="V1350" i="39"/>
  <c r="C1350" i="39"/>
  <c r="U1350" i="39" s="1"/>
  <c r="V1491" i="39"/>
  <c r="C1491" i="39"/>
  <c r="U1491" i="39" s="1"/>
  <c r="F1492" i="39"/>
  <c r="Y1492" i="39" s="1"/>
  <c r="V1290" i="39"/>
  <c r="C1290" i="39"/>
  <c r="U1290" i="39" s="1"/>
  <c r="F1291" i="39"/>
  <c r="Y1291" i="39" s="1"/>
  <c r="X1623" i="39" l="1"/>
  <c r="X1408" i="39"/>
  <c r="X1181" i="39"/>
  <c r="Y1053" i="39"/>
  <c r="X1054" i="39"/>
  <c r="X1055" i="39" s="1"/>
  <c r="X1056" i="39" s="1"/>
  <c r="X1057" i="39" s="1"/>
  <c r="X1058" i="39" s="1"/>
  <c r="X1059" i="39" s="1"/>
  <c r="X1060" i="39" s="1"/>
  <c r="X1061" i="39" s="1"/>
  <c r="X1062" i="39" s="1"/>
  <c r="X1063" i="39" s="1"/>
  <c r="X1064" i="39" s="1"/>
  <c r="X1065" i="39" s="1"/>
  <c r="X1066" i="39" s="1"/>
  <c r="X1067" i="39" s="1"/>
  <c r="X1808" i="39"/>
  <c r="X1278" i="39"/>
  <c r="X1279" i="39" s="1"/>
  <c r="X1280" i="39" s="1"/>
  <c r="X1281" i="39" s="1"/>
  <c r="X1282" i="39" s="1"/>
  <c r="X1283" i="39" s="1"/>
  <c r="X1284" i="39" s="1"/>
  <c r="X1285" i="39" s="1"/>
  <c r="X1286" i="39" s="1"/>
  <c r="X1287" i="39" s="1"/>
  <c r="X1288" i="39" s="1"/>
  <c r="X1289" i="39" s="1"/>
  <c r="X1290" i="39" s="1"/>
  <c r="X1291" i="39" s="1"/>
  <c r="X1292" i="39" s="1"/>
  <c r="Y1277" i="39"/>
  <c r="X1225" i="39"/>
  <c r="X1226" i="39" s="1"/>
  <c r="X1318" i="39"/>
  <c r="X1319" i="39" s="1"/>
  <c r="X838" i="39"/>
  <c r="X839" i="39" s="1"/>
  <c r="X999" i="39"/>
  <c r="X1688" i="39"/>
  <c r="Y1714" i="39"/>
  <c r="X1715" i="39"/>
  <c r="X1467" i="39"/>
  <c r="X1468" i="39" s="1"/>
  <c r="Y746" i="39"/>
  <c r="Y1591" i="39"/>
  <c r="X1592" i="39"/>
  <c r="X1053" i="39"/>
  <c r="X1624" i="39"/>
  <c r="X1787" i="39"/>
  <c r="X1377" i="39"/>
  <c r="X1492" i="39"/>
  <c r="V1787" i="39"/>
  <c r="F1788" i="39"/>
  <c r="C1787" i="39"/>
  <c r="U1787" i="39" s="1"/>
  <c r="C1225" i="39"/>
  <c r="U1225" i="39" s="1"/>
  <c r="F1226" i="39"/>
  <c r="Y1226" i="39" s="1"/>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C1714" i="39"/>
  <c r="U1714" i="39" s="1"/>
  <c r="V1714" i="39"/>
  <c r="F1715" i="39"/>
  <c r="F839" i="39"/>
  <c r="Y839" i="39" s="1"/>
  <c r="V1687" i="39"/>
  <c r="F1688" i="39"/>
  <c r="Y1688" i="39" s="1"/>
  <c r="C1687" i="39"/>
  <c r="U1687" i="39" s="1"/>
  <c r="F50" i="39"/>
  <c r="Y50" i="39" s="1"/>
  <c r="C1318" i="39"/>
  <c r="U1318" i="39" s="1"/>
  <c r="V1318" i="39"/>
  <c r="F1319" i="39"/>
  <c r="F33" i="39"/>
  <c r="Y33" i="39" s="1"/>
  <c r="V32" i="39"/>
  <c r="C32" i="39"/>
  <c r="U32" i="39" s="1"/>
  <c r="F215" i="39"/>
  <c r="Y215" i="39" s="1"/>
  <c r="V1467" i="39"/>
  <c r="F1468" i="39"/>
  <c r="Y1468" i="39" s="1"/>
  <c r="C1467" i="39"/>
  <c r="U1467" i="39" s="1"/>
  <c r="C837" i="39"/>
  <c r="U837" i="39" s="1"/>
  <c r="V837" i="39"/>
  <c r="V901" i="39"/>
  <c r="C901" i="39"/>
  <c r="U901" i="39" s="1"/>
  <c r="F902" i="39"/>
  <c r="Y902" i="39" s="1"/>
  <c r="V746" i="39"/>
  <c r="V1591" i="39"/>
  <c r="C1591" i="39"/>
  <c r="U1591" i="39" s="1"/>
  <c r="F1592" i="39"/>
  <c r="F747" i="39"/>
  <c r="F749" i="39"/>
  <c r="C746" i="39"/>
  <c r="U746"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Y1378" i="39" s="1"/>
  <c r="C1377" i="39"/>
  <c r="U1377" i="39" s="1"/>
  <c r="V1377" i="39"/>
  <c r="C814" i="39"/>
  <c r="U814" i="39" s="1"/>
  <c r="F815" i="39"/>
  <c r="Y815" i="39" s="1"/>
  <c r="V814" i="39"/>
  <c r="V1277" i="39"/>
  <c r="C1277" i="39"/>
  <c r="U1277" i="39" s="1"/>
  <c r="F784" i="39"/>
  <c r="Y784" i="39" s="1"/>
  <c r="V783" i="39"/>
  <c r="C783" i="39"/>
  <c r="U783" i="39" s="1"/>
  <c r="C1408" i="39"/>
  <c r="U1408" i="39" s="1"/>
  <c r="V1408" i="39"/>
  <c r="F1409" i="39"/>
  <c r="Y1409" i="39" s="1"/>
  <c r="C1492" i="39"/>
  <c r="U1492" i="39" s="1"/>
  <c r="F1493" i="39"/>
  <c r="Y1493" i="39" s="1"/>
  <c r="V1492" i="39"/>
  <c r="F1624" i="39"/>
  <c r="Y1624" i="39" s="1"/>
  <c r="V1623" i="39"/>
  <c r="C1623" i="39"/>
  <c r="U1623" i="39" s="1"/>
  <c r="F1809" i="39"/>
  <c r="Y1809" i="39" s="1"/>
  <c r="C1808" i="39"/>
  <c r="U1808" i="39" s="1"/>
  <c r="V1808" i="39"/>
  <c r="F949" i="39"/>
  <c r="Y949" i="39" s="1"/>
  <c r="V947" i="39"/>
  <c r="C947" i="39"/>
  <c r="U947" i="39" s="1"/>
  <c r="F948" i="39"/>
  <c r="Y948" i="39" s="1"/>
  <c r="C1351" i="39"/>
  <c r="U1351" i="39" s="1"/>
  <c r="F1352" i="39"/>
  <c r="Y1352" i="39" s="1"/>
  <c r="V1351" i="39"/>
  <c r="C1291" i="39"/>
  <c r="U1291" i="39" s="1"/>
  <c r="V1291" i="39"/>
  <c r="F1292" i="39"/>
  <c r="Y1292" i="39" s="1"/>
  <c r="X1068" i="39" l="1"/>
  <c r="X1000" i="39"/>
  <c r="Y747" i="39"/>
  <c r="X1789" i="39"/>
  <c r="X1790" i="39" s="1"/>
  <c r="X1791" i="39" s="1"/>
  <c r="X1792" i="39" s="1"/>
  <c r="X1793" i="39" s="1"/>
  <c r="X1794" i="39" s="1"/>
  <c r="Y1788" i="39"/>
  <c r="X1352" i="39"/>
  <c r="X1493" i="39"/>
  <c r="Y749" i="39"/>
  <c r="Y1592" i="39"/>
  <c r="Y1715" i="39"/>
  <c r="X1378" i="39"/>
  <c r="X1409" i="39"/>
  <c r="X1410" i="39" s="1"/>
  <c r="X1469" i="39"/>
  <c r="X1320" i="39"/>
  <c r="Y1319" i="39"/>
  <c r="X1809" i="39"/>
  <c r="X1788" i="39"/>
  <c r="X1182" i="39"/>
  <c r="V1788" i="39"/>
  <c r="C1788" i="39"/>
  <c r="U1788" i="39" s="1"/>
  <c r="V1226" i="39"/>
  <c r="F1227" i="39"/>
  <c r="Y1227" i="39" s="1"/>
  <c r="C1226" i="39"/>
  <c r="U1226"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6" i="39"/>
  <c r="X1716" i="39" s="1"/>
  <c r="C1715" i="39"/>
  <c r="U1715" i="39" s="1"/>
  <c r="V1715" i="39"/>
  <c r="F840" i="39"/>
  <c r="Y840" i="39" s="1"/>
  <c r="V1688" i="39"/>
  <c r="F1689" i="39"/>
  <c r="Y1689" i="39" s="1"/>
  <c r="C1688" i="39"/>
  <c r="U1688" i="39" s="1"/>
  <c r="F51" i="39"/>
  <c r="V1319" i="39"/>
  <c r="F1320" i="39"/>
  <c r="C1319" i="39"/>
  <c r="U1319" i="39" s="1"/>
  <c r="V33" i="39"/>
  <c r="F34" i="39"/>
  <c r="C33" i="39"/>
  <c r="U33" i="39" s="1"/>
  <c r="V49" i="39"/>
  <c r="C49" i="39"/>
  <c r="U49" i="39" s="1"/>
  <c r="F216" i="39"/>
  <c r="Y216" i="39" s="1"/>
  <c r="V1468" i="39"/>
  <c r="F1469" i="39"/>
  <c r="Y1469" i="39" s="1"/>
  <c r="C1468" i="39"/>
  <c r="U1468" i="39" s="1"/>
  <c r="C838" i="39"/>
  <c r="U838" i="39" s="1"/>
  <c r="V838" i="39"/>
  <c r="F748" i="39"/>
  <c r="V747" i="39"/>
  <c r="C747" i="39"/>
  <c r="U747" i="39" s="1"/>
  <c r="V902" i="39"/>
  <c r="C902" i="39"/>
  <c r="U902" i="39" s="1"/>
  <c r="F903" i="39"/>
  <c r="Y903" i="39" s="1"/>
  <c r="F1593" i="39"/>
  <c r="Y1593" i="39" s="1"/>
  <c r="C1592" i="39"/>
  <c r="U1592" i="39" s="1"/>
  <c r="V1592" i="39"/>
  <c r="F750" i="39"/>
  <c r="Y750" i="39" s="1"/>
  <c r="C749" i="39"/>
  <c r="U749" i="39" s="1"/>
  <c r="V749"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Y1379" i="39" s="1"/>
  <c r="V1378" i="39"/>
  <c r="C815" i="39"/>
  <c r="U815" i="39" s="1"/>
  <c r="F818" i="39"/>
  <c r="Y818" i="39" s="1"/>
  <c r="F816" i="39"/>
  <c r="Y816" i="39" s="1"/>
  <c r="V815" i="39"/>
  <c r="F817" i="39"/>
  <c r="Y817" i="39" s="1"/>
  <c r="F785" i="39"/>
  <c r="Y785" i="39" s="1"/>
  <c r="V784" i="39"/>
  <c r="C784" i="39"/>
  <c r="U784" i="39" s="1"/>
  <c r="F1410" i="39"/>
  <c r="Y1410" i="39" s="1"/>
  <c r="C1409" i="39"/>
  <c r="U1409" i="39" s="1"/>
  <c r="V1409" i="39"/>
  <c r="V1809" i="39"/>
  <c r="C1809" i="39"/>
  <c r="U1809" i="39" s="1"/>
  <c r="F1810" i="39"/>
  <c r="F1494" i="39"/>
  <c r="Y1494" i="39" s="1"/>
  <c r="V1493" i="39"/>
  <c r="C1493" i="39"/>
  <c r="U1493" i="39" s="1"/>
  <c r="F1293" i="39"/>
  <c r="Y1293" i="39" s="1"/>
  <c r="V1292" i="39"/>
  <c r="C1292" i="39"/>
  <c r="U1292" i="39" s="1"/>
  <c r="V1624" i="39"/>
  <c r="F1625" i="39"/>
  <c r="Y1625" i="39" s="1"/>
  <c r="C1624" i="39"/>
  <c r="U1624" i="39" s="1"/>
  <c r="V1352" i="39"/>
  <c r="C1352" i="39"/>
  <c r="U1352" i="39" s="1"/>
  <c r="F1353" i="39"/>
  <c r="Y1353" i="39" s="1"/>
  <c r="V949" i="39"/>
  <c r="C949" i="39"/>
  <c r="U949" i="39" s="1"/>
  <c r="V948" i="39"/>
  <c r="C948" i="39"/>
  <c r="U948" i="39" s="1"/>
  <c r="F950" i="39"/>
  <c r="Y950" i="39" s="1"/>
  <c r="X1353" i="39" l="1"/>
  <c r="X1379" i="39"/>
  <c r="X1593" i="39"/>
  <c r="X1494" i="39"/>
  <c r="Y51" i="39"/>
  <c r="X888" i="39"/>
  <c r="X889" i="39" s="1"/>
  <c r="X890" i="39" s="1"/>
  <c r="X891" i="39" s="1"/>
  <c r="X892" i="39" s="1"/>
  <c r="X893" i="39" s="1"/>
  <c r="X894" i="39" s="1"/>
  <c r="X895" i="39" s="1"/>
  <c r="X896" i="39" s="1"/>
  <c r="X897" i="39" s="1"/>
  <c r="X898" i="39" s="1"/>
  <c r="X899" i="39" s="1"/>
  <c r="X900" i="39" s="1"/>
  <c r="X901" i="39" s="1"/>
  <c r="X902" i="39" s="1"/>
  <c r="X903" i="39" s="1"/>
  <c r="Y887" i="39"/>
  <c r="X35" i="39"/>
  <c r="X36" i="39" s="1"/>
  <c r="X37" i="39" s="1"/>
  <c r="X38" i="39" s="1"/>
  <c r="X39" i="39" s="1"/>
  <c r="X40" i="39" s="1"/>
  <c r="X41" i="39" s="1"/>
  <c r="X42" i="39" s="1"/>
  <c r="X43" i="39" s="1"/>
  <c r="X44" i="39" s="1"/>
  <c r="X45" i="39" s="1"/>
  <c r="X46" i="39" s="1"/>
  <c r="X47" i="39" s="1"/>
  <c r="X48" i="39" s="1"/>
  <c r="X49" i="39" s="1"/>
  <c r="X50" i="39" s="1"/>
  <c r="X51" i="39" s="1"/>
  <c r="Y34" i="39"/>
  <c r="X1293" i="39"/>
  <c r="Y1320" i="39"/>
  <c r="X1810" i="39"/>
  <c r="X840" i="39"/>
  <c r="Y1810" i="39"/>
  <c r="X1811" i="39"/>
  <c r="X1812" i="39" s="1"/>
  <c r="X1813" i="39" s="1"/>
  <c r="X1814" i="39" s="1"/>
  <c r="X1815" i="39" s="1"/>
  <c r="X1816" i="39" s="1"/>
  <c r="X1817" i="39" s="1"/>
  <c r="X1818" i="39" s="1"/>
  <c r="X1183" i="39"/>
  <c r="X1184" i="39" s="1"/>
  <c r="X1689" i="39"/>
  <c r="X1227" i="39"/>
  <c r="X1228" i="39" s="1"/>
  <c r="X1001" i="39"/>
  <c r="X1002" i="39" s="1"/>
  <c r="X1069" i="39"/>
  <c r="Y748" i="39"/>
  <c r="X1717" i="39"/>
  <c r="Y1716" i="39"/>
  <c r="X1625" i="39"/>
  <c r="F1228" i="39"/>
  <c r="Y1228" i="39" s="1"/>
  <c r="C1227" i="39"/>
  <c r="U1227" i="39" s="1"/>
  <c r="V1227" i="39"/>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6" i="39"/>
  <c r="U1716" i="39" s="1"/>
  <c r="V1716" i="39"/>
  <c r="F1717" i="39"/>
  <c r="F841" i="39"/>
  <c r="Y841" i="39" s="1"/>
  <c r="V1689" i="39"/>
  <c r="F1690" i="39"/>
  <c r="Y1690" i="39" s="1"/>
  <c r="C1689" i="39"/>
  <c r="U1689" i="39" s="1"/>
  <c r="F52" i="39"/>
  <c r="Y52" i="39" s="1"/>
  <c r="F1321" i="39"/>
  <c r="Y1321" i="39" s="1"/>
  <c r="C1320" i="39"/>
  <c r="U1320" i="39" s="1"/>
  <c r="V1320" i="39"/>
  <c r="V34" i="39"/>
  <c r="C34" i="39"/>
  <c r="U34" i="39" s="1"/>
  <c r="C50" i="39"/>
  <c r="U50" i="39" s="1"/>
  <c r="V50" i="39"/>
  <c r="F217" i="39"/>
  <c r="V839" i="39"/>
  <c r="V1469" i="39"/>
  <c r="C1469" i="39"/>
  <c r="U1469" i="39" s="1"/>
  <c r="F1470" i="39"/>
  <c r="C839" i="39"/>
  <c r="U839" i="39" s="1"/>
  <c r="C748" i="39"/>
  <c r="U748" i="39" s="1"/>
  <c r="F751" i="39"/>
  <c r="Y751" i="39" s="1"/>
  <c r="V748" i="39"/>
  <c r="V903" i="39"/>
  <c r="F904" i="39"/>
  <c r="Y904" i="39" s="1"/>
  <c r="C903" i="39"/>
  <c r="U903" i="39" s="1"/>
  <c r="C750" i="39"/>
  <c r="U750" i="39" s="1"/>
  <c r="V1593" i="39"/>
  <c r="C1593" i="39"/>
  <c r="U1593" i="39" s="1"/>
  <c r="F1594" i="39"/>
  <c r="Y1594" i="39" s="1"/>
  <c r="V750" i="39"/>
  <c r="C216" i="39"/>
  <c r="U216" i="39" s="1"/>
  <c r="V216" i="39"/>
  <c r="V1093" i="39"/>
  <c r="F1094" i="39"/>
  <c r="Y1094" i="39" s="1"/>
  <c r="C1093" i="39"/>
  <c r="U1093" i="39" s="1"/>
  <c r="V1069" i="39"/>
  <c r="C1069" i="39"/>
  <c r="U1069" i="39" s="1"/>
  <c r="F1070" i="39"/>
  <c r="Y1070" i="39" s="1"/>
  <c r="V887" i="39"/>
  <c r="C887" i="39"/>
  <c r="U887" i="39" s="1"/>
  <c r="V1379" i="39"/>
  <c r="F1380" i="39"/>
  <c r="Y1380" i="39" s="1"/>
  <c r="C1379" i="39"/>
  <c r="U1379" i="39" s="1"/>
  <c r="F819" i="39"/>
  <c r="V816" i="39"/>
  <c r="C816" i="39"/>
  <c r="U816" i="39" s="1"/>
  <c r="C817" i="39"/>
  <c r="U817" i="39" s="1"/>
  <c r="V817" i="39"/>
  <c r="V818" i="39"/>
  <c r="C818" i="39"/>
  <c r="U818" i="39" s="1"/>
  <c r="F786" i="39"/>
  <c r="Y786" i="39" s="1"/>
  <c r="V785" i="39"/>
  <c r="C785" i="39"/>
  <c r="U785" i="39" s="1"/>
  <c r="V1410" i="39"/>
  <c r="F1411" i="39"/>
  <c r="Y1411" i="39" s="1"/>
  <c r="C1410" i="39"/>
  <c r="U1410" i="39" s="1"/>
  <c r="V1810" i="39"/>
  <c r="C1810" i="39"/>
  <c r="U1810" i="39" s="1"/>
  <c r="C1293" i="39"/>
  <c r="U1293" i="39" s="1"/>
  <c r="F1294" i="39"/>
  <c r="Y1294" i="39" s="1"/>
  <c r="V1293" i="39"/>
  <c r="C1494" i="39"/>
  <c r="U1494" i="39" s="1"/>
  <c r="V1494" i="39"/>
  <c r="F1495" i="39"/>
  <c r="Y1495" i="39" s="1"/>
  <c r="F951" i="39"/>
  <c r="Y951" i="39" s="1"/>
  <c r="V950" i="39"/>
  <c r="C950" i="39"/>
  <c r="U950" i="39" s="1"/>
  <c r="F1626" i="39"/>
  <c r="Y1626" i="39" s="1"/>
  <c r="C1625" i="39"/>
  <c r="U1625" i="39" s="1"/>
  <c r="V1625" i="39"/>
  <c r="C1353" i="39"/>
  <c r="U1353" i="39" s="1"/>
  <c r="V1353" i="39"/>
  <c r="F1354" i="39"/>
  <c r="Y1354" i="39" s="1"/>
  <c r="X841" i="39" l="1"/>
  <c r="X1690" i="39"/>
  <c r="X904" i="39"/>
  <c r="X1626" i="39"/>
  <c r="X1321" i="39"/>
  <c r="X1380" i="39"/>
  <c r="Y1470" i="39"/>
  <c r="X1471" i="39"/>
  <c r="X1472" i="39" s="1"/>
  <c r="X1473" i="39" s="1"/>
  <c r="X1474" i="39" s="1"/>
  <c r="X1475" i="39" s="1"/>
  <c r="X1476" i="39" s="1"/>
  <c r="Y217" i="39"/>
  <c r="X52" i="39"/>
  <c r="X53" i="39" s="1"/>
  <c r="X1185" i="39"/>
  <c r="X1627" i="39"/>
  <c r="X1229" i="39"/>
  <c r="X1294" i="39"/>
  <c r="X1295" i="39" s="1"/>
  <c r="Y1717" i="39"/>
  <c r="X1495" i="39"/>
  <c r="X1496" i="39" s="1"/>
  <c r="X1691" i="39"/>
  <c r="X1070" i="39"/>
  <c r="X1071" i="39" s="1"/>
  <c r="X1470" i="39"/>
  <c r="X905" i="39"/>
  <c r="X1354" i="39"/>
  <c r="Y819" i="39"/>
  <c r="X820" i="39"/>
  <c r="X821" i="39" s="1"/>
  <c r="X822" i="39" s="1"/>
  <c r="X823" i="39" s="1"/>
  <c r="X824" i="39" s="1"/>
  <c r="X1411" i="39"/>
  <c r="X1594" i="39"/>
  <c r="V1228" i="39"/>
  <c r="C1228" i="39"/>
  <c r="U1228" i="39" s="1"/>
  <c r="F1229" i="39"/>
  <c r="Y1229" i="39" s="1"/>
  <c r="C1002" i="39"/>
  <c r="U1002" i="39" s="1"/>
  <c r="F1003" i="39"/>
  <c r="Y1003" i="39" s="1"/>
  <c r="V1002" i="39"/>
  <c r="F1185" i="39"/>
  <c r="V1184" i="39"/>
  <c r="C1184" i="39"/>
  <c r="U1184" i="39" s="1"/>
  <c r="F1029" i="39"/>
  <c r="Y1029" i="39" s="1"/>
  <c r="C1028" i="39"/>
  <c r="U1028" i="39" s="1"/>
  <c r="V1028" i="39"/>
  <c r="V493" i="39"/>
  <c r="C493" i="39"/>
  <c r="U493" i="39" s="1"/>
  <c r="F494" i="39"/>
  <c r="Y494" i="39" s="1"/>
  <c r="F1718" i="39"/>
  <c r="Y1718" i="39" s="1"/>
  <c r="V1717" i="39"/>
  <c r="C1717" i="39"/>
  <c r="U1717" i="39" s="1"/>
  <c r="F842" i="39"/>
  <c r="F755" i="39"/>
  <c r="Y755" i="39" s="1"/>
  <c r="V1690" i="39"/>
  <c r="F1691" i="39"/>
  <c r="Y1691" i="39" s="1"/>
  <c r="C1690" i="39"/>
  <c r="U1690" i="39" s="1"/>
  <c r="F53" i="39"/>
  <c r="V1321" i="39"/>
  <c r="C1321" i="39"/>
  <c r="U1321" i="39" s="1"/>
  <c r="F1322" i="39"/>
  <c r="Y1322" i="39" s="1"/>
  <c r="V51" i="39"/>
  <c r="C51" i="39"/>
  <c r="U51" i="39" s="1"/>
  <c r="F218" i="39"/>
  <c r="V1470" i="39"/>
  <c r="C1470" i="39"/>
  <c r="U1470" i="39" s="1"/>
  <c r="V840" i="39"/>
  <c r="C840" i="39"/>
  <c r="U840" i="39" s="1"/>
  <c r="C904" i="39"/>
  <c r="U904" i="39" s="1"/>
  <c r="V904" i="39"/>
  <c r="F905" i="39"/>
  <c r="Y905" i="39" s="1"/>
  <c r="V751" i="39"/>
  <c r="F752" i="39"/>
  <c r="C751" i="39"/>
  <c r="U751" i="39" s="1"/>
  <c r="F1595" i="39"/>
  <c r="Y1595" i="39" s="1"/>
  <c r="V1594" i="39"/>
  <c r="C1594" i="39"/>
  <c r="U1594" i="39" s="1"/>
  <c r="V217" i="39"/>
  <c r="C217" i="39"/>
  <c r="U217" i="39" s="1"/>
  <c r="F1095" i="39"/>
  <c r="Y1095" i="39" s="1"/>
  <c r="V1094" i="39"/>
  <c r="C1094" i="39"/>
  <c r="U1094" i="39" s="1"/>
  <c r="F1071" i="39"/>
  <c r="Y1071" i="39" s="1"/>
  <c r="V1070" i="39"/>
  <c r="C1070" i="39"/>
  <c r="U1070" i="39" s="1"/>
  <c r="F1381" i="39"/>
  <c r="Y1381" i="39" s="1"/>
  <c r="C1380" i="39"/>
  <c r="U1380" i="39" s="1"/>
  <c r="V1380" i="39"/>
  <c r="C819" i="39"/>
  <c r="U819" i="39" s="1"/>
  <c r="V819" i="39"/>
  <c r="F787" i="39"/>
  <c r="Y787" i="39" s="1"/>
  <c r="C786" i="39"/>
  <c r="U786" i="39" s="1"/>
  <c r="V786" i="39"/>
  <c r="C1411" i="39"/>
  <c r="U1411" i="39" s="1"/>
  <c r="V1411" i="39"/>
  <c r="F1412" i="39"/>
  <c r="Y1412" i="39" s="1"/>
  <c r="F1355" i="39"/>
  <c r="Y1355" i="39" s="1"/>
  <c r="C1354" i="39"/>
  <c r="U1354" i="39" s="1"/>
  <c r="V1354" i="39"/>
  <c r="V1495" i="39"/>
  <c r="F1496" i="39"/>
  <c r="Y1496" i="39" s="1"/>
  <c r="C1495" i="39"/>
  <c r="U1495" i="39" s="1"/>
  <c r="C1626" i="39"/>
  <c r="U1626" i="39" s="1"/>
  <c r="V1626" i="39"/>
  <c r="F1627" i="39"/>
  <c r="Y1627" i="39" s="1"/>
  <c r="C1294" i="39"/>
  <c r="U1294" i="39" s="1"/>
  <c r="F1295" i="39"/>
  <c r="V1294" i="39"/>
  <c r="C951" i="39"/>
  <c r="U951" i="39" s="1"/>
  <c r="V951" i="39"/>
  <c r="F952" i="39"/>
  <c r="Y952" i="39" s="1"/>
  <c r="Y842" i="39" l="1"/>
  <c r="Y752" i="39"/>
  <c r="Y218" i="39"/>
  <c r="X1381" i="39"/>
  <c r="X1718" i="39"/>
  <c r="X1186" i="39"/>
  <c r="X1187" i="39" s="1"/>
  <c r="X1188" i="39" s="1"/>
  <c r="X1189" i="39" s="1"/>
  <c r="X1190" i="39" s="1"/>
  <c r="X1191" i="39" s="1"/>
  <c r="X1192" i="39" s="1"/>
  <c r="X1193" i="39" s="1"/>
  <c r="X1194" i="39" s="1"/>
  <c r="X1195" i="39" s="1"/>
  <c r="X1196" i="39" s="1"/>
  <c r="X1197" i="39" s="1"/>
  <c r="X1198" i="39" s="1"/>
  <c r="Y1185" i="39"/>
  <c r="X1595" i="39"/>
  <c r="X1322" i="39"/>
  <c r="Y1295" i="39"/>
  <c r="X1296" i="39"/>
  <c r="X1297" i="39" s="1"/>
  <c r="X1298" i="39" s="1"/>
  <c r="X1299" i="39" s="1"/>
  <c r="X1300" i="39" s="1"/>
  <c r="X1301" i="39" s="1"/>
  <c r="X1302" i="39" s="1"/>
  <c r="X1303" i="39" s="1"/>
  <c r="X1412" i="39"/>
  <c r="X1413" i="39" s="1"/>
  <c r="X842" i="39"/>
  <c r="X843" i="39" s="1"/>
  <c r="X1355" i="39"/>
  <c r="Y53" i="39"/>
  <c r="X1003" i="39"/>
  <c r="F1230" i="39"/>
  <c r="Y1230" i="39" s="1"/>
  <c r="C1229" i="39"/>
  <c r="U1229" i="39" s="1"/>
  <c r="V1229" i="39"/>
  <c r="C1003" i="39"/>
  <c r="U1003" i="39" s="1"/>
  <c r="V1003" i="39"/>
  <c r="F1004" i="39"/>
  <c r="Y1004" i="39" s="1"/>
  <c r="V1185" i="39"/>
  <c r="C1185" i="39"/>
  <c r="U1185" i="39" s="1"/>
  <c r="F1030" i="39"/>
  <c r="Y1030" i="39" s="1"/>
  <c r="V1029" i="39"/>
  <c r="C1029" i="39"/>
  <c r="U1029" i="39" s="1"/>
  <c r="F495" i="39"/>
  <c r="Y495" i="39" s="1"/>
  <c r="V494" i="39"/>
  <c r="C494" i="39"/>
  <c r="U494" i="39" s="1"/>
  <c r="C1718" i="39"/>
  <c r="U1718" i="39" s="1"/>
  <c r="F1719" i="39"/>
  <c r="Y1719" i="39" s="1"/>
  <c r="V1718" i="39"/>
  <c r="F843" i="39"/>
  <c r="Y843" i="39" s="1"/>
  <c r="V755" i="39"/>
  <c r="C755" i="39"/>
  <c r="U755" i="39" s="1"/>
  <c r="V1691" i="39"/>
  <c r="F1692" i="39"/>
  <c r="Y1692" i="39" s="1"/>
  <c r="C1691" i="39"/>
  <c r="U1691" i="39" s="1"/>
  <c r="F54" i="39"/>
  <c r="Y54" i="39" s="1"/>
  <c r="V1322" i="39"/>
  <c r="C1322" i="39"/>
  <c r="U1322" i="39" s="1"/>
  <c r="F1323" i="39"/>
  <c r="Y1323" i="39" s="1"/>
  <c r="F219" i="39"/>
  <c r="V52" i="39"/>
  <c r="C52" i="39"/>
  <c r="U52" i="39" s="1"/>
  <c r="C841" i="39"/>
  <c r="U841" i="39" s="1"/>
  <c r="V841" i="39"/>
  <c r="F753" i="39"/>
  <c r="Y753" i="39" s="1"/>
  <c r="V905" i="39"/>
  <c r="F757" i="39"/>
  <c r="Y757" i="39" s="1"/>
  <c r="C752" i="39"/>
  <c r="U752" i="39" s="1"/>
  <c r="V752" i="39"/>
  <c r="F758" i="39"/>
  <c r="Y758" i="39" s="1"/>
  <c r="F756" i="39"/>
  <c r="Y756" i="39" s="1"/>
  <c r="F906" i="39"/>
  <c r="Y906" i="39" s="1"/>
  <c r="C905" i="39"/>
  <c r="U905" i="39" s="1"/>
  <c r="V1595" i="39"/>
  <c r="C1595" i="39"/>
  <c r="U1595" i="39" s="1"/>
  <c r="F1596" i="39"/>
  <c r="Y1596" i="39" s="1"/>
  <c r="C218" i="39"/>
  <c r="U218" i="39" s="1"/>
  <c r="V218" i="39"/>
  <c r="C1095" i="39"/>
  <c r="U1095" i="39" s="1"/>
  <c r="V1095" i="39"/>
  <c r="F1096" i="39"/>
  <c r="Y1096" i="39" s="1"/>
  <c r="V1071" i="39"/>
  <c r="C1071" i="39"/>
  <c r="U1071" i="39" s="1"/>
  <c r="F1072" i="39"/>
  <c r="Y1072" i="39" s="1"/>
  <c r="C1381" i="39"/>
  <c r="U1381" i="39" s="1"/>
  <c r="F1382" i="39"/>
  <c r="Y1382" i="39" s="1"/>
  <c r="V1381" i="39"/>
  <c r="F788" i="39"/>
  <c r="Y788" i="39" s="1"/>
  <c r="V787" i="39"/>
  <c r="C787" i="39"/>
  <c r="U787" i="39" s="1"/>
  <c r="F1413" i="39"/>
  <c r="Y1413" i="39" s="1"/>
  <c r="V1412" i="39"/>
  <c r="C1412" i="39"/>
  <c r="U1412" i="39" s="1"/>
  <c r="C1496" i="39"/>
  <c r="U1496" i="39" s="1"/>
  <c r="V1496" i="39"/>
  <c r="F1497" i="39"/>
  <c r="Y1497" i="39" s="1"/>
  <c r="F1628" i="39"/>
  <c r="Y1628" i="39" s="1"/>
  <c r="V1627" i="39"/>
  <c r="C1627" i="39"/>
  <c r="U1627" i="39" s="1"/>
  <c r="C1295" i="39"/>
  <c r="U1295" i="39" s="1"/>
  <c r="V1295" i="39"/>
  <c r="V1355" i="39"/>
  <c r="C1355" i="39"/>
  <c r="U1355" i="39" s="1"/>
  <c r="F1356" i="39"/>
  <c r="Y1356" i="39" s="1"/>
  <c r="F953" i="39"/>
  <c r="Y953" i="39" s="1"/>
  <c r="C952" i="39"/>
  <c r="U952" i="39" s="1"/>
  <c r="V952" i="39"/>
  <c r="X1323" i="39" l="1"/>
  <c r="X1596" i="39"/>
  <c r="X906" i="39"/>
  <c r="X1230" i="39"/>
  <c r="X1719" i="39"/>
  <c r="X1382" i="39"/>
  <c r="X1383" i="39" s="1"/>
  <c r="Y219" i="39"/>
  <c r="X1004" i="39"/>
  <c r="X1628" i="39"/>
  <c r="X54" i="39"/>
  <c r="X1692" i="39"/>
  <c r="X1693" i="39" s="1"/>
  <c r="X1497" i="39"/>
  <c r="X1072" i="39"/>
  <c r="X1356" i="39"/>
  <c r="V1004" i="39"/>
  <c r="F1005" i="39"/>
  <c r="Y1005" i="39" s="1"/>
  <c r="C1004" i="39"/>
  <c r="U1004" i="39" s="1"/>
  <c r="V1230" i="39"/>
  <c r="C1230" i="39"/>
  <c r="U1230" i="39" s="1"/>
  <c r="F1231" i="39"/>
  <c r="Y1231" i="39" s="1"/>
  <c r="F1031" i="39"/>
  <c r="Y1031" i="39" s="1"/>
  <c r="C1030" i="39"/>
  <c r="U1030" i="39" s="1"/>
  <c r="V1030" i="39"/>
  <c r="C495" i="39"/>
  <c r="U495" i="39" s="1"/>
  <c r="F496" i="39"/>
  <c r="Y496" i="39" s="1"/>
  <c r="V495" i="39"/>
  <c r="F1720" i="39"/>
  <c r="Y1720" i="39" s="1"/>
  <c r="V1719" i="39"/>
  <c r="C1719" i="39"/>
  <c r="U1719" i="39" s="1"/>
  <c r="F844" i="39"/>
  <c r="Y844" i="39" s="1"/>
  <c r="V1692" i="39"/>
  <c r="F1693" i="39"/>
  <c r="C1692" i="39"/>
  <c r="U1692" i="39" s="1"/>
  <c r="F55" i="39"/>
  <c r="Y55" i="39" s="1"/>
  <c r="V1323" i="39"/>
  <c r="F1324" i="39"/>
  <c r="X1324" i="39" s="1"/>
  <c r="C1323" i="39"/>
  <c r="U1323" i="39" s="1"/>
  <c r="F220" i="39"/>
  <c r="Y220" i="39" s="1"/>
  <c r="V53" i="39"/>
  <c r="C53" i="39"/>
  <c r="U53" i="39" s="1"/>
  <c r="V842" i="39"/>
  <c r="C842" i="39"/>
  <c r="U842" i="39" s="1"/>
  <c r="V753" i="39"/>
  <c r="C753" i="39"/>
  <c r="U753" i="39" s="1"/>
  <c r="F759" i="39"/>
  <c r="Y759" i="39" s="1"/>
  <c r="F754" i="39"/>
  <c r="C757" i="39"/>
  <c r="U757" i="39" s="1"/>
  <c r="V757" i="39"/>
  <c r="V758" i="39"/>
  <c r="V756" i="39"/>
  <c r="C756" i="39"/>
  <c r="U756" i="39" s="1"/>
  <c r="C758" i="39"/>
  <c r="U758" i="39" s="1"/>
  <c r="V906" i="39"/>
  <c r="C906" i="39"/>
  <c r="U906" i="39" s="1"/>
  <c r="F907" i="39"/>
  <c r="Y907" i="39" s="1"/>
  <c r="V1596" i="39"/>
  <c r="C1596" i="39"/>
  <c r="U1596" i="39" s="1"/>
  <c r="F1597" i="39"/>
  <c r="Y1597" i="39" s="1"/>
  <c r="C219" i="39"/>
  <c r="U219" i="39" s="1"/>
  <c r="V219" i="39"/>
  <c r="F1097" i="39"/>
  <c r="Y1097" i="39" s="1"/>
  <c r="C1096" i="39"/>
  <c r="U1096" i="39" s="1"/>
  <c r="V1096" i="39"/>
  <c r="F1073" i="39"/>
  <c r="Y1073" i="39" s="1"/>
  <c r="V1072" i="39"/>
  <c r="C1072" i="39"/>
  <c r="U1072" i="39" s="1"/>
  <c r="C1382" i="39"/>
  <c r="U1382" i="39" s="1"/>
  <c r="F1383" i="39"/>
  <c r="Y1383" i="39" s="1"/>
  <c r="V1382" i="39"/>
  <c r="F789" i="39"/>
  <c r="Y789" i="39" s="1"/>
  <c r="C788" i="39"/>
  <c r="U788" i="39" s="1"/>
  <c r="V788" i="39"/>
  <c r="F1414" i="39"/>
  <c r="Y1414" i="39" s="1"/>
  <c r="V1413" i="39"/>
  <c r="C1413" i="39"/>
  <c r="U1413" i="39" s="1"/>
  <c r="V953" i="39"/>
  <c r="F954" i="39"/>
  <c r="Y954" i="39" s="1"/>
  <c r="C953" i="39"/>
  <c r="U953" i="39" s="1"/>
  <c r="F1498" i="39"/>
  <c r="Y1498" i="39" s="1"/>
  <c r="C1497" i="39"/>
  <c r="U1497" i="39" s="1"/>
  <c r="V1497" i="39"/>
  <c r="C1628" i="39"/>
  <c r="U1628" i="39" s="1"/>
  <c r="F1629" i="39"/>
  <c r="Y1629" i="39" s="1"/>
  <c r="V1628" i="39"/>
  <c r="V1356" i="39"/>
  <c r="F1357" i="39"/>
  <c r="C1356" i="39"/>
  <c r="U1356" i="39" s="1"/>
  <c r="X1357" i="39" l="1"/>
  <c r="X1498" i="39"/>
  <c r="X1073" i="39"/>
  <c r="X1629" i="39"/>
  <c r="X1005" i="39"/>
  <c r="X1694" i="39"/>
  <c r="X1695" i="39" s="1"/>
  <c r="X1696" i="39" s="1"/>
  <c r="X1697" i="39" s="1"/>
  <c r="X1698" i="39" s="1"/>
  <c r="X1699" i="39" s="1"/>
  <c r="Y1693" i="39"/>
  <c r="X1231" i="39"/>
  <c r="X1232" i="39" s="1"/>
  <c r="X55" i="39"/>
  <c r="X907" i="39"/>
  <c r="X1384" i="39"/>
  <c r="X1358" i="39"/>
  <c r="X1359" i="39" s="1"/>
  <c r="X1360" i="39" s="1"/>
  <c r="X1361" i="39" s="1"/>
  <c r="X1362" i="39" s="1"/>
  <c r="X1363" i="39" s="1"/>
  <c r="Y1357" i="39"/>
  <c r="X1720" i="39"/>
  <c r="X1721" i="39" s="1"/>
  <c r="X1325" i="39"/>
  <c r="X1326" i="39" s="1"/>
  <c r="X1327" i="39" s="1"/>
  <c r="X1328" i="39" s="1"/>
  <c r="X1329" i="39" s="1"/>
  <c r="X1330" i="39" s="1"/>
  <c r="X1331" i="39" s="1"/>
  <c r="X1332" i="39" s="1"/>
  <c r="X1333" i="39" s="1"/>
  <c r="X1334" i="39" s="1"/>
  <c r="X1335" i="39" s="1"/>
  <c r="X1336" i="39" s="1"/>
  <c r="X1337" i="39" s="1"/>
  <c r="Y1324" i="39"/>
  <c r="Y754" i="39"/>
  <c r="X1597" i="39"/>
  <c r="X1598" i="39" s="1"/>
  <c r="X1074" i="39"/>
  <c r="X1414" i="39"/>
  <c r="X1415" i="39" s="1"/>
  <c r="X844" i="39"/>
  <c r="X845" i="39" s="1"/>
  <c r="F1006" i="39"/>
  <c r="Y1006" i="39" s="1"/>
  <c r="C1005" i="39"/>
  <c r="U1005" i="39" s="1"/>
  <c r="V1005" i="39"/>
  <c r="F1232" i="39"/>
  <c r="Y1232" i="39" s="1"/>
  <c r="C1231" i="39"/>
  <c r="U1231" i="39" s="1"/>
  <c r="V1231" i="39"/>
  <c r="F1032" i="39"/>
  <c r="Y1032" i="39" s="1"/>
  <c r="V1031" i="39"/>
  <c r="C1031" i="39"/>
  <c r="U1031" i="39" s="1"/>
  <c r="F497" i="39"/>
  <c r="Y497" i="39" s="1"/>
  <c r="C496" i="39"/>
  <c r="U496" i="39" s="1"/>
  <c r="V496" i="39"/>
  <c r="C1720" i="39"/>
  <c r="U1720" i="39" s="1"/>
  <c r="F1721" i="39"/>
  <c r="Y1721" i="39" s="1"/>
  <c r="V1720" i="39"/>
  <c r="V1695" i="39"/>
  <c r="C1695" i="39"/>
  <c r="U1695" i="39" s="1"/>
  <c r="F845" i="39"/>
  <c r="Y845" i="39" s="1"/>
  <c r="F221" i="39"/>
  <c r="Y221" i="39" s="1"/>
  <c r="V1693" i="39"/>
  <c r="C1693" i="39"/>
  <c r="U1693" i="39" s="1"/>
  <c r="F56" i="39"/>
  <c r="Y56" i="39" s="1"/>
  <c r="C1324" i="39"/>
  <c r="U1324" i="39" s="1"/>
  <c r="V1324" i="39"/>
  <c r="C54" i="39"/>
  <c r="U54" i="39" s="1"/>
  <c r="V54" i="39"/>
  <c r="V843" i="39"/>
  <c r="C843" i="39"/>
  <c r="U843" i="39" s="1"/>
  <c r="C754" i="39"/>
  <c r="U754" i="39" s="1"/>
  <c r="F760" i="39"/>
  <c r="Y760" i="39" s="1"/>
  <c r="V754" i="39"/>
  <c r="F761" i="39"/>
  <c r="Y761" i="39" s="1"/>
  <c r="V759" i="39"/>
  <c r="C759" i="39"/>
  <c r="U759" i="39" s="1"/>
  <c r="F908" i="39"/>
  <c r="Y908" i="39" s="1"/>
  <c r="C907" i="39"/>
  <c r="U907" i="39" s="1"/>
  <c r="V907" i="39"/>
  <c r="V1597" i="39"/>
  <c r="C1597" i="39"/>
  <c r="U1597" i="39" s="1"/>
  <c r="F1598" i="39"/>
  <c r="Y1598" i="39" s="1"/>
  <c r="V220" i="39"/>
  <c r="C220" i="39"/>
  <c r="U220" i="39" s="1"/>
  <c r="F1098" i="39"/>
  <c r="Y1098" i="39" s="1"/>
  <c r="V1097" i="39"/>
  <c r="C1097" i="39"/>
  <c r="U1097" i="39" s="1"/>
  <c r="C1073" i="39"/>
  <c r="U1073" i="39" s="1"/>
  <c r="V1073" i="39"/>
  <c r="F1074" i="39"/>
  <c r="Y1074" i="39" s="1"/>
  <c r="C1383" i="39"/>
  <c r="U1383" i="39" s="1"/>
  <c r="F1384" i="39"/>
  <c r="V1383" i="39"/>
  <c r="F790" i="39"/>
  <c r="Y790" i="39" s="1"/>
  <c r="V789" i="39"/>
  <c r="C789" i="39"/>
  <c r="U789" i="39" s="1"/>
  <c r="C1414" i="39"/>
  <c r="U1414" i="39" s="1"/>
  <c r="F1415" i="39"/>
  <c r="Y1415" i="39" s="1"/>
  <c r="V1414" i="39"/>
  <c r="C1498" i="39"/>
  <c r="U1498" i="39" s="1"/>
  <c r="F1499" i="39"/>
  <c r="Y1499" i="39" s="1"/>
  <c r="V1498" i="39"/>
  <c r="F1630" i="39"/>
  <c r="Y1630" i="39" s="1"/>
  <c r="V1629" i="39"/>
  <c r="F1631" i="39"/>
  <c r="C1629" i="39"/>
  <c r="U1629" i="39" s="1"/>
  <c r="C1357" i="39"/>
  <c r="U1357" i="39" s="1"/>
  <c r="V1357" i="39"/>
  <c r="V954" i="39"/>
  <c r="C954" i="39"/>
  <c r="U954" i="39" s="1"/>
  <c r="F955" i="39"/>
  <c r="Y955" i="39" s="1"/>
  <c r="Y1631" i="39" l="1"/>
  <c r="X1632" i="39"/>
  <c r="X1633" i="39" s="1"/>
  <c r="X1634" i="39" s="1"/>
  <c r="X1635" i="39" s="1"/>
  <c r="X1636" i="39" s="1"/>
  <c r="X1637" i="39" s="1"/>
  <c r="X1638" i="39" s="1"/>
  <c r="X1639" i="39" s="1"/>
  <c r="X1640" i="39" s="1"/>
  <c r="X1641" i="39" s="1"/>
  <c r="X1642" i="39" s="1"/>
  <c r="X1643" i="39" s="1"/>
  <c r="X1644" i="39" s="1"/>
  <c r="X1645" i="39" s="1"/>
  <c r="X56" i="39"/>
  <c r="X1499" i="39"/>
  <c r="X908" i="39"/>
  <c r="X1006" i="39"/>
  <c r="Y1384" i="39"/>
  <c r="X1385" i="39"/>
  <c r="X1386" i="39" s="1"/>
  <c r="X1387" i="39" s="1"/>
  <c r="X1388" i="39" s="1"/>
  <c r="X1389" i="39" s="1"/>
  <c r="X1390" i="39" s="1"/>
  <c r="X1391" i="39" s="1"/>
  <c r="X1392" i="39" s="1"/>
  <c r="X1393" i="39" s="1"/>
  <c r="X1394" i="39" s="1"/>
  <c r="X1630" i="39"/>
  <c r="X1631" i="39" s="1"/>
  <c r="C1006" i="39"/>
  <c r="U1006" i="39" s="1"/>
  <c r="V1006" i="39"/>
  <c r="F1007" i="39"/>
  <c r="Y1007" i="39" s="1"/>
  <c r="F1235" i="39"/>
  <c r="Y1235" i="39" s="1"/>
  <c r="C1232" i="39"/>
  <c r="U1232" i="39" s="1"/>
  <c r="V1232" i="39"/>
  <c r="F1233" i="39"/>
  <c r="Y1233" i="39" s="1"/>
  <c r="F1033" i="39"/>
  <c r="Y1033" i="39" s="1"/>
  <c r="V1032" i="39"/>
  <c r="C1032" i="39"/>
  <c r="U1032" i="39" s="1"/>
  <c r="V497" i="39"/>
  <c r="C497" i="39"/>
  <c r="U497" i="39" s="1"/>
  <c r="F498" i="39"/>
  <c r="Y498" i="39" s="1"/>
  <c r="C1721" i="39"/>
  <c r="U1721" i="39" s="1"/>
  <c r="F1722" i="39"/>
  <c r="Y1722" i="39" s="1"/>
  <c r="V1721" i="39"/>
  <c r="F846" i="39"/>
  <c r="Y846" i="39" s="1"/>
  <c r="F222" i="39"/>
  <c r="Y222" i="39" s="1"/>
  <c r="F57" i="39"/>
  <c r="C55" i="39"/>
  <c r="U55" i="39" s="1"/>
  <c r="V55" i="39"/>
  <c r="C844" i="39"/>
  <c r="U844" i="39" s="1"/>
  <c r="V844" i="39"/>
  <c r="V761" i="39"/>
  <c r="F763" i="39"/>
  <c r="Y763" i="39" s="1"/>
  <c r="C761" i="39"/>
  <c r="U761" i="39" s="1"/>
  <c r="V760" i="39"/>
  <c r="F762" i="39"/>
  <c r="Y762" i="39" s="1"/>
  <c r="C760" i="39"/>
  <c r="U760" i="39" s="1"/>
  <c r="V908" i="39"/>
  <c r="F909" i="39"/>
  <c r="Y909" i="39" s="1"/>
  <c r="C908" i="39"/>
  <c r="U908" i="39" s="1"/>
  <c r="C1598" i="39"/>
  <c r="U1598" i="39" s="1"/>
  <c r="V1598" i="39"/>
  <c r="F1599" i="39"/>
  <c r="Y1599" i="39" s="1"/>
  <c r="C221" i="39"/>
  <c r="U221" i="39" s="1"/>
  <c r="V221" i="39"/>
  <c r="C1098" i="39"/>
  <c r="U1098" i="39" s="1"/>
  <c r="V1098" i="39"/>
  <c r="F1099" i="39"/>
  <c r="Y1099" i="39" s="1"/>
  <c r="C1074" i="39"/>
  <c r="U1074" i="39" s="1"/>
  <c r="F1075" i="39"/>
  <c r="Y1075" i="39" s="1"/>
  <c r="V1074" i="39"/>
  <c r="V1384" i="39"/>
  <c r="C1384" i="39"/>
  <c r="U1384" i="39" s="1"/>
  <c r="F791" i="39"/>
  <c r="Y791" i="39" s="1"/>
  <c r="C790" i="39"/>
  <c r="U790" i="39" s="1"/>
  <c r="V790" i="39"/>
  <c r="C1415" i="39"/>
  <c r="U1415" i="39" s="1"/>
  <c r="V1415" i="39"/>
  <c r="F1416" i="39"/>
  <c r="Y1416" i="39" s="1"/>
  <c r="V955" i="39"/>
  <c r="F956" i="39"/>
  <c r="Y956" i="39" s="1"/>
  <c r="C955" i="39"/>
  <c r="U955" i="39" s="1"/>
  <c r="C1499" i="39"/>
  <c r="U1499" i="39" s="1"/>
  <c r="V1499" i="39"/>
  <c r="F1500" i="39"/>
  <c r="Y1500" i="39" s="1"/>
  <c r="C1630" i="39"/>
  <c r="U1630" i="39" s="1"/>
  <c r="V1630" i="39"/>
  <c r="V1631" i="39"/>
  <c r="C1631" i="39"/>
  <c r="U1631" i="39" s="1"/>
  <c r="X1500" i="39" l="1"/>
  <c r="X909" i="39"/>
  <c r="X1599" i="39"/>
  <c r="X1075" i="39"/>
  <c r="X57" i="39"/>
  <c r="X1007" i="39"/>
  <c r="X1722" i="39"/>
  <c r="X1723" i="39" s="1"/>
  <c r="Y57" i="39"/>
  <c r="X846" i="39"/>
  <c r="X1233" i="39"/>
  <c r="X1416" i="39"/>
  <c r="F1008" i="39"/>
  <c r="Y1008" i="39" s="1"/>
  <c r="V1007" i="39"/>
  <c r="C1007" i="39"/>
  <c r="U1007" i="39" s="1"/>
  <c r="V1235" i="39"/>
  <c r="C1235" i="39"/>
  <c r="U1235" i="39" s="1"/>
  <c r="F1236" i="39"/>
  <c r="Y1236" i="39" s="1"/>
  <c r="F1234" i="39"/>
  <c r="Y1234" i="39" s="1"/>
  <c r="C1233" i="39"/>
  <c r="U1233" i="39" s="1"/>
  <c r="V1233" i="39"/>
  <c r="F1034" i="39"/>
  <c r="Y1034" i="39" s="1"/>
  <c r="C1033" i="39"/>
  <c r="U1033" i="39" s="1"/>
  <c r="V1033" i="39"/>
  <c r="F499" i="39"/>
  <c r="Y499" i="39" s="1"/>
  <c r="C498" i="39"/>
  <c r="U498" i="39" s="1"/>
  <c r="V498" i="39"/>
  <c r="V1722" i="39"/>
  <c r="C1722" i="39"/>
  <c r="U1722" i="39" s="1"/>
  <c r="F1723" i="39"/>
  <c r="Y1723" i="39" s="1"/>
  <c r="F847" i="39"/>
  <c r="Y847" i="39" s="1"/>
  <c r="F223" i="39"/>
  <c r="Y223" i="39" s="1"/>
  <c r="F58" i="39"/>
  <c r="X58" i="39" s="1"/>
  <c r="C56" i="39"/>
  <c r="U56" i="39" s="1"/>
  <c r="V56" i="39"/>
  <c r="V845" i="39"/>
  <c r="C845" i="39"/>
  <c r="U845" i="39" s="1"/>
  <c r="V909" i="39"/>
  <c r="C909" i="39"/>
  <c r="U909" i="39" s="1"/>
  <c r="F910" i="39"/>
  <c r="Y910" i="39" s="1"/>
  <c r="V762" i="39"/>
  <c r="F764" i="39"/>
  <c r="Y764" i="39" s="1"/>
  <c r="C762" i="39"/>
  <c r="U762" i="39" s="1"/>
  <c r="F765" i="39"/>
  <c r="Y765" i="39" s="1"/>
  <c r="C763" i="39"/>
  <c r="U763" i="39" s="1"/>
  <c r="V763" i="39"/>
  <c r="C1099" i="39"/>
  <c r="U1099" i="39" s="1"/>
  <c r="C1599" i="39"/>
  <c r="U1599" i="39" s="1"/>
  <c r="V1599" i="39"/>
  <c r="F1600" i="39"/>
  <c r="Y1600" i="39" s="1"/>
  <c r="C1075" i="39"/>
  <c r="U1075" i="39" s="1"/>
  <c r="F1076" i="39"/>
  <c r="Y1076" i="39" s="1"/>
  <c r="V1075" i="39"/>
  <c r="V1099" i="39"/>
  <c r="F1100" i="39"/>
  <c r="Y1100" i="39" s="1"/>
  <c r="V222" i="39"/>
  <c r="C222" i="39"/>
  <c r="U222" i="39" s="1"/>
  <c r="F792" i="39"/>
  <c r="Y792" i="39" s="1"/>
  <c r="V791" i="39"/>
  <c r="C791" i="39"/>
  <c r="U791" i="39" s="1"/>
  <c r="V1416" i="39"/>
  <c r="F1417" i="39"/>
  <c r="Y1417" i="39" s="1"/>
  <c r="C1416" i="39"/>
  <c r="U1416" i="39" s="1"/>
  <c r="V956" i="39"/>
  <c r="F957" i="39"/>
  <c r="Y957" i="39" s="1"/>
  <c r="C956" i="39"/>
  <c r="U956" i="39" s="1"/>
  <c r="C1500" i="39"/>
  <c r="U1500" i="39" s="1"/>
  <c r="F1501" i="39"/>
  <c r="Y1501" i="39" s="1"/>
  <c r="V1500" i="39"/>
  <c r="Y58" i="39" l="1"/>
  <c r="F1009" i="39"/>
  <c r="Y1009" i="39" s="1"/>
  <c r="X1234" i="39"/>
  <c r="X1235" i="39" s="1"/>
  <c r="X1236" i="39" s="1"/>
  <c r="X1008" i="39"/>
  <c r="X1009" i="39" s="1"/>
  <c r="X1076" i="39"/>
  <c r="X1501" i="39"/>
  <c r="X1600" i="39"/>
  <c r="X1601" i="39" s="1"/>
  <c r="X1417" i="39"/>
  <c r="X847" i="39"/>
  <c r="V1008" i="39"/>
  <c r="X910" i="39"/>
  <c r="C1008" i="39"/>
  <c r="U1008" i="39" s="1"/>
  <c r="C1234" i="39"/>
  <c r="U1234" i="39" s="1"/>
  <c r="V1234" i="39"/>
  <c r="F1237" i="39"/>
  <c r="Y1237" i="39" s="1"/>
  <c r="V1236" i="39"/>
  <c r="C1236" i="39"/>
  <c r="U1236" i="39" s="1"/>
  <c r="F1035" i="39"/>
  <c r="Y1035" i="39" s="1"/>
  <c r="C1034" i="39"/>
  <c r="U1034" i="39" s="1"/>
  <c r="V1034" i="39"/>
  <c r="C499" i="39"/>
  <c r="U499" i="39" s="1"/>
  <c r="F500" i="39"/>
  <c r="Y500" i="39" s="1"/>
  <c r="V499" i="39"/>
  <c r="C1723" i="39"/>
  <c r="U1723" i="39" s="1"/>
  <c r="F1724" i="39"/>
  <c r="Y1724" i="39" s="1"/>
  <c r="V1723" i="39"/>
  <c r="C1009" i="39"/>
  <c r="U1009" i="39" s="1"/>
  <c r="F1010" i="39"/>
  <c r="V1009" i="39"/>
  <c r="F224" i="39"/>
  <c r="F59" i="39"/>
  <c r="Y59" i="39" s="1"/>
  <c r="V57" i="39"/>
  <c r="C57" i="39"/>
  <c r="U57" i="39" s="1"/>
  <c r="V846" i="39"/>
  <c r="C846" i="39"/>
  <c r="U846" i="39" s="1"/>
  <c r="F911" i="39"/>
  <c r="Y911" i="39" s="1"/>
  <c r="V910" i="39"/>
  <c r="C910" i="39"/>
  <c r="U910" i="39" s="1"/>
  <c r="C765" i="39"/>
  <c r="U765" i="39" s="1"/>
  <c r="F767" i="39"/>
  <c r="Y767" i="39" s="1"/>
  <c r="V765" i="39"/>
  <c r="F766" i="39"/>
  <c r="Y766" i="39" s="1"/>
  <c r="C764" i="39"/>
  <c r="U764" i="39" s="1"/>
  <c r="V764" i="39"/>
  <c r="F1101" i="39"/>
  <c r="Y1101" i="39" s="1"/>
  <c r="V1100" i="39"/>
  <c r="C1100" i="39"/>
  <c r="U1100" i="39" s="1"/>
  <c r="C1076" i="39"/>
  <c r="U1076" i="39" s="1"/>
  <c r="V1076" i="39"/>
  <c r="F1601" i="39"/>
  <c r="Y1601" i="39" s="1"/>
  <c r="C1600" i="39"/>
  <c r="U1600" i="39" s="1"/>
  <c r="V1600" i="39"/>
  <c r="F1077" i="39"/>
  <c r="C223" i="39"/>
  <c r="U223" i="39" s="1"/>
  <c r="V223" i="39"/>
  <c r="F793" i="39"/>
  <c r="Y793" i="39" s="1"/>
  <c r="C792" i="39"/>
  <c r="U792" i="39" s="1"/>
  <c r="V792" i="39"/>
  <c r="V1417" i="39"/>
  <c r="C1417" i="39"/>
  <c r="U1417" i="39" s="1"/>
  <c r="F1418" i="39"/>
  <c r="Y1418" i="39" s="1"/>
  <c r="V1501" i="39"/>
  <c r="C1501" i="39"/>
  <c r="U1501" i="39" s="1"/>
  <c r="F1502" i="39"/>
  <c r="Y1502" i="39" s="1"/>
  <c r="C957" i="39"/>
  <c r="U957" i="39" s="1"/>
  <c r="F958" i="39"/>
  <c r="Y958" i="39" s="1"/>
  <c r="V957" i="39"/>
  <c r="X911" i="39" l="1"/>
  <c r="Y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724" i="39"/>
  <c r="X1725" i="39" s="1"/>
  <c r="Y224" i="39"/>
  <c r="X225" i="39"/>
  <c r="X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502" i="39"/>
  <c r="X1077" i="39"/>
  <c r="X59" i="39"/>
  <c r="X60" i="39" s="1"/>
  <c r="X1418" i="39"/>
  <c r="X1237" i="39"/>
  <c r="F1238" i="39"/>
  <c r="Y1238" i="39" s="1"/>
  <c r="C1237" i="39"/>
  <c r="U1237" i="39" s="1"/>
  <c r="V1237" i="39"/>
  <c r="F1036" i="39"/>
  <c r="Y1036" i="39" s="1"/>
  <c r="V1035" i="39"/>
  <c r="C1035" i="39"/>
  <c r="U1035" i="39" s="1"/>
  <c r="F501" i="39"/>
  <c r="Y501" i="39" s="1"/>
  <c r="V500" i="39"/>
  <c r="C500" i="39"/>
  <c r="U500" i="39" s="1"/>
  <c r="C1724" i="39"/>
  <c r="U1724" i="39" s="1"/>
  <c r="F1725" i="39"/>
  <c r="Y1725" i="39" s="1"/>
  <c r="V1724" i="39"/>
  <c r="V1010" i="39"/>
  <c r="C1010" i="39"/>
  <c r="U1010" i="39" s="1"/>
  <c r="F60" i="39"/>
  <c r="Y60" i="39" s="1"/>
  <c r="C58" i="39"/>
  <c r="U58" i="39" s="1"/>
  <c r="V58" i="39"/>
  <c r="V847" i="39"/>
  <c r="C847" i="39"/>
  <c r="U847" i="39" s="1"/>
  <c r="F848" i="39"/>
  <c r="Y848" i="39" s="1"/>
  <c r="F912" i="39"/>
  <c r="Y912" i="39" s="1"/>
  <c r="V911" i="39"/>
  <c r="C911" i="39"/>
  <c r="U911" i="39" s="1"/>
  <c r="C767" i="39"/>
  <c r="U767" i="39" s="1"/>
  <c r="V767" i="39"/>
  <c r="C766" i="39"/>
  <c r="U766" i="39" s="1"/>
  <c r="V766" i="39"/>
  <c r="F768" i="39"/>
  <c r="V1101" i="39"/>
  <c r="F1102" i="39"/>
  <c r="Y1102" i="39" s="1"/>
  <c r="C1101" i="39"/>
  <c r="U1101" i="39" s="1"/>
  <c r="C1077" i="39"/>
  <c r="U1077" i="39" s="1"/>
  <c r="V1601" i="39"/>
  <c r="C1601" i="39"/>
  <c r="U1601" i="39" s="1"/>
  <c r="F1602" i="39"/>
  <c r="Y1602" i="39" s="1"/>
  <c r="V1077" i="39"/>
  <c r="V224" i="39"/>
  <c r="C224" i="39"/>
  <c r="U224" i="39" s="1"/>
  <c r="V1012" i="39"/>
  <c r="C1012" i="39"/>
  <c r="U1012" i="39" s="1"/>
  <c r="F794" i="39"/>
  <c r="Y794" i="39" s="1"/>
  <c r="V793" i="39"/>
  <c r="C793" i="39"/>
  <c r="U793" i="39" s="1"/>
  <c r="C1418" i="39"/>
  <c r="U1418" i="39" s="1"/>
  <c r="V1418" i="39"/>
  <c r="F1419" i="39"/>
  <c r="Y1419" i="39" s="1"/>
  <c r="F1503" i="39"/>
  <c r="Y1503" i="39" s="1"/>
  <c r="V1502" i="39"/>
  <c r="C1502" i="39"/>
  <c r="U1502" i="39" s="1"/>
  <c r="V958" i="39"/>
  <c r="C958" i="39"/>
  <c r="U958" i="39" s="1"/>
  <c r="F959" i="39"/>
  <c r="Y959" i="39" s="1"/>
  <c r="X1036" i="39" l="1"/>
  <c r="X1503" i="39"/>
  <c r="X1602" i="39"/>
  <c r="Y768" i="39"/>
  <c r="X769" i="39"/>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1419" i="39"/>
  <c r="X1420" i="39" s="1"/>
  <c r="X1726" i="39"/>
  <c r="X1238" i="39"/>
  <c r="X61" i="39"/>
  <c r="X848" i="39"/>
  <c r="X849" i="39" s="1"/>
  <c r="X912" i="39"/>
  <c r="X913" i="39" s="1"/>
  <c r="V1238" i="39"/>
  <c r="C1238" i="39"/>
  <c r="U1238" i="39" s="1"/>
  <c r="F1239" i="39"/>
  <c r="Y1239" i="39" s="1"/>
  <c r="F1037" i="39"/>
  <c r="X1037" i="39" s="1"/>
  <c r="V1036" i="39"/>
  <c r="C1036" i="39"/>
  <c r="U1036" i="39" s="1"/>
  <c r="C501" i="39"/>
  <c r="U501" i="39" s="1"/>
  <c r="F502" i="39"/>
  <c r="Y502" i="39" s="1"/>
  <c r="V501" i="39"/>
  <c r="V1725" i="39"/>
  <c r="C1725" i="39"/>
  <c r="U1725" i="39" s="1"/>
  <c r="F1726" i="39"/>
  <c r="Y1726" i="39" s="1"/>
  <c r="F61" i="39"/>
  <c r="Y61" i="39" s="1"/>
  <c r="V59" i="39"/>
  <c r="C59" i="39"/>
  <c r="U59" i="39" s="1"/>
  <c r="C912" i="39"/>
  <c r="U912" i="39" s="1"/>
  <c r="F913" i="39"/>
  <c r="Y913" i="39" s="1"/>
  <c r="V912" i="39"/>
  <c r="F849" i="39"/>
  <c r="Y849" i="39" s="1"/>
  <c r="C848" i="39"/>
  <c r="U848" i="39" s="1"/>
  <c r="V848" i="39"/>
  <c r="C768" i="39"/>
  <c r="U768" i="39" s="1"/>
  <c r="V768" i="39"/>
  <c r="V1102" i="39"/>
  <c r="C1102" i="39"/>
  <c r="U1102" i="39" s="1"/>
  <c r="F1103" i="39"/>
  <c r="Y1103" i="39" s="1"/>
  <c r="V1602" i="39"/>
  <c r="C1602" i="39"/>
  <c r="U1602" i="39" s="1"/>
  <c r="F1603" i="39"/>
  <c r="Y1603" i="39" s="1"/>
  <c r="V1013" i="39"/>
  <c r="C1013" i="39"/>
  <c r="U1013" i="39" s="1"/>
  <c r="F795" i="39"/>
  <c r="Y795" i="39" s="1"/>
  <c r="U769" i="39"/>
  <c r="V769" i="39"/>
  <c r="V794" i="39"/>
  <c r="C794" i="39"/>
  <c r="U794" i="39" s="1"/>
  <c r="V1419" i="39"/>
  <c r="C1419" i="39"/>
  <c r="U1419" i="39" s="1"/>
  <c r="F1420" i="39"/>
  <c r="Y1420" i="39" s="1"/>
  <c r="V1503" i="39"/>
  <c r="F1504" i="39"/>
  <c r="Y1504" i="39" s="1"/>
  <c r="C1503" i="39"/>
  <c r="U1503" i="39" s="1"/>
  <c r="C959" i="39"/>
  <c r="U959" i="39" s="1"/>
  <c r="V959" i="39"/>
  <c r="F960" i="39"/>
  <c r="Y960" i="39" s="1"/>
  <c r="X1504" i="39" l="1"/>
  <c r="Y1037" i="39"/>
  <c r="X1038" i="39"/>
  <c r="X1039" i="39" s="1"/>
  <c r="X1239" i="39"/>
  <c r="X1603" i="39"/>
  <c r="X1103" i="39"/>
  <c r="C1239" i="39"/>
  <c r="U1239" i="39" s="1"/>
  <c r="V1239" i="39"/>
  <c r="F1240" i="39"/>
  <c r="Y1240" i="39" s="1"/>
  <c r="C1037" i="39"/>
  <c r="U1037" i="39" s="1"/>
  <c r="V1037" i="39"/>
  <c r="V502" i="39"/>
  <c r="C502" i="39"/>
  <c r="U502" i="39" s="1"/>
  <c r="F503" i="39"/>
  <c r="Y503" i="39" s="1"/>
  <c r="F1727" i="39"/>
  <c r="Y1727" i="39" s="1"/>
  <c r="V1726" i="39"/>
  <c r="C1726" i="39"/>
  <c r="U1726" i="39" s="1"/>
  <c r="V913" i="39"/>
  <c r="F914" i="39"/>
  <c r="Y914" i="39" s="1"/>
  <c r="F62" i="39"/>
  <c r="X62" i="39" s="1"/>
  <c r="C913" i="39"/>
  <c r="U913" i="39" s="1"/>
  <c r="V60" i="39"/>
  <c r="C60" i="39"/>
  <c r="U60" i="39" s="1"/>
  <c r="V849" i="39"/>
  <c r="F850" i="39"/>
  <c r="Y850" i="39" s="1"/>
  <c r="C849" i="39"/>
  <c r="U849" i="39" s="1"/>
  <c r="C1103" i="39"/>
  <c r="U1103" i="39" s="1"/>
  <c r="V1103" i="39"/>
  <c r="F1104" i="39"/>
  <c r="Y1104" i="39" s="1"/>
  <c r="F1604" i="39"/>
  <c r="Y1604" i="39" s="1"/>
  <c r="C1603" i="39"/>
  <c r="U1603" i="39" s="1"/>
  <c r="V1603" i="39"/>
  <c r="V1014" i="39"/>
  <c r="C1014" i="39"/>
  <c r="U1014" i="39" s="1"/>
  <c r="F796" i="39"/>
  <c r="Y796" i="39" s="1"/>
  <c r="C795" i="39"/>
  <c r="U795" i="39" s="1"/>
  <c r="V795" i="39"/>
  <c r="V770" i="39"/>
  <c r="C770" i="39"/>
  <c r="U770" i="39" s="1"/>
  <c r="F1421" i="39"/>
  <c r="Y1421" i="39" s="1"/>
  <c r="V1420" i="39"/>
  <c r="C1420" i="39"/>
  <c r="U1420" i="39" s="1"/>
  <c r="C1504" i="39"/>
  <c r="U1504" i="39" s="1"/>
  <c r="F1505" i="39"/>
  <c r="Y1505" i="39" s="1"/>
  <c r="V1504" i="39"/>
  <c r="F961" i="39"/>
  <c r="Y961" i="39" s="1"/>
  <c r="C960" i="39"/>
  <c r="U960" i="39" s="1"/>
  <c r="V960" i="39"/>
  <c r="X1104" i="39" l="1"/>
  <c r="X1421" i="39"/>
  <c r="X1604" i="39"/>
  <c r="X1505" i="39"/>
  <c r="Y62" i="39"/>
  <c r="X63" i="39"/>
  <c r="X850" i="39"/>
  <c r="X851" i="39" s="1"/>
  <c r="X1240" i="39"/>
  <c r="X1727" i="39"/>
  <c r="X796" i="39"/>
  <c r="X914" i="39"/>
  <c r="F1241" i="39"/>
  <c r="Y1241" i="39" s="1"/>
  <c r="V1240" i="39"/>
  <c r="C1240" i="39"/>
  <c r="U1240" i="39" s="1"/>
  <c r="C503" i="39"/>
  <c r="U503" i="39" s="1"/>
  <c r="F504" i="39"/>
  <c r="V503" i="39"/>
  <c r="V1727" i="39"/>
  <c r="C1727" i="39"/>
  <c r="U1727" i="39" s="1"/>
  <c r="F1728" i="39"/>
  <c r="Y1728" i="39" s="1"/>
  <c r="V914" i="39"/>
  <c r="F915" i="39"/>
  <c r="Y915" i="39" s="1"/>
  <c r="C914" i="39"/>
  <c r="U914" i="39" s="1"/>
  <c r="F63" i="39"/>
  <c r="Y63" i="39" s="1"/>
  <c r="F851" i="39"/>
  <c r="Y851" i="39" s="1"/>
  <c r="V850" i="39"/>
  <c r="C850" i="39"/>
  <c r="U850" i="39" s="1"/>
  <c r="V1104" i="39"/>
  <c r="F1105" i="39"/>
  <c r="Y1105" i="39" s="1"/>
  <c r="C1104" i="39"/>
  <c r="U1104" i="39" s="1"/>
  <c r="C1604" i="39"/>
  <c r="U1604" i="39" s="1"/>
  <c r="F1605" i="39"/>
  <c r="Y1605" i="39" s="1"/>
  <c r="V1604" i="39"/>
  <c r="F797" i="39"/>
  <c r="Y797" i="39" s="1"/>
  <c r="C771" i="39"/>
  <c r="U771" i="39" s="1"/>
  <c r="V771" i="39"/>
  <c r="C796" i="39"/>
  <c r="U796" i="39" s="1"/>
  <c r="V796" i="39"/>
  <c r="C1421" i="39"/>
  <c r="U1421" i="39" s="1"/>
  <c r="F1422" i="39"/>
  <c r="Y1422" i="39" s="1"/>
  <c r="V1421" i="39"/>
  <c r="F962" i="39"/>
  <c r="Y962" i="39" s="1"/>
  <c r="V961" i="39"/>
  <c r="C961" i="39"/>
  <c r="U961" i="39" s="1"/>
  <c r="V1505" i="39"/>
  <c r="C1505" i="39"/>
  <c r="U1505" i="39" s="1"/>
  <c r="F1506" i="39"/>
  <c r="Y1506" i="39" s="1"/>
  <c r="X1422" i="39" l="1"/>
  <c r="X1506" i="39"/>
  <c r="Y504" i="39"/>
  <c r="X505" i="39"/>
  <c r="X915" i="39"/>
  <c r="X1728" i="39"/>
  <c r="X852" i="39"/>
  <c r="X1605" i="39"/>
  <c r="X797" i="39"/>
  <c r="X1241" i="39"/>
  <c r="X1105" i="39"/>
  <c r="X1106" i="39" s="1"/>
  <c r="V1241" i="39"/>
  <c r="C1241" i="39"/>
  <c r="U1241" i="39" s="1"/>
  <c r="F1242" i="39"/>
  <c r="Y1242" i="39" s="1"/>
  <c r="V504" i="39"/>
  <c r="C504" i="39"/>
  <c r="U504" i="39" s="1"/>
  <c r="V1728" i="39"/>
  <c r="C1728" i="39"/>
  <c r="U1728" i="39" s="1"/>
  <c r="F1729" i="39"/>
  <c r="Y1729" i="39" s="1"/>
  <c r="F916" i="39"/>
  <c r="Y916" i="39" s="1"/>
  <c r="V915" i="39"/>
  <c r="C915" i="39"/>
  <c r="U915" i="39" s="1"/>
  <c r="F64" i="39"/>
  <c r="F852" i="39"/>
  <c r="Y852" i="39" s="1"/>
  <c r="C851" i="39"/>
  <c r="U851" i="39" s="1"/>
  <c r="V851" i="39"/>
  <c r="V1105" i="39"/>
  <c r="F1106" i="39"/>
  <c r="Y1106" i="39" s="1"/>
  <c r="C1105" i="39"/>
  <c r="U1105" i="39" s="1"/>
  <c r="C1605" i="39"/>
  <c r="U1605" i="39" s="1"/>
  <c r="V1605" i="39"/>
  <c r="F1606" i="39"/>
  <c r="V1607" i="39"/>
  <c r="U1607" i="39"/>
  <c r="F798" i="39"/>
  <c r="Y798" i="39" s="1"/>
  <c r="V772" i="39"/>
  <c r="U772" i="39"/>
  <c r="V797" i="39"/>
  <c r="C797" i="39"/>
  <c r="U797" i="39" s="1"/>
  <c r="V1422" i="39"/>
  <c r="C1422" i="39"/>
  <c r="U1422" i="39" s="1"/>
  <c r="F1423" i="39"/>
  <c r="F963" i="39"/>
  <c r="Y963" i="39" s="1"/>
  <c r="V962" i="39"/>
  <c r="C962" i="39"/>
  <c r="U962" i="39" s="1"/>
  <c r="V1506" i="39"/>
  <c r="C1506" i="39"/>
  <c r="U1506" i="39" s="1"/>
  <c r="F1507" i="39"/>
  <c r="Y1507" i="39" s="1"/>
  <c r="X916" i="39" l="1"/>
  <c r="X798" i="39"/>
  <c r="X1507" i="39"/>
  <c r="Y1606" i="39"/>
  <c r="X1607" i="39"/>
  <c r="X1608" i="39" s="1"/>
  <c r="X1609" i="39" s="1"/>
  <c r="Y64" i="39"/>
  <c r="X64" i="39"/>
  <c r="X1424" i="39"/>
  <c r="X1425" i="39" s="1"/>
  <c r="Y1423" i="39"/>
  <c r="X1242" i="39"/>
  <c r="X1606" i="39"/>
  <c r="X1729" i="39"/>
  <c r="X1423" i="39"/>
  <c r="F1243" i="39"/>
  <c r="Y1243" i="39" s="1"/>
  <c r="C1242" i="39"/>
  <c r="U1242" i="39" s="1"/>
  <c r="V1242" i="39"/>
  <c r="F1730" i="39"/>
  <c r="Y1730" i="39" s="1"/>
  <c r="C1729" i="39"/>
  <c r="U1729" i="39" s="1"/>
  <c r="V1729" i="39"/>
  <c r="V916" i="39"/>
  <c r="F917" i="39"/>
  <c r="Y917" i="39" s="1"/>
  <c r="C916" i="39"/>
  <c r="U916" i="39" s="1"/>
  <c r="F853" i="39"/>
  <c r="Y853" i="39" s="1"/>
  <c r="V852" i="39"/>
  <c r="C852" i="39"/>
  <c r="U852" i="39" s="1"/>
  <c r="F65" i="39"/>
  <c r="V61" i="39"/>
  <c r="C61" i="39"/>
  <c r="U61" i="39" s="1"/>
  <c r="F1107" i="39"/>
  <c r="Y1107" i="39" s="1"/>
  <c r="V1106" i="39"/>
  <c r="C1106" i="39"/>
  <c r="U1106" i="39" s="1"/>
  <c r="C1606" i="39"/>
  <c r="U1606" i="39" s="1"/>
  <c r="V1606" i="39"/>
  <c r="F799" i="39"/>
  <c r="Y799" i="39" s="1"/>
  <c r="C798" i="39"/>
  <c r="U798" i="39" s="1"/>
  <c r="V798" i="39"/>
  <c r="V1423" i="39"/>
  <c r="C1423" i="39"/>
  <c r="U1423" i="39" s="1"/>
  <c r="V963" i="39"/>
  <c r="C963" i="39"/>
  <c r="U963" i="39" s="1"/>
  <c r="F964" i="39"/>
  <c r="Y964" i="39" s="1"/>
  <c r="V1507" i="39"/>
  <c r="F1508" i="39"/>
  <c r="Y1508" i="39" s="1"/>
  <c r="C1507" i="39"/>
  <c r="U1507" i="39" s="1"/>
  <c r="X1508" i="39" l="1"/>
  <c r="X65" i="39"/>
  <c r="Y65" i="39"/>
  <c r="X1243" i="39"/>
  <c r="X799" i="39"/>
  <c r="X1730" i="39"/>
  <c r="X1107" i="39"/>
  <c r="X1108" i="39" s="1"/>
  <c r="X853" i="39"/>
  <c r="X917" i="39"/>
  <c r="C1243" i="39"/>
  <c r="U1243" i="39" s="1"/>
  <c r="F1244" i="39"/>
  <c r="Y1244" i="39" s="1"/>
  <c r="V1243" i="39"/>
  <c r="C1730" i="39"/>
  <c r="U1730" i="39" s="1"/>
  <c r="V1730" i="39"/>
  <c r="F1731" i="39"/>
  <c r="Y1731" i="39" s="1"/>
  <c r="C917" i="39"/>
  <c r="U917" i="39" s="1"/>
  <c r="V917" i="39"/>
  <c r="F918" i="39"/>
  <c r="Y918" i="39" s="1"/>
  <c r="F854" i="39"/>
  <c r="Y854" i="39" s="1"/>
  <c r="C853" i="39"/>
  <c r="U853" i="39" s="1"/>
  <c r="V853" i="39"/>
  <c r="F66" i="39"/>
  <c r="C62" i="39"/>
  <c r="U62" i="39" s="1"/>
  <c r="V62" i="39"/>
  <c r="C1107" i="39"/>
  <c r="U1107" i="39" s="1"/>
  <c r="F1108" i="39"/>
  <c r="Y1108" i="39" s="1"/>
  <c r="V1107" i="39"/>
  <c r="F800" i="39"/>
  <c r="C799" i="39"/>
  <c r="U799" i="39" s="1"/>
  <c r="V799" i="39"/>
  <c r="V964" i="39"/>
  <c r="F965" i="39"/>
  <c r="Y965" i="39" s="1"/>
  <c r="C964" i="39"/>
  <c r="U964" i="39" s="1"/>
  <c r="V1508" i="39"/>
  <c r="F1509" i="39"/>
  <c r="Y1509" i="39" s="1"/>
  <c r="C1508" i="39"/>
  <c r="U1508" i="39" s="1"/>
  <c r="X918" i="39" l="1"/>
  <c r="X67" i="39"/>
  <c r="X68" i="39" s="1"/>
  <c r="X69" i="39" s="1"/>
  <c r="X70" i="39" s="1"/>
  <c r="X71" i="39" s="1"/>
  <c r="X72" i="39" s="1"/>
  <c r="X73" i="39" s="1"/>
  <c r="Y66" i="39"/>
  <c r="X1509" i="39"/>
  <c r="Y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1244" i="39"/>
  <c r="X1109" i="39"/>
  <c r="X800" i="39"/>
  <c r="X66" i="39"/>
  <c r="X854" i="39"/>
  <c r="X855" i="39" s="1"/>
  <c r="X1731" i="39"/>
  <c r="F1245" i="39"/>
  <c r="Y1245" i="39" s="1"/>
  <c r="V1245" i="39"/>
  <c r="C1245" i="39"/>
  <c r="U1245" i="39" s="1"/>
  <c r="C1244" i="39"/>
  <c r="U1244" i="39" s="1"/>
  <c r="V1244" i="39"/>
  <c r="C1731" i="39"/>
  <c r="U1731" i="39" s="1"/>
  <c r="V1731" i="39"/>
  <c r="F1732" i="39"/>
  <c r="Y1732" i="39" s="1"/>
  <c r="V918" i="39"/>
  <c r="C918" i="39"/>
  <c r="U918" i="39" s="1"/>
  <c r="F919" i="39"/>
  <c r="Y919" i="39" s="1"/>
  <c r="F855" i="39"/>
  <c r="Y855" i="39" s="1"/>
  <c r="V854" i="39"/>
  <c r="C854" i="39"/>
  <c r="U854" i="39" s="1"/>
  <c r="C63" i="39"/>
  <c r="U63" i="39" s="1"/>
  <c r="V63" i="39"/>
  <c r="F1109" i="39"/>
  <c r="Y1109" i="39" s="1"/>
  <c r="C1108" i="39"/>
  <c r="U1108" i="39" s="1"/>
  <c r="V1108" i="39"/>
  <c r="V800" i="39"/>
  <c r="C800" i="39"/>
  <c r="U800" i="39" s="1"/>
  <c r="V1509" i="39"/>
  <c r="C1509" i="39"/>
  <c r="U1509" i="39" s="1"/>
  <c r="F1510" i="39"/>
  <c r="Y1510" i="39" s="1"/>
  <c r="V965" i="39"/>
  <c r="C965" i="39"/>
  <c r="U965" i="39" s="1"/>
  <c r="F966" i="39"/>
  <c r="X1245" i="39" l="1"/>
  <c r="Y966" i="39"/>
  <c r="X967" i="39"/>
  <c r="X968" i="39" s="1"/>
  <c r="X969" i="39" s="1"/>
  <c r="X970" i="39" s="1"/>
  <c r="X971" i="39" s="1"/>
  <c r="X972" i="39" s="1"/>
  <c r="X973" i="39" s="1"/>
  <c r="X974" i="39" s="1"/>
  <c r="X1732" i="39"/>
  <c r="X1110" i="39"/>
  <c r="X1510" i="39"/>
  <c r="X919" i="39"/>
  <c r="F1246" i="39"/>
  <c r="Y1246" i="39" s="1"/>
  <c r="C1246" i="39"/>
  <c r="U1246" i="39" s="1"/>
  <c r="V1246" i="39"/>
  <c r="C1732" i="39"/>
  <c r="U1732" i="39" s="1"/>
  <c r="F1733" i="39"/>
  <c r="Y1733" i="39" s="1"/>
  <c r="V1732"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10" i="39"/>
  <c r="U1510" i="39" s="1"/>
  <c r="F1511" i="39"/>
  <c r="Y1511" i="39" s="1"/>
  <c r="V1510" i="39"/>
  <c r="X1511" i="39" l="1"/>
  <c r="X920" i="39"/>
  <c r="X921" i="39" s="1"/>
  <c r="X1733" i="39"/>
  <c r="X856" i="39"/>
  <c r="Y1110" i="39"/>
  <c r="X1111" i="39"/>
  <c r="X1112" i="39" s="1"/>
  <c r="X1113" i="39" s="1"/>
  <c r="X1114" i="39" s="1"/>
  <c r="X1115" i="39" s="1"/>
  <c r="X1116" i="39" s="1"/>
  <c r="X1117" i="39" s="1"/>
  <c r="X1118" i="39" s="1"/>
  <c r="X1119" i="39" s="1"/>
  <c r="X1120" i="39" s="1"/>
  <c r="X1121" i="39" s="1"/>
  <c r="X1122" i="39" s="1"/>
  <c r="X1123" i="39" s="1"/>
  <c r="X1124" i="39" s="1"/>
  <c r="X1246" i="39"/>
  <c r="X1247" i="39" s="1"/>
  <c r="F1247" i="39"/>
  <c r="Y1247" i="39" s="1"/>
  <c r="V1247" i="39"/>
  <c r="C1247" i="39"/>
  <c r="U1247" i="39" s="1"/>
  <c r="F1734" i="39"/>
  <c r="Y1734" i="39" s="1"/>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Y1512" i="39" s="1"/>
  <c r="X1734" i="39" l="1"/>
  <c r="X922" i="39"/>
  <c r="X857" i="39"/>
  <c r="X1512" i="39"/>
  <c r="F1248" i="39"/>
  <c r="Y1248" i="39" s="1"/>
  <c r="V1734" i="39"/>
  <c r="F1735" i="39"/>
  <c r="Y1735" i="39" s="1"/>
  <c r="C1734" i="39"/>
  <c r="U1734" i="39" s="1"/>
  <c r="F923" i="39"/>
  <c r="Y923" i="39" s="1"/>
  <c r="V922" i="39"/>
  <c r="C922" i="39"/>
  <c r="U922" i="39" s="1"/>
  <c r="V857" i="39"/>
  <c r="C857" i="39"/>
  <c r="U857" i="39" s="1"/>
  <c r="F858" i="39"/>
  <c r="Y858" i="39" s="1"/>
  <c r="V66" i="39"/>
  <c r="C66" i="39"/>
  <c r="U66" i="39" s="1"/>
  <c r="C1512" i="39"/>
  <c r="U1512" i="39" s="1"/>
  <c r="F1513" i="39"/>
  <c r="Y1513" i="39" s="1"/>
  <c r="V1512" i="39"/>
  <c r="X1513" i="39" l="1"/>
  <c r="X923" i="39"/>
  <c r="X1248" i="39"/>
  <c r="X858" i="39"/>
  <c r="X1735" i="39"/>
  <c r="F1249" i="39"/>
  <c r="Y1249" i="39" s="1"/>
  <c r="C1248" i="39"/>
  <c r="U1248" i="39" s="1"/>
  <c r="V1248" i="39"/>
  <c r="F924" i="39"/>
  <c r="Y924" i="39" s="1"/>
  <c r="C1735" i="39"/>
  <c r="U1735" i="39" s="1"/>
  <c r="F1736" i="39"/>
  <c r="Y1736" i="39" s="1"/>
  <c r="V1735" i="39"/>
  <c r="V923" i="39"/>
  <c r="C923" i="39"/>
  <c r="U923" i="39" s="1"/>
  <c r="F859" i="39"/>
  <c r="Y859" i="39" s="1"/>
  <c r="V858" i="39"/>
  <c r="C858" i="39"/>
  <c r="U858" i="39" s="1"/>
  <c r="V1513" i="39"/>
  <c r="F1514" i="39"/>
  <c r="Y1514" i="39" s="1"/>
  <c r="C1513" i="39"/>
  <c r="U1513" i="39" s="1"/>
  <c r="X1249" i="39" l="1"/>
  <c r="X1736" i="39"/>
  <c r="X924" i="39"/>
  <c r="X859" i="39"/>
  <c r="X1514" i="39"/>
  <c r="F1250" i="39"/>
  <c r="Y1250" i="39" s="1"/>
  <c r="C1249" i="39"/>
  <c r="U1249" i="39" s="1"/>
  <c r="V1249" i="39"/>
  <c r="F925" i="39"/>
  <c r="Y925" i="39" s="1"/>
  <c r="V924" i="39"/>
  <c r="C924" i="39"/>
  <c r="U924" i="39" s="1"/>
  <c r="V1736" i="39"/>
  <c r="C1736" i="39"/>
  <c r="U1736" i="39" s="1"/>
  <c r="F1737" i="39"/>
  <c r="Y1737" i="39" s="1"/>
  <c r="F860" i="39"/>
  <c r="Y860" i="39" s="1"/>
  <c r="V859" i="39"/>
  <c r="C859" i="39"/>
  <c r="U859" i="39" s="1"/>
  <c r="F1515" i="39"/>
  <c r="Y1515" i="39" s="1"/>
  <c r="C1514" i="39"/>
  <c r="U1514" i="39" s="1"/>
  <c r="V1514" i="39"/>
  <c r="X925" i="39" l="1"/>
  <c r="X1515" i="39"/>
  <c r="X1737" i="39"/>
  <c r="X860" i="39"/>
  <c r="X1250" i="39"/>
  <c r="X1251" i="39" s="1"/>
  <c r="F1251" i="39"/>
  <c r="Y1251" i="39" s="1"/>
  <c r="C1250" i="39"/>
  <c r="U1250" i="39" s="1"/>
  <c r="V1250" i="39"/>
  <c r="C925" i="39"/>
  <c r="U925" i="39" s="1"/>
  <c r="V925" i="39"/>
  <c r="F926" i="39"/>
  <c r="Y926" i="39" s="1"/>
  <c r="F1738" i="39"/>
  <c r="Y1738" i="39" s="1"/>
  <c r="C1737" i="39"/>
  <c r="U1737" i="39" s="1"/>
  <c r="V1737" i="39"/>
  <c r="V926" i="39"/>
  <c r="C926" i="39"/>
  <c r="U926" i="39" s="1"/>
  <c r="F861" i="39"/>
  <c r="Y861" i="39" s="1"/>
  <c r="C860" i="39"/>
  <c r="U860" i="39" s="1"/>
  <c r="V860" i="39"/>
  <c r="V1515" i="39"/>
  <c r="F1516" i="39"/>
  <c r="Y1516" i="39" s="1"/>
  <c r="C1515" i="39"/>
  <c r="U1515" i="39" s="1"/>
  <c r="X861" i="39" l="1"/>
  <c r="X1738" i="39"/>
  <c r="X1516" i="39"/>
  <c r="X926" i="39"/>
  <c r="F1252" i="39"/>
  <c r="Y1252" i="39" s="1"/>
  <c r="C1251" i="39"/>
  <c r="U1251" i="39" s="1"/>
  <c r="V1251" i="39"/>
  <c r="F927" i="39"/>
  <c r="Y927" i="39" s="1"/>
  <c r="V1738" i="39"/>
  <c r="F1739" i="39"/>
  <c r="Y1739" i="39" s="1"/>
  <c r="C1738" i="39"/>
  <c r="U1738" i="39" s="1"/>
  <c r="F1519" i="39"/>
  <c r="Y1519" i="39" s="1"/>
  <c r="F862" i="39"/>
  <c r="Y862" i="39" s="1"/>
  <c r="C861" i="39"/>
  <c r="U861" i="39" s="1"/>
  <c r="V861" i="39"/>
  <c r="C1516" i="39"/>
  <c r="U1516" i="39" s="1"/>
  <c r="F1517" i="39"/>
  <c r="Y1517" i="39" s="1"/>
  <c r="V1516" i="39"/>
  <c r="X1252" i="39" l="1"/>
  <c r="X1739" i="39"/>
  <c r="X927" i="39"/>
  <c r="X1517" i="39"/>
  <c r="X1518" i="39" s="1"/>
  <c r="X862" i="39"/>
  <c r="F1253" i="39"/>
  <c r="Y1253" i="39" s="1"/>
  <c r="V1252" i="39"/>
  <c r="C1252" i="39"/>
  <c r="U1252" i="39" s="1"/>
  <c r="F928" i="39"/>
  <c r="Y928" i="39" s="1"/>
  <c r="C927" i="39"/>
  <c r="U927" i="39" s="1"/>
  <c r="V927" i="39"/>
  <c r="C1739" i="39"/>
  <c r="U1739" i="39" s="1"/>
  <c r="F1740" i="39"/>
  <c r="Y1740" i="39" s="1"/>
  <c r="V1739" i="39"/>
  <c r="V1519" i="39"/>
  <c r="C1519" i="39"/>
  <c r="U1519" i="39" s="1"/>
  <c r="V928" i="39"/>
  <c r="F929" i="39"/>
  <c r="Y929" i="39" s="1"/>
  <c r="F863" i="39"/>
  <c r="Y863" i="39" s="1"/>
  <c r="V862" i="39"/>
  <c r="C862" i="39"/>
  <c r="U862" i="39" s="1"/>
  <c r="V1517" i="39"/>
  <c r="F1518" i="39"/>
  <c r="C1517" i="39"/>
  <c r="U1517" i="39" s="1"/>
  <c r="X928" i="39" l="1"/>
  <c r="X929" i="39" s="1"/>
  <c r="X863" i="39"/>
  <c r="X1740" i="39"/>
  <c r="X1519" i="39"/>
  <c r="Y1518" i="39"/>
  <c r="X1253" i="39"/>
  <c r="X1254" i="39" s="1"/>
  <c r="C928" i="39"/>
  <c r="U928" i="39" s="1"/>
  <c r="F1254" i="39"/>
  <c r="Y1254" i="39" s="1"/>
  <c r="C1253" i="39"/>
  <c r="U1253" i="39" s="1"/>
  <c r="V1253" i="39"/>
  <c r="C1740" i="39"/>
  <c r="U1740" i="39" s="1"/>
  <c r="F1741" i="39"/>
  <c r="Y1741" i="39" s="1"/>
  <c r="F1742" i="39"/>
  <c r="Y1742" i="39" s="1"/>
  <c r="V1740" i="39"/>
  <c r="F930" i="39"/>
  <c r="Y930" i="39" s="1"/>
  <c r="V929" i="39"/>
  <c r="C929" i="39"/>
  <c r="U929" i="39" s="1"/>
  <c r="V863" i="39"/>
  <c r="F864" i="39"/>
  <c r="Y864" i="39" s="1"/>
  <c r="C863" i="39"/>
  <c r="U863" i="39" s="1"/>
  <c r="V1518" i="39"/>
  <c r="F1520" i="39"/>
  <c r="Y1520" i="39" s="1"/>
  <c r="C1518" i="39"/>
  <c r="U1518" i="39" s="1"/>
  <c r="X1520" i="39" l="1"/>
  <c r="X1741" i="39"/>
  <c r="X1742" i="39" s="1"/>
  <c r="X864" i="39"/>
  <c r="X930" i="39"/>
  <c r="F1255" i="39"/>
  <c r="Y1255" i="39" s="1"/>
  <c r="V1254" i="39"/>
  <c r="C1254" i="39"/>
  <c r="U1254" i="39" s="1"/>
  <c r="C1742" i="39"/>
  <c r="U1742" i="39" s="1"/>
  <c r="V1742" i="39"/>
  <c r="F1743" i="39"/>
  <c r="Y1743" i="39" s="1"/>
  <c r="C1741" i="39"/>
  <c r="U1741" i="39" s="1"/>
  <c r="V1741" i="39"/>
  <c r="F931" i="39"/>
  <c r="Y931" i="39" s="1"/>
  <c r="V930" i="39"/>
  <c r="C930" i="39"/>
  <c r="U930" i="39" s="1"/>
  <c r="F865" i="39"/>
  <c r="Y865" i="39" s="1"/>
  <c r="V864" i="39"/>
  <c r="C864" i="39"/>
  <c r="U864" i="39" s="1"/>
  <c r="V1520" i="39"/>
  <c r="F1521" i="39"/>
  <c r="Y1521" i="39" s="1"/>
  <c r="C1520" i="39"/>
  <c r="U1520" i="39" s="1"/>
  <c r="X865" i="39" l="1"/>
  <c r="X1255" i="39"/>
  <c r="X1743" i="39"/>
  <c r="X931" i="39"/>
  <c r="X1521" i="39"/>
  <c r="F1256" i="39"/>
  <c r="Y1256" i="39" s="1"/>
  <c r="V1255" i="39"/>
  <c r="C1255" i="39"/>
  <c r="U1255" i="39" s="1"/>
  <c r="V1743" i="39"/>
  <c r="C1743" i="39"/>
  <c r="U1743" i="39" s="1"/>
  <c r="F1744" i="39"/>
  <c r="Y1744" i="39" s="1"/>
  <c r="C931" i="39"/>
  <c r="U931" i="39" s="1"/>
  <c r="V931" i="39"/>
  <c r="F932" i="39"/>
  <c r="Y932" i="39" s="1"/>
  <c r="F866" i="39"/>
  <c r="Y866" i="39" s="1"/>
  <c r="C865" i="39"/>
  <c r="U865" i="39" s="1"/>
  <c r="V865" i="39"/>
  <c r="V1521" i="39"/>
  <c r="C1521" i="39"/>
  <c r="U1521" i="39" s="1"/>
  <c r="F1522" i="39"/>
  <c r="Y1522" i="39" s="1"/>
  <c r="X932" i="39" l="1"/>
  <c r="X1744" i="39"/>
  <c r="X1256" i="39"/>
  <c r="X1522" i="39"/>
  <c r="X866" i="39"/>
  <c r="F1257" i="39"/>
  <c r="Y1257" i="39" s="1"/>
  <c r="C1256" i="39"/>
  <c r="U1256" i="39" s="1"/>
  <c r="V1256" i="39"/>
  <c r="V932" i="39"/>
  <c r="C932" i="39"/>
  <c r="U932" i="39" s="1"/>
  <c r="F933" i="39"/>
  <c r="F1745" i="39"/>
  <c r="Y1745" i="39" s="1"/>
  <c r="V1744" i="39"/>
  <c r="C1744" i="39"/>
  <c r="U1744" i="39" s="1"/>
  <c r="F867" i="39"/>
  <c r="Y867" i="39" s="1"/>
  <c r="V866" i="39"/>
  <c r="C866" i="39"/>
  <c r="U866" i="39" s="1"/>
  <c r="V1522" i="39"/>
  <c r="C1522" i="39"/>
  <c r="U1522" i="39" s="1"/>
  <c r="F1523" i="39"/>
  <c r="Y1523" i="39" s="1"/>
  <c r="X1523" i="39" l="1"/>
  <c r="X1257"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33" i="39"/>
  <c r="X1745" i="39"/>
  <c r="X867" i="39"/>
  <c r="X933" i="39"/>
  <c r="F1258" i="39"/>
  <c r="Y1258" i="39" s="1"/>
  <c r="V1257" i="39"/>
  <c r="C1257" i="39"/>
  <c r="U1257" i="39" s="1"/>
  <c r="V933" i="39"/>
  <c r="C933" i="39"/>
  <c r="U933" i="39" s="1"/>
  <c r="F1746" i="39"/>
  <c r="Y1746" i="39" s="1"/>
  <c r="C1745" i="39"/>
  <c r="U1745" i="39" s="1"/>
  <c r="V1745" i="39"/>
  <c r="V867" i="39"/>
  <c r="C867" i="39"/>
  <c r="U867" i="39" s="1"/>
  <c r="F868" i="39"/>
  <c r="Y868" i="39" s="1"/>
  <c r="F1524" i="39"/>
  <c r="Y1524" i="39" s="1"/>
  <c r="V1523" i="39"/>
  <c r="C1523" i="39"/>
  <c r="U1523" i="39" s="1"/>
  <c r="X1258" i="39" l="1"/>
  <c r="X868" i="39"/>
  <c r="X1746" i="39"/>
  <c r="X1524" i="39"/>
  <c r="F1259" i="39"/>
  <c r="Y1259" i="39" s="1"/>
  <c r="C1258" i="39"/>
  <c r="U1258" i="39" s="1"/>
  <c r="V1258" i="39"/>
  <c r="F1747" i="39"/>
  <c r="C1746" i="39"/>
  <c r="U1746" i="39" s="1"/>
  <c r="V1746" i="39"/>
  <c r="F869" i="39"/>
  <c r="Y869" i="39" s="1"/>
  <c r="V868" i="39"/>
  <c r="C868" i="39"/>
  <c r="U868" i="39" s="1"/>
  <c r="V1524" i="39"/>
  <c r="C1524" i="39"/>
  <c r="U1524" i="39" s="1"/>
  <c r="F1525" i="39"/>
  <c r="Y1525" i="39" s="1"/>
  <c r="Y1747" i="39" l="1"/>
  <c r="X1747" i="39"/>
  <c r="X869" i="39"/>
  <c r="X1525" i="39"/>
  <c r="X1259" i="39"/>
  <c r="X1260" i="39" s="1"/>
  <c r="F1260" i="39"/>
  <c r="Y1260" i="39" s="1"/>
  <c r="C1259" i="39"/>
  <c r="U1259" i="39" s="1"/>
  <c r="V1259" i="39"/>
  <c r="V1747" i="39"/>
  <c r="C1747" i="39"/>
  <c r="U1747" i="39" s="1"/>
  <c r="F1748" i="39"/>
  <c r="F870" i="39"/>
  <c r="Y870" i="39" s="1"/>
  <c r="C869" i="39"/>
  <c r="U869" i="39" s="1"/>
  <c r="V869" i="39"/>
  <c r="F1526" i="39"/>
  <c r="Y1526" i="39" s="1"/>
  <c r="V1525" i="39"/>
  <c r="C1525" i="39"/>
  <c r="U1525" i="39" s="1"/>
  <c r="X1526" i="39" l="1"/>
  <c r="Y1748" i="39"/>
  <c r="X870" i="39"/>
  <c r="X1748" i="39"/>
  <c r="F1261" i="39"/>
  <c r="Y1261" i="39" s="1"/>
  <c r="C1260" i="39"/>
  <c r="U1260" i="39" s="1"/>
  <c r="V1260" i="39"/>
  <c r="F1749" i="39"/>
  <c r="Y1749" i="39" s="1"/>
  <c r="V1748" i="39"/>
  <c r="C1748" i="39"/>
  <c r="U1748" i="39" s="1"/>
  <c r="F871" i="39"/>
  <c r="C870" i="39"/>
  <c r="U870" i="39" s="1"/>
  <c r="V870" i="39"/>
  <c r="V1526" i="39"/>
  <c r="F1527" i="39"/>
  <c r="Y1527" i="39" s="1"/>
  <c r="C1526" i="39"/>
  <c r="U1526" i="39" s="1"/>
  <c r="X871" i="39" l="1"/>
  <c r="X1749" i="39"/>
  <c r="Y871" i="39"/>
  <c r="X872" i="39"/>
  <c r="X873" i="39" s="1"/>
  <c r="X874" i="39" s="1"/>
  <c r="X875" i="39" s="1"/>
  <c r="X876" i="39" s="1"/>
  <c r="X877" i="39" s="1"/>
  <c r="X878" i="39" s="1"/>
  <c r="X879" i="39" s="1"/>
  <c r="X880" i="39" s="1"/>
  <c r="X881" i="39" s="1"/>
  <c r="X882" i="39" s="1"/>
  <c r="X883" i="39" s="1"/>
  <c r="X884" i="39" s="1"/>
  <c r="X885" i="39" s="1"/>
  <c r="X886" i="39" s="1"/>
  <c r="X887" i="39" s="1"/>
  <c r="X1527" i="39"/>
  <c r="X1261" i="39"/>
  <c r="X1262" i="39" s="1"/>
  <c r="F1262" i="39"/>
  <c r="Y1262" i="39" s="1"/>
  <c r="C1261" i="39"/>
  <c r="U1261" i="39" s="1"/>
  <c r="V1261" i="39"/>
  <c r="C1749" i="39"/>
  <c r="U1749" i="39" s="1"/>
  <c r="F1750" i="39"/>
  <c r="Y1750" i="39" s="1"/>
  <c r="V1749" i="39"/>
  <c r="C871" i="39"/>
  <c r="U871" i="39" s="1"/>
  <c r="V871" i="39"/>
  <c r="F1528" i="39"/>
  <c r="Y1528" i="39" s="1"/>
  <c r="C1527" i="39"/>
  <c r="U1527" i="39" s="1"/>
  <c r="V1527" i="39"/>
  <c r="X1528" i="39" l="1"/>
  <c r="X1750" i="39"/>
  <c r="F1263" i="39"/>
  <c r="V1262" i="39"/>
  <c r="C1262" i="39"/>
  <c r="U1262" i="39" s="1"/>
  <c r="F1751" i="39"/>
  <c r="Y1751" i="39" s="1"/>
  <c r="C1750" i="39"/>
  <c r="U1750" i="39" s="1"/>
  <c r="V1750" i="39"/>
  <c r="V1528" i="39"/>
  <c r="C1528" i="39"/>
  <c r="U1528" i="39" s="1"/>
  <c r="F1529" i="39"/>
  <c r="Y1529" i="39" s="1"/>
  <c r="X1751" i="39" l="1"/>
  <c r="X1264" i="39"/>
  <c r="X1265" i="39" s="1"/>
  <c r="X1266" i="39" s="1"/>
  <c r="X1267" i="39" s="1"/>
  <c r="X1268" i="39" s="1"/>
  <c r="X1269" i="39" s="1"/>
  <c r="X1270" i="39" s="1"/>
  <c r="X1271" i="39" s="1"/>
  <c r="X1272" i="39" s="1"/>
  <c r="X1273" i="39" s="1"/>
  <c r="X1274" i="39" s="1"/>
  <c r="X1275" i="39" s="1"/>
  <c r="X1276" i="39" s="1"/>
  <c r="X1277" i="39" s="1"/>
  <c r="Y1263" i="39"/>
  <c r="X1263" i="39"/>
  <c r="X1529" i="39"/>
  <c r="C1263" i="39"/>
  <c r="U1263" i="39" s="1"/>
  <c r="V1263" i="39"/>
  <c r="V1751" i="39"/>
  <c r="C1751" i="39"/>
  <c r="U1751" i="39" s="1"/>
  <c r="F1752" i="39"/>
  <c r="Y1752" i="39" s="1"/>
  <c r="C1529" i="39"/>
  <c r="U1529" i="39" s="1"/>
  <c r="V1529" i="39"/>
  <c r="F1530" i="39"/>
  <c r="Y1530" i="39" s="1"/>
  <c r="X1530" i="39" l="1"/>
  <c r="X1752" i="39"/>
  <c r="X1753" i="39" s="1"/>
  <c r="V1752" i="39"/>
  <c r="F1753" i="39"/>
  <c r="Y1753" i="39" s="1"/>
  <c r="C1752" i="39"/>
  <c r="U1752" i="39" s="1"/>
  <c r="V1530" i="39"/>
  <c r="F1531" i="39"/>
  <c r="Y1531" i="39" s="1"/>
  <c r="C1530" i="39"/>
  <c r="U1530" i="39" s="1"/>
  <c r="F1532" i="39"/>
  <c r="Y1532" i="39" s="1"/>
  <c r="X1531" i="39" l="1"/>
  <c r="X1532" i="39" s="1"/>
  <c r="C1753" i="39"/>
  <c r="U1753" i="39" s="1"/>
  <c r="F1754" i="39"/>
  <c r="Y1754" i="39" s="1"/>
  <c r="V1753" i="39"/>
  <c r="F1534" i="39"/>
  <c r="Y1534" i="39" s="1"/>
  <c r="F1533" i="39"/>
  <c r="Y1533" i="39" s="1"/>
  <c r="V1532" i="39"/>
  <c r="C1532" i="39"/>
  <c r="U1532" i="39" s="1"/>
  <c r="C1531" i="39"/>
  <c r="U1531" i="39" s="1"/>
  <c r="V1531" i="39"/>
  <c r="X1533" i="39" l="1"/>
  <c r="X1534" i="39" s="1"/>
  <c r="X1754" i="39"/>
  <c r="V1754" i="39"/>
  <c r="F1755" i="39"/>
  <c r="Y1755" i="39" s="1"/>
  <c r="C1754" i="39"/>
  <c r="U1754" i="39" s="1"/>
  <c r="F1535" i="39"/>
  <c r="Y1535" i="39" s="1"/>
  <c r="F1536" i="39"/>
  <c r="Y1536" i="39" s="1"/>
  <c r="V1533" i="39"/>
  <c r="C1533" i="39"/>
  <c r="U1533" i="39" s="1"/>
  <c r="V1534" i="39"/>
  <c r="C1534" i="39"/>
  <c r="U1534" i="39" s="1"/>
  <c r="X1755" i="39" l="1"/>
  <c r="X1535" i="39"/>
  <c r="X1536" i="39" s="1"/>
  <c r="C1535" i="39"/>
  <c r="U1535" i="39" s="1"/>
  <c r="V1535" i="39"/>
  <c r="F1756" i="39"/>
  <c r="Y1756" i="39" s="1"/>
  <c r="C1755" i="39"/>
  <c r="U1755" i="39" s="1"/>
  <c r="V1755" i="39"/>
  <c r="F1538" i="39"/>
  <c r="Y1538" i="39" s="1"/>
  <c r="C1536" i="39"/>
  <c r="U1536" i="39" s="1"/>
  <c r="F1537" i="39"/>
  <c r="Y1537" i="39" s="1"/>
  <c r="V1536" i="39"/>
  <c r="X1537" i="39" l="1"/>
  <c r="X1538" i="39" s="1"/>
  <c r="X1756" i="39"/>
  <c r="V1756" i="39"/>
  <c r="C1756" i="39"/>
  <c r="U1756" i="39" s="1"/>
  <c r="F1757" i="39"/>
  <c r="Y1757" i="39" s="1"/>
  <c r="F1539" i="39"/>
  <c r="C1537" i="39"/>
  <c r="U1537" i="39" s="1"/>
  <c r="C1538" i="39"/>
  <c r="U1538" i="39" s="1"/>
  <c r="V1538" i="39"/>
  <c r="V1537" i="39"/>
  <c r="X1757" i="39" l="1"/>
  <c r="Y1539" i="39"/>
  <c r="X1540" i="39"/>
  <c r="X1541" i="39" s="1"/>
  <c r="X1542" i="39" s="1"/>
  <c r="X1543" i="39" s="1"/>
  <c r="X1539" i="39"/>
  <c r="C1757" i="39"/>
  <c r="U1757" i="39" s="1"/>
  <c r="V1757" i="39"/>
  <c r="F1758" i="39"/>
  <c r="Y1758" i="39" s="1"/>
  <c r="C1539" i="39"/>
  <c r="U1539" i="39" s="1"/>
  <c r="V1539" i="39"/>
  <c r="X1758" i="39" l="1"/>
  <c r="C1758" i="39"/>
  <c r="U1758" i="39" s="1"/>
  <c r="F1759" i="39"/>
  <c r="Y1759" i="39" s="1"/>
  <c r="V1758" i="39"/>
  <c r="X1759" i="39" l="1"/>
  <c r="C1759" i="39"/>
  <c r="U1759" i="39" s="1"/>
  <c r="V1759" i="39"/>
  <c r="F1760" i="39"/>
  <c r="Y1760" i="39" s="1"/>
  <c r="X1760" i="39" l="1"/>
  <c r="C1760" i="39"/>
  <c r="U1760" i="39" s="1"/>
  <c r="F1761" i="39"/>
  <c r="Y1761" i="39" s="1"/>
  <c r="V1760" i="39"/>
  <c r="X1761" i="39" l="1"/>
  <c r="X1762" i="39" s="1"/>
  <c r="F1762" i="39"/>
  <c r="Y1762" i="39" s="1"/>
  <c r="V1761" i="39"/>
  <c r="C1761" i="39"/>
  <c r="U1761" i="39" s="1"/>
  <c r="V1762" i="39" l="1"/>
  <c r="F1763" i="39"/>
  <c r="Y1763" i="39" s="1"/>
  <c r="C1762" i="39"/>
  <c r="U1762" i="39" s="1"/>
  <c r="X1763" i="39" l="1"/>
  <c r="V1763" i="39"/>
  <c r="C1763" i="39"/>
  <c r="U1763" i="39" s="1"/>
  <c r="F1764" i="39"/>
  <c r="Y1764" i="39" s="1"/>
  <c r="X1764" i="39" l="1"/>
  <c r="V1764" i="39"/>
  <c r="C1764" i="39"/>
  <c r="U1764" i="39" s="1"/>
  <c r="F1765" i="39"/>
  <c r="C233" i="39"/>
  <c r="X1766" i="39" l="1"/>
  <c r="X1767" i="39" s="1"/>
  <c r="X1768" i="39" s="1"/>
  <c r="X1769" i="39" s="1"/>
  <c r="X1770" i="39" s="1"/>
  <c r="X1771" i="39" s="1"/>
  <c r="X1772" i="39" s="1"/>
  <c r="Y1765" i="39"/>
  <c r="X1765" i="39"/>
  <c r="V1765" i="39"/>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Y507" i="39" s="1"/>
  <c r="C506" i="39"/>
  <c r="U506" i="39" s="1"/>
  <c r="U505" i="39"/>
  <c r="V506" i="39"/>
  <c r="F508" i="39" l="1"/>
  <c r="Y508" i="39" s="1"/>
  <c r="V507" i="39"/>
  <c r="C507" i="39"/>
  <c r="U507" i="39" s="1"/>
  <c r="U442" i="39"/>
  <c r="U443" i="39"/>
  <c r="U447" i="39"/>
  <c r="U446" i="39"/>
  <c r="U444" i="39"/>
  <c r="U445" i="39"/>
  <c r="U448" i="39"/>
  <c r="X508" i="39" l="1"/>
  <c r="X509" i="39" s="1"/>
  <c r="F509" i="39"/>
  <c r="Y509" i="39" s="1"/>
  <c r="C508" i="39"/>
  <c r="U508" i="39" s="1"/>
  <c r="V508" i="39"/>
  <c r="F510" i="39" l="1"/>
  <c r="Y510" i="39" s="1"/>
  <c r="V509" i="39"/>
  <c r="C509" i="39"/>
  <c r="U509" i="39" s="1"/>
  <c r="X510" i="39" l="1"/>
  <c r="F511" i="39"/>
  <c r="Y511" i="39" s="1"/>
  <c r="V510" i="39"/>
  <c r="C510" i="39"/>
  <c r="U510" i="39" s="1"/>
  <c r="AE127" i="39"/>
  <c r="F127" i="39"/>
  <c r="Y127" i="39" s="1"/>
  <c r="D127" i="39"/>
  <c r="V125" i="39"/>
  <c r="F126" i="39"/>
  <c r="Y126" i="39" s="1"/>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X512" i="39" l="1"/>
  <c r="X513" i="39" s="1"/>
  <c r="F513" i="39"/>
  <c r="Y513" i="39" s="1"/>
  <c r="V255" i="39"/>
  <c r="C255" i="39"/>
  <c r="U255" i="39" s="1"/>
  <c r="C254" i="39"/>
  <c r="U254" i="39" s="1"/>
  <c r="V128" i="39"/>
  <c r="C512" i="39"/>
  <c r="U512" i="39" s="1"/>
  <c r="V512" i="39"/>
  <c r="V254" i="39"/>
  <c r="F256" i="39"/>
  <c r="Y256" i="39" s="1"/>
  <c r="F129" i="39"/>
  <c r="Y129" i="39" s="1"/>
  <c r="D676" i="39"/>
  <c r="B21" i="37"/>
  <c r="B20" i="37"/>
  <c r="B25" i="37"/>
  <c r="B26" i="37"/>
  <c r="F514" i="39" l="1"/>
  <c r="Y514" i="39" s="1"/>
  <c r="V256" i="39"/>
  <c r="V513" i="39"/>
  <c r="C513" i="39"/>
  <c r="U513" i="39" s="1"/>
  <c r="C256" i="39"/>
  <c r="U256" i="39" s="1"/>
  <c r="F130" i="39"/>
  <c r="Y130" i="39" s="1"/>
  <c r="V129" i="39"/>
  <c r="F257" i="39"/>
  <c r="Y257" i="39" s="1"/>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184" i="39" l="1"/>
  <c r="Y318" i="39"/>
  <c r="Y141" i="39"/>
  <c r="X141" i="39"/>
  <c r="X142" i="39" s="1"/>
  <c r="X725" i="39"/>
  <c r="Y725" i="39"/>
  <c r="Y683" i="39"/>
  <c r="Y83" i="39"/>
  <c r="X577" i="39"/>
  <c r="Y577" i="39"/>
  <c r="Y371" i="39"/>
  <c r="X371" i="39"/>
  <c r="Y118" i="39"/>
  <c r="X118" i="39"/>
  <c r="X119" i="39" s="1"/>
  <c r="Y75" i="39"/>
  <c r="X75" i="39"/>
  <c r="Y3" i="39"/>
  <c r="X3" i="39"/>
  <c r="Y394" i="39"/>
  <c r="Y610" i="39"/>
  <c r="X610" i="39"/>
  <c r="X611" i="39" s="1"/>
  <c r="Y714" i="39"/>
  <c r="Y226" i="39"/>
  <c r="X226" i="39"/>
  <c r="Y451" i="39"/>
  <c r="X451" i="39"/>
  <c r="Y237" i="39"/>
  <c r="Y376" i="39"/>
  <c r="Y702" i="39"/>
  <c r="X702" i="39"/>
  <c r="Y301" i="39"/>
  <c r="Y620" i="39"/>
  <c r="Y195" i="39"/>
  <c r="X514" i="39"/>
  <c r="F578" i="39"/>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4" i="39"/>
  <c r="Y644" i="39" s="1"/>
  <c r="C661" i="39"/>
  <c r="U661" i="39" s="1"/>
  <c r="F386" i="39"/>
  <c r="Y386" i="39" s="1"/>
  <c r="F621" i="39"/>
  <c r="Y621" i="39" s="1"/>
  <c r="U576" i="39"/>
  <c r="C195" i="39"/>
  <c r="U195" i="39" s="1"/>
  <c r="U125" i="39"/>
  <c r="U175" i="39"/>
  <c r="F715" i="39"/>
  <c r="Y715" i="39" s="1"/>
  <c r="C226" i="39"/>
  <c r="U226" i="39" s="1"/>
  <c r="U609" i="39"/>
  <c r="U619" i="39"/>
  <c r="U616" i="39"/>
  <c r="U584" i="39"/>
  <c r="U660" i="39"/>
  <c r="F234" i="39"/>
  <c r="U236" i="39"/>
  <c r="U300" i="39"/>
  <c r="U450" i="39"/>
  <c r="C184" i="39"/>
  <c r="U184" i="39" s="1"/>
  <c r="C702" i="39"/>
  <c r="U702" i="39" s="1"/>
  <c r="U701" i="39"/>
  <c r="F377" i="39"/>
  <c r="Y377" i="39" s="1"/>
  <c r="U682" i="39"/>
  <c r="V394" i="39"/>
  <c r="C725" i="39"/>
  <c r="U725" i="39" s="1"/>
  <c r="V371" i="39"/>
  <c r="U384" i="39"/>
  <c r="C620" i="39"/>
  <c r="U620" i="39" s="1"/>
  <c r="C75" i="39"/>
  <c r="U75" i="39" s="1"/>
  <c r="U393" i="39"/>
  <c r="U194" i="39"/>
  <c r="U408" i="39"/>
  <c r="U317" i="39"/>
  <c r="C371" i="39"/>
  <c r="U371" i="39" s="1"/>
  <c r="V661" i="39"/>
  <c r="F726" i="39"/>
  <c r="F185" i="39"/>
  <c r="V725" i="39"/>
  <c r="U370" i="39"/>
  <c r="F395" i="39"/>
  <c r="Y395" i="39" s="1"/>
  <c r="U183" i="39"/>
  <c r="F662" i="39"/>
  <c r="Y662" i="39" s="1"/>
  <c r="U117" i="39"/>
  <c r="C83" i="39"/>
  <c r="U83" i="39" s="1"/>
  <c r="U600" i="39"/>
  <c r="C617" i="39"/>
  <c r="U617" i="39" s="1"/>
  <c r="C714" i="39"/>
  <c r="U714" i="39" s="1"/>
  <c r="V180" i="39"/>
  <c r="U2" i="39"/>
  <c r="C178" i="39"/>
  <c r="U178" i="39" s="1"/>
  <c r="F181" i="39"/>
  <c r="Y181" i="39" s="1"/>
  <c r="C142" i="39"/>
  <c r="U142" i="39" s="1"/>
  <c r="U724" i="39"/>
  <c r="V83" i="39"/>
  <c r="U225" i="39"/>
  <c r="F84" i="39"/>
  <c r="F76" i="39"/>
  <c r="Y76" i="39" s="1"/>
  <c r="U82" i="39"/>
  <c r="C176" i="39"/>
  <c r="U176" i="39" s="1"/>
  <c r="V233" i="39"/>
  <c r="C376" i="39"/>
  <c r="U376" i="39" s="1"/>
  <c r="C394" i="39"/>
  <c r="U394" i="39" s="1"/>
  <c r="V617" i="39"/>
  <c r="V702" i="39"/>
  <c r="U140" i="39"/>
  <c r="V184" i="39"/>
  <c r="F372" i="39"/>
  <c r="Y372" i="39" s="1"/>
  <c r="U713" i="39"/>
  <c r="V195" i="39"/>
  <c r="F196" i="39"/>
  <c r="F618" i="39"/>
  <c r="V226" i="39"/>
  <c r="V75" i="39"/>
  <c r="V176" i="39"/>
  <c r="F144" i="39"/>
  <c r="Y144" i="39" s="1"/>
  <c r="V376" i="39"/>
  <c r="V451" i="39"/>
  <c r="F452" i="39"/>
  <c r="Y452" i="39" s="1"/>
  <c r="F703" i="39"/>
  <c r="Y703" i="39" s="1"/>
  <c r="C179" i="39"/>
  <c r="U179" i="39" s="1"/>
  <c r="V179" i="39"/>
  <c r="C3" i="39"/>
  <c r="U3" i="39" s="1"/>
  <c r="U74" i="39"/>
  <c r="F119" i="39"/>
  <c r="Y119" i="39" s="1"/>
  <c r="V118" i="39"/>
  <c r="F143" i="39"/>
  <c r="Y143" i="39" s="1"/>
  <c r="V141" i="39"/>
  <c r="V3" i="39"/>
  <c r="U233" i="39"/>
  <c r="C237" i="39"/>
  <c r="U237" i="39" s="1"/>
  <c r="C177" i="39"/>
  <c r="U177" i="39" s="1"/>
  <c r="C683" i="39"/>
  <c r="U683" i="39" s="1"/>
  <c r="F684" i="39"/>
  <c r="Y684" i="39" s="1"/>
  <c r="V683" i="39"/>
  <c r="C318" i="39"/>
  <c r="U318" i="39" s="1"/>
  <c r="F319" i="39"/>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V714" i="39"/>
  <c r="C577" i="39"/>
  <c r="U577" i="39" s="1"/>
  <c r="U643" i="39"/>
  <c r="V620" i="39"/>
  <c r="V577" i="39"/>
  <c r="V643" i="39"/>
  <c r="X726" i="39" l="1"/>
  <c r="X372" i="39"/>
  <c r="X143" i="39"/>
  <c r="X578" i="39"/>
  <c r="X227" i="39"/>
  <c r="Y196" i="39"/>
  <c r="Y578" i="39"/>
  <c r="Y319" i="39"/>
  <c r="X144" i="39"/>
  <c r="X452" i="39"/>
  <c r="X4" i="39"/>
  <c r="X5" i="39" s="1"/>
  <c r="Y185" i="39"/>
  <c r="Y234" i="39"/>
  <c r="X234" i="39"/>
  <c r="X235" i="39" s="1"/>
  <c r="Y84" i="39"/>
  <c r="X619" i="39"/>
  <c r="X620" i="39" s="1"/>
  <c r="Y618" i="39"/>
  <c r="X515" i="39"/>
  <c r="Y227" i="39"/>
  <c r="X228" i="39"/>
  <c r="X229" i="39" s="1"/>
  <c r="X230" i="39" s="1"/>
  <c r="X231" i="39" s="1"/>
  <c r="X232" i="39" s="1"/>
  <c r="X621" i="39"/>
  <c r="X727" i="39"/>
  <c r="Y726" i="39"/>
  <c r="X703" i="39"/>
  <c r="X76" i="39"/>
  <c r="F579" i="39"/>
  <c r="Y579" i="39" s="1"/>
  <c r="V578" i="39"/>
  <c r="C578" i="39"/>
  <c r="U578" i="39" s="1"/>
  <c r="F516" i="39"/>
  <c r="Y516" i="39" s="1"/>
  <c r="V229" i="39"/>
  <c r="C229" i="39"/>
  <c r="U229" i="39" s="1"/>
  <c r="F239" i="39"/>
  <c r="Y239" i="39" s="1"/>
  <c r="C515" i="39"/>
  <c r="U515" i="39" s="1"/>
  <c r="V515" i="39"/>
  <c r="V144" i="39"/>
  <c r="C181" i="39"/>
  <c r="U181" i="39" s="1"/>
  <c r="F132" i="39"/>
  <c r="Y132" i="39" s="1"/>
  <c r="V131" i="39"/>
  <c r="F259" i="39"/>
  <c r="V258" i="39"/>
  <c r="C258" i="39"/>
  <c r="U258" i="39" s="1"/>
  <c r="C4" i="39"/>
  <c r="U4" i="39" s="1"/>
  <c r="F387" i="39"/>
  <c r="Y387" i="39" s="1"/>
  <c r="V4" i="39"/>
  <c r="V644" i="39"/>
  <c r="F622" i="39"/>
  <c r="C726" i="39"/>
  <c r="U726" i="39" s="1"/>
  <c r="C644" i="39"/>
  <c r="U644" i="39" s="1"/>
  <c r="F5" i="39"/>
  <c r="Y5" i="39" s="1"/>
  <c r="F645" i="39"/>
  <c r="Y645" i="39" s="1"/>
  <c r="C386" i="39"/>
  <c r="U386" i="39" s="1"/>
  <c r="C196" i="39"/>
  <c r="U196" i="39" s="1"/>
  <c r="V227" i="39"/>
  <c r="V621" i="39"/>
  <c r="C234" i="39"/>
  <c r="U234" i="39" s="1"/>
  <c r="V386" i="39"/>
  <c r="C621" i="39"/>
  <c r="U621" i="39" s="1"/>
  <c r="C715" i="39"/>
  <c r="U715" i="39" s="1"/>
  <c r="C227" i="39"/>
  <c r="U227" i="39" s="1"/>
  <c r="F186" i="39"/>
  <c r="Y186" i="39" s="1"/>
  <c r="V181" i="39"/>
  <c r="F378" i="39"/>
  <c r="Y378" i="39" s="1"/>
  <c r="V377" i="39"/>
  <c r="V715" i="39"/>
  <c r="C618" i="39"/>
  <c r="U618" i="39" s="1"/>
  <c r="C395" i="39"/>
  <c r="U395" i="39" s="1"/>
  <c r="F716" i="39"/>
  <c r="Y716" i="39" s="1"/>
  <c r="C703" i="39"/>
  <c r="U703" i="39" s="1"/>
  <c r="C377" i="39"/>
  <c r="U377" i="39" s="1"/>
  <c r="F235" i="39"/>
  <c r="V234" i="39"/>
  <c r="V618" i="39"/>
  <c r="F396" i="39"/>
  <c r="Y396" i="39" s="1"/>
  <c r="V395" i="39"/>
  <c r="V196" i="39"/>
  <c r="V372" i="39"/>
  <c r="V726" i="39"/>
  <c r="V601" i="39"/>
  <c r="C452" i="39"/>
  <c r="U452" i="39" s="1"/>
  <c r="F727" i="39"/>
  <c r="Y727" i="39" s="1"/>
  <c r="V662" i="39"/>
  <c r="C662" i="39"/>
  <c r="U662" i="39" s="1"/>
  <c r="F663" i="39"/>
  <c r="Y663" i="39" s="1"/>
  <c r="C601" i="39"/>
  <c r="U601" i="39" s="1"/>
  <c r="V185" i="39"/>
  <c r="C372" i="39"/>
  <c r="U372" i="39" s="1"/>
  <c r="C185" i="39"/>
  <c r="U185" i="39" s="1"/>
  <c r="F146" i="39"/>
  <c r="Y146" i="39" s="1"/>
  <c r="C238" i="39"/>
  <c r="U238" i="39" s="1"/>
  <c r="V238" i="39"/>
  <c r="V703" i="39"/>
  <c r="F704" i="39"/>
  <c r="Y704" i="39" s="1"/>
  <c r="F373" i="39"/>
  <c r="Y373" i="39" s="1"/>
  <c r="F453" i="39"/>
  <c r="C144" i="39"/>
  <c r="U144" i="39" s="1"/>
  <c r="C84" i="39"/>
  <c r="U84" i="39" s="1"/>
  <c r="V84" i="39"/>
  <c r="F85" i="39"/>
  <c r="F182" i="39"/>
  <c r="V452" i="39"/>
  <c r="V76" i="39"/>
  <c r="F77" i="39"/>
  <c r="Y77" i="39" s="1"/>
  <c r="F197" i="39"/>
  <c r="Y197" i="39" s="1"/>
  <c r="C76" i="39"/>
  <c r="U76" i="39" s="1"/>
  <c r="F120" i="39"/>
  <c r="V119" i="39"/>
  <c r="C119" i="39"/>
  <c r="U119" i="39" s="1"/>
  <c r="C143" i="39"/>
  <c r="U143" i="39" s="1"/>
  <c r="F145" i="39"/>
  <c r="Y145" i="39" s="1"/>
  <c r="V143" i="39"/>
  <c r="F411" i="39"/>
  <c r="C410" i="39"/>
  <c r="U410" i="39" s="1"/>
  <c r="V410" i="39"/>
  <c r="F587" i="39"/>
  <c r="Y587" i="39" s="1"/>
  <c r="V586" i="39"/>
  <c r="C586" i="39"/>
  <c r="U586" i="39" s="1"/>
  <c r="F685" i="39"/>
  <c r="Y685" i="39" s="1"/>
  <c r="V684" i="39"/>
  <c r="C684" i="39"/>
  <c r="U684" i="39" s="1"/>
  <c r="F320" i="39"/>
  <c r="Y320" i="39" s="1"/>
  <c r="V319" i="39"/>
  <c r="C319" i="39"/>
  <c r="U319" i="39" s="1"/>
  <c r="C302" i="39"/>
  <c r="U302" i="39" s="1"/>
  <c r="V302" i="39"/>
  <c r="F303" i="39"/>
  <c r="Y303" i="39" s="1"/>
  <c r="F612" i="39"/>
  <c r="Y612" i="39" s="1"/>
  <c r="V611" i="39"/>
  <c r="C611" i="39"/>
  <c r="U611" i="39" s="1"/>
  <c r="X145" i="39" l="1"/>
  <c r="X146" i="39" s="1"/>
  <c r="X77" i="39"/>
  <c r="Y182" i="39"/>
  <c r="X183" i="39"/>
  <c r="X184" i="39" s="1"/>
  <c r="X185" i="39" s="1"/>
  <c r="X186" i="39" s="1"/>
  <c r="X453" i="39"/>
  <c r="Y453" i="39"/>
  <c r="X704" i="39"/>
  <c r="Y120" i="39"/>
  <c r="Y259" i="39"/>
  <c r="X612" i="39"/>
  <c r="Y85" i="39"/>
  <c r="X579" i="39"/>
  <c r="X580" i="39" s="1"/>
  <c r="X516" i="39"/>
  <c r="X517" i="39" s="1"/>
  <c r="X373" i="39"/>
  <c r="X374" i="39" s="1"/>
  <c r="Y235" i="39"/>
  <c r="X236" i="39"/>
  <c r="X237" i="39" s="1"/>
  <c r="X238" i="39" s="1"/>
  <c r="X239" i="39" s="1"/>
  <c r="Y622" i="39"/>
  <c r="Y411" i="39"/>
  <c r="X120" i="39"/>
  <c r="X622" i="39"/>
  <c r="C579" i="39"/>
  <c r="U579" i="39" s="1"/>
  <c r="V579" i="39"/>
  <c r="F580" i="39"/>
  <c r="Y580" i="39" s="1"/>
  <c r="F517" i="39"/>
  <c r="Y517" i="39" s="1"/>
  <c r="V230" i="39"/>
  <c r="C230" i="39"/>
  <c r="U230" i="39" s="1"/>
  <c r="F240" i="39"/>
  <c r="Y240" i="39" s="1"/>
  <c r="V516" i="39"/>
  <c r="C516" i="39"/>
  <c r="U516" i="39" s="1"/>
  <c r="C5" i="39"/>
  <c r="U5" i="39" s="1"/>
  <c r="F388" i="39"/>
  <c r="Y388" i="39" s="1"/>
  <c r="F260" i="39"/>
  <c r="Y260" i="39" s="1"/>
  <c r="V259" i="39"/>
  <c r="C259" i="39"/>
  <c r="U259" i="39" s="1"/>
  <c r="F133" i="39"/>
  <c r="Y133" i="39" s="1"/>
  <c r="V132" i="39"/>
  <c r="V146" i="39"/>
  <c r="V602" i="39"/>
  <c r="V77" i="39"/>
  <c r="C622" i="39"/>
  <c r="U622" i="39" s="1"/>
  <c r="C387" i="39"/>
  <c r="U387" i="39" s="1"/>
  <c r="C602" i="39"/>
  <c r="U602" i="39" s="1"/>
  <c r="V387" i="39"/>
  <c r="C235" i="39"/>
  <c r="U235" i="39" s="1"/>
  <c r="F624" i="39"/>
  <c r="F623" i="39"/>
  <c r="Y623" i="39" s="1"/>
  <c r="V622" i="39"/>
  <c r="F664" i="39"/>
  <c r="Y664" i="39" s="1"/>
  <c r="C645" i="39"/>
  <c r="U645" i="39" s="1"/>
  <c r="V645" i="39"/>
  <c r="V5" i="39"/>
  <c r="F646" i="39"/>
  <c r="Y646" i="39" s="1"/>
  <c r="F6" i="39"/>
  <c r="Y6" i="39" s="1"/>
  <c r="C186" i="39"/>
  <c r="U186" i="39" s="1"/>
  <c r="V186" i="39"/>
  <c r="F187" i="39"/>
  <c r="Y187" i="39" s="1"/>
  <c r="F148" i="39"/>
  <c r="Y148" i="39" s="1"/>
  <c r="C146" i="39"/>
  <c r="U146" i="39" s="1"/>
  <c r="F454" i="39"/>
  <c r="X454" i="39" s="1"/>
  <c r="V235" i="39"/>
  <c r="F397" i="39"/>
  <c r="Y397" i="39" s="1"/>
  <c r="V704" i="39"/>
  <c r="C716" i="39"/>
  <c r="U716" i="39" s="1"/>
  <c r="V716" i="39"/>
  <c r="F717" i="39"/>
  <c r="Y717" i="39" s="1"/>
  <c r="F379" i="39"/>
  <c r="Y379" i="39" s="1"/>
  <c r="V378" i="39"/>
  <c r="C378" i="39"/>
  <c r="U378" i="39" s="1"/>
  <c r="V396" i="39"/>
  <c r="C453" i="39"/>
  <c r="U453" i="39" s="1"/>
  <c r="V453" i="39"/>
  <c r="C396" i="39"/>
  <c r="U396" i="39" s="1"/>
  <c r="C663" i="39"/>
  <c r="U663" i="39" s="1"/>
  <c r="V663" i="39"/>
  <c r="F728" i="39"/>
  <c r="Y728" i="39" s="1"/>
  <c r="V727" i="39"/>
  <c r="C727" i="39"/>
  <c r="U727" i="39" s="1"/>
  <c r="F705" i="39"/>
  <c r="Y705" i="39" s="1"/>
  <c r="C704" i="39"/>
  <c r="U704"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F686" i="39"/>
  <c r="V685" i="39"/>
  <c r="C685" i="39"/>
  <c r="U685" i="39" s="1"/>
  <c r="F321" i="39"/>
  <c r="Y321" i="39" s="1"/>
  <c r="V320" i="39"/>
  <c r="C320" i="39"/>
  <c r="U320" i="39" s="1"/>
  <c r="C411" i="39"/>
  <c r="U411" i="39" s="1"/>
  <c r="F413" i="39"/>
  <c r="V411" i="39"/>
  <c r="F412" i="39"/>
  <c r="C120" i="39"/>
  <c r="U120" i="39" s="1"/>
  <c r="V120" i="39"/>
  <c r="F121" i="39"/>
  <c r="Y121" i="39" s="1"/>
  <c r="C303" i="39"/>
  <c r="U303" i="39" s="1"/>
  <c r="F304" i="39"/>
  <c r="Y304" i="39" s="1"/>
  <c r="V303" i="39"/>
  <c r="C587" i="39"/>
  <c r="U587" i="39" s="1"/>
  <c r="F588" i="39"/>
  <c r="Y588" i="39" s="1"/>
  <c r="V587" i="39"/>
  <c r="X78" i="39" l="1"/>
  <c r="X613" i="39"/>
  <c r="X121" i="39"/>
  <c r="X375" i="39"/>
  <c r="X376" i="39" s="1"/>
  <c r="X377" i="39" s="1"/>
  <c r="X378" i="39" s="1"/>
  <c r="X379" i="39" s="1"/>
  <c r="Y374" i="39"/>
  <c r="X728" i="39"/>
  <c r="X147" i="39"/>
  <c r="X148" i="39" s="1"/>
  <c r="X6" i="39"/>
  <c r="Y454" i="39"/>
  <c r="X623" i="39"/>
  <c r="X624" i="39" s="1"/>
  <c r="Y624" i="39"/>
  <c r="X705" i="39"/>
  <c r="Y413" i="39"/>
  <c r="X187" i="39"/>
  <c r="Y412" i="39"/>
  <c r="Y686" i="39"/>
  <c r="X240" i="39"/>
  <c r="F581" i="39"/>
  <c r="Y581" i="39" s="1"/>
  <c r="C580" i="39"/>
  <c r="U580" i="39" s="1"/>
  <c r="V580" i="39"/>
  <c r="F518" i="39"/>
  <c r="Y518" i="39" s="1"/>
  <c r="F241" i="39"/>
  <c r="Y241" i="39" s="1"/>
  <c r="C517" i="39"/>
  <c r="U517" i="39" s="1"/>
  <c r="V517" i="39"/>
  <c r="V187" i="39"/>
  <c r="F389" i="39"/>
  <c r="Y389" i="39" s="1"/>
  <c r="F455" i="39"/>
  <c r="X455" i="39" s="1"/>
  <c r="V148" i="39"/>
  <c r="V603" i="39"/>
  <c r="V388" i="39"/>
  <c r="C388" i="39"/>
  <c r="U388" i="39" s="1"/>
  <c r="F261" i="39"/>
  <c r="V260" i="39"/>
  <c r="C260" i="39"/>
  <c r="U260" i="39" s="1"/>
  <c r="V78" i="39"/>
  <c r="F134" i="39"/>
  <c r="V133" i="39"/>
  <c r="V623" i="39"/>
  <c r="C603" i="39"/>
  <c r="U603" i="39" s="1"/>
  <c r="V624" i="39"/>
  <c r="F625" i="39"/>
  <c r="C664" i="39"/>
  <c r="U664" i="39" s="1"/>
  <c r="F398" i="39"/>
  <c r="Y398" i="39" s="1"/>
  <c r="C624" i="39"/>
  <c r="U624" i="39" s="1"/>
  <c r="C623" i="39"/>
  <c r="U623" i="39" s="1"/>
  <c r="V664" i="39"/>
  <c r="F665" i="39"/>
  <c r="Y665" i="39" s="1"/>
  <c r="F647" i="39"/>
  <c r="Y647" i="39" s="1"/>
  <c r="C646" i="39"/>
  <c r="U646" i="39" s="1"/>
  <c r="V646" i="39"/>
  <c r="C6" i="39"/>
  <c r="U6" i="39" s="1"/>
  <c r="V6" i="39"/>
  <c r="V397" i="39"/>
  <c r="F7" i="39"/>
  <c r="Y7" i="39" s="1"/>
  <c r="F150" i="39"/>
  <c r="Y150" i="39" s="1"/>
  <c r="C148" i="39"/>
  <c r="U148" i="39" s="1"/>
  <c r="V454" i="39"/>
  <c r="C454" i="39"/>
  <c r="U454" i="39" s="1"/>
  <c r="F188" i="39"/>
  <c r="Y188" i="39" s="1"/>
  <c r="C187" i="39"/>
  <c r="U187" i="39" s="1"/>
  <c r="F706" i="39"/>
  <c r="Y706" i="39" s="1"/>
  <c r="F718" i="39"/>
  <c r="Y718" i="39" s="1"/>
  <c r="F719" i="39"/>
  <c r="V717" i="39"/>
  <c r="C717" i="39"/>
  <c r="U717" i="39" s="1"/>
  <c r="C397" i="39"/>
  <c r="U397" i="39" s="1"/>
  <c r="F380" i="39"/>
  <c r="Y380" i="39" s="1"/>
  <c r="C379" i="39"/>
  <c r="U379" i="39" s="1"/>
  <c r="V379" i="39"/>
  <c r="F79" i="39"/>
  <c r="Y79" i="39" s="1"/>
  <c r="V705" i="39"/>
  <c r="C705" i="39"/>
  <c r="U705" i="39" s="1"/>
  <c r="C728" i="39"/>
  <c r="U728" i="39" s="1"/>
  <c r="F730" i="39"/>
  <c r="Y730" i="39" s="1"/>
  <c r="F729" i="39"/>
  <c r="Y729" i="39" s="1"/>
  <c r="V728" i="39"/>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686" i="39"/>
  <c r="U686" i="39" s="1"/>
  <c r="F687" i="39"/>
  <c r="Y687" i="39" s="1"/>
  <c r="V686"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706" i="39" l="1"/>
  <c r="X625" i="39"/>
  <c r="X149" i="39"/>
  <c r="X150" i="39" s="1"/>
  <c r="X122" i="39"/>
  <c r="X188" i="39"/>
  <c r="Y261" i="39"/>
  <c r="X7" i="39"/>
  <c r="X241" i="39"/>
  <c r="X581" i="39"/>
  <c r="X582" i="39" s="1"/>
  <c r="Y414" i="39"/>
  <c r="X415" i="39"/>
  <c r="X416" i="39" s="1"/>
  <c r="X417" i="39" s="1"/>
  <c r="X418" i="39" s="1"/>
  <c r="X419" i="39" s="1"/>
  <c r="X420" i="39" s="1"/>
  <c r="X421" i="39" s="1"/>
  <c r="X422" i="39" s="1"/>
  <c r="X423" i="39" s="1"/>
  <c r="X424" i="39" s="1"/>
  <c r="X425" i="39" s="1"/>
  <c r="X426" i="39" s="1"/>
  <c r="X729" i="39"/>
  <c r="X730" i="39" s="1"/>
  <c r="X614" i="39"/>
  <c r="X615" i="39" s="1"/>
  <c r="Y455" i="39"/>
  <c r="X380" i="39"/>
  <c r="X381" i="39" s="1"/>
  <c r="Y625" i="39"/>
  <c r="X518" i="39"/>
  <c r="X519" i="39" s="1"/>
  <c r="X79" i="39"/>
  <c r="X80" i="39" s="1"/>
  <c r="Y719" i="39"/>
  <c r="X720" i="39"/>
  <c r="X721" i="39" s="1"/>
  <c r="X722" i="39" s="1"/>
  <c r="X72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135" i="39"/>
  <c r="X136" i="39" s="1"/>
  <c r="X137" i="39" s="1"/>
  <c r="X138" i="39" s="1"/>
  <c r="X139" i="39" s="1"/>
  <c r="Y134"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V134" i="39"/>
  <c r="C455" i="39"/>
  <c r="U455" i="39" s="1"/>
  <c r="V79" i="39"/>
  <c r="C7" i="39"/>
  <c r="U7" i="39" s="1"/>
  <c r="F151" i="39"/>
  <c r="Y151" i="39" s="1"/>
  <c r="F666" i="39"/>
  <c r="Y666" i="39" s="1"/>
  <c r="C706" i="39"/>
  <c r="U706" i="39" s="1"/>
  <c r="C604" i="39"/>
  <c r="U604" i="39" s="1"/>
  <c r="V604" i="39"/>
  <c r="C625" i="39"/>
  <c r="U625" i="39" s="1"/>
  <c r="V625" i="39"/>
  <c r="F648" i="39"/>
  <c r="Y648" i="39" s="1"/>
  <c r="V188" i="39"/>
  <c r="F399" i="39"/>
  <c r="Y399" i="39" s="1"/>
  <c r="V7" i="39"/>
  <c r="C647" i="39"/>
  <c r="U647" i="39" s="1"/>
  <c r="C398" i="39"/>
  <c r="U398" i="39" s="1"/>
  <c r="V398" i="39"/>
  <c r="C665" i="39"/>
  <c r="U665" i="39" s="1"/>
  <c r="V647" i="39"/>
  <c r="V150" i="39"/>
  <c r="C150" i="39"/>
  <c r="U150" i="39" s="1"/>
  <c r="V665" i="39"/>
  <c r="F8" i="39"/>
  <c r="Y8" i="39" s="1"/>
  <c r="F707" i="39"/>
  <c r="Y707" i="39" s="1"/>
  <c r="C188" i="39"/>
  <c r="U188" i="39" s="1"/>
  <c r="F189" i="39"/>
  <c r="V706" i="39"/>
  <c r="F80" i="39"/>
  <c r="Y80" i="39" s="1"/>
  <c r="V718" i="39"/>
  <c r="C718" i="39"/>
  <c r="U718" i="39" s="1"/>
  <c r="C380" i="39"/>
  <c r="U380" i="39" s="1"/>
  <c r="V380" i="39"/>
  <c r="F381" i="39"/>
  <c r="Y381" i="39" s="1"/>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X123" i="39" s="1"/>
  <c r="V122" i="39"/>
  <c r="C122" i="39"/>
  <c r="U122" i="39" s="1"/>
  <c r="F590" i="39"/>
  <c r="Y590" i="39" s="1"/>
  <c r="V589" i="39"/>
  <c r="C589" i="39"/>
  <c r="U589" i="39" s="1"/>
  <c r="C687" i="39"/>
  <c r="U687" i="39" s="1"/>
  <c r="F688" i="39"/>
  <c r="Y688" i="39" s="1"/>
  <c r="V687" i="39"/>
  <c r="X707" i="39" l="1"/>
  <c r="X626" i="39"/>
  <c r="X456" i="39"/>
  <c r="X731" i="39"/>
  <c r="X151" i="39"/>
  <c r="X8" i="39"/>
  <c r="Y123" i="39"/>
  <c r="Y731" i="39"/>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242" i="39"/>
  <c r="Y189" i="39"/>
  <c r="Y615" i="39"/>
  <c r="X616" i="39"/>
  <c r="X617" i="39" s="1"/>
  <c r="X618" i="39" s="1"/>
  <c r="X189" i="39"/>
  <c r="V582" i="39"/>
  <c r="F583" i="39"/>
  <c r="X583" i="39" s="1"/>
  <c r="C582" i="39"/>
  <c r="U582" i="39" s="1"/>
  <c r="F520" i="39"/>
  <c r="Y520" i="39" s="1"/>
  <c r="F243" i="39"/>
  <c r="Y243" i="39" s="1"/>
  <c r="C519" i="39"/>
  <c r="U519" i="39" s="1"/>
  <c r="V519" i="39"/>
  <c r="F391" i="39"/>
  <c r="V390" i="39"/>
  <c r="V456" i="39"/>
  <c r="F152" i="39"/>
  <c r="Y152" i="39" s="1"/>
  <c r="V151" i="39"/>
  <c r="C390" i="39"/>
  <c r="U390" i="39" s="1"/>
  <c r="F627" i="39"/>
  <c r="Y627" i="39" s="1"/>
  <c r="C456" i="39"/>
  <c r="U456" i="39" s="1"/>
  <c r="C151" i="39"/>
  <c r="U151" i="39" s="1"/>
  <c r="V626" i="39"/>
  <c r="C626" i="39"/>
  <c r="U626" i="39" s="1"/>
  <c r="V648" i="39"/>
  <c r="C666" i="39"/>
  <c r="U666" i="39" s="1"/>
  <c r="V666" i="39"/>
  <c r="V189" i="39"/>
  <c r="V605" i="39"/>
  <c r="C605" i="39"/>
  <c r="U605" i="39" s="1"/>
  <c r="F457" i="39"/>
  <c r="Y457" i="39" s="1"/>
  <c r="F667" i="39"/>
  <c r="Y667" i="39" s="1"/>
  <c r="F263" i="39"/>
  <c r="Y263" i="39" s="1"/>
  <c r="V262" i="39"/>
  <c r="C262" i="39"/>
  <c r="U262" i="39" s="1"/>
  <c r="C80" i="39"/>
  <c r="U80" i="39" s="1"/>
  <c r="V399" i="39"/>
  <c r="F649" i="39"/>
  <c r="C648" i="39"/>
  <c r="U648" i="39" s="1"/>
  <c r="C399" i="39"/>
  <c r="U399" i="39" s="1"/>
  <c r="V707" i="39"/>
  <c r="F400" i="39"/>
  <c r="Y400" i="39" s="1"/>
  <c r="F708" i="39"/>
  <c r="Y708" i="39" s="1"/>
  <c r="F9" i="39"/>
  <c r="Y9" i="39" s="1"/>
  <c r="V8" i="39"/>
  <c r="C8" i="39"/>
  <c r="U8" i="39" s="1"/>
  <c r="C707" i="39"/>
  <c r="U707" i="39" s="1"/>
  <c r="F190" i="39"/>
  <c r="C189" i="39"/>
  <c r="U189" i="39" s="1"/>
  <c r="F382" i="39"/>
  <c r="Y382" i="39" s="1"/>
  <c r="V381" i="39"/>
  <c r="C381" i="39"/>
  <c r="U381" i="39" s="1"/>
  <c r="V80" i="39"/>
  <c r="F81" i="39"/>
  <c r="C731" i="39"/>
  <c r="U731" i="39" s="1"/>
  <c r="V731" i="39"/>
  <c r="C242" i="39"/>
  <c r="U242" i="39" s="1"/>
  <c r="V242" i="39"/>
  <c r="F89" i="39"/>
  <c r="Y89" i="39" s="1"/>
  <c r="C88" i="39"/>
  <c r="U88" i="39" s="1"/>
  <c r="V88" i="39"/>
  <c r="F689" i="39"/>
  <c r="V688" i="39"/>
  <c r="C688" i="39"/>
  <c r="U688" i="39" s="1"/>
  <c r="V615" i="39"/>
  <c r="C615" i="39"/>
  <c r="U615" i="39" s="1"/>
  <c r="F324" i="39"/>
  <c r="Y324" i="39" s="1"/>
  <c r="V323" i="39"/>
  <c r="C323" i="39"/>
  <c r="U323" i="39" s="1"/>
  <c r="F591" i="39"/>
  <c r="Y591" i="39" s="1"/>
  <c r="V590" i="39"/>
  <c r="C590" i="39"/>
  <c r="U590" i="39" s="1"/>
  <c r="F124" i="39"/>
  <c r="V123" i="39"/>
  <c r="C123" i="39"/>
  <c r="U123" i="39" s="1"/>
  <c r="C306" i="39"/>
  <c r="U306" i="39" s="1"/>
  <c r="V306" i="39"/>
  <c r="F307" i="39"/>
  <c r="Y307" i="39" s="1"/>
  <c r="X520" i="39" l="1"/>
  <c r="X190" i="39"/>
  <c r="X243" i="39"/>
  <c r="X9" i="39"/>
  <c r="Y124" i="39"/>
  <c r="X125" i="39"/>
  <c r="X126" i="39" s="1"/>
  <c r="X127" i="39" s="1"/>
  <c r="X128" i="39" s="1"/>
  <c r="X129" i="39" s="1"/>
  <c r="X130" i="39" s="1"/>
  <c r="X131" i="39" s="1"/>
  <c r="X132" i="39" s="1"/>
  <c r="X133" i="39" s="1"/>
  <c r="X134" i="39" s="1"/>
  <c r="X382" i="39"/>
  <c r="X383" i="39" s="1"/>
  <c r="X124" i="39"/>
  <c r="X708" i="39"/>
  <c r="X521" i="39"/>
  <c r="X152" i="39"/>
  <c r="Y81" i="39"/>
  <c r="X82" i="39"/>
  <c r="X83" i="39" s="1"/>
  <c r="X84" i="39" s="1"/>
  <c r="X85" i="39" s="1"/>
  <c r="X86" i="39" s="1"/>
  <c r="X87" i="39" s="1"/>
  <c r="X88" i="39" s="1"/>
  <c r="X89" i="39" s="1"/>
  <c r="X90" i="39" s="1"/>
  <c r="X457" i="39"/>
  <c r="Y689" i="39"/>
  <c r="Y649" i="39"/>
  <c r="X627" i="39"/>
  <c r="X628" i="39" s="1"/>
  <c r="Y190" i="39"/>
  <c r="X191" i="39"/>
  <c r="Y391" i="39"/>
  <c r="Y583" i="39"/>
  <c r="X584" i="39"/>
  <c r="X585" i="39" s="1"/>
  <c r="X586" i="39" s="1"/>
  <c r="X587" i="39" s="1"/>
  <c r="X588" i="39" s="1"/>
  <c r="X589" i="39" s="1"/>
  <c r="X590" i="39" s="1"/>
  <c r="X591" i="39" s="1"/>
  <c r="X81" i="39"/>
  <c r="C583" i="39"/>
  <c r="U583" i="39" s="1"/>
  <c r="V583" i="39"/>
  <c r="F521" i="39"/>
  <c r="Y521" i="39" s="1"/>
  <c r="F244" i="39"/>
  <c r="Y244" i="39" s="1"/>
  <c r="V520" i="39"/>
  <c r="C520" i="39"/>
  <c r="U520" i="39" s="1"/>
  <c r="F668" i="39"/>
  <c r="Y668" i="39" s="1"/>
  <c r="F392" i="39"/>
  <c r="V391" i="39"/>
  <c r="C627" i="39"/>
  <c r="U627" i="39" s="1"/>
  <c r="V627" i="39"/>
  <c r="V457" i="39"/>
  <c r="F458" i="39"/>
  <c r="Y458" i="39" s="1"/>
  <c r="C667" i="39"/>
  <c r="U667" i="39" s="1"/>
  <c r="V667" i="39"/>
  <c r="V152" i="39"/>
  <c r="C152" i="39"/>
  <c r="U152" i="39" s="1"/>
  <c r="F153" i="39"/>
  <c r="C457" i="39"/>
  <c r="U457" i="39" s="1"/>
  <c r="C391" i="39"/>
  <c r="U391" i="39" s="1"/>
  <c r="C606" i="39"/>
  <c r="U606" i="39" s="1"/>
  <c r="V606" i="39"/>
  <c r="F628" i="39"/>
  <c r="Y628" i="39" s="1"/>
  <c r="F264" i="39"/>
  <c r="Y264" i="39" s="1"/>
  <c r="C263" i="39"/>
  <c r="U263" i="39" s="1"/>
  <c r="V263" i="39"/>
  <c r="F401" i="39"/>
  <c r="Y401" i="39" s="1"/>
  <c r="C649" i="39"/>
  <c r="U649" i="39" s="1"/>
  <c r="F709" i="39"/>
  <c r="Y709" i="39" s="1"/>
  <c r="F650" i="39"/>
  <c r="Y650" i="39" s="1"/>
  <c r="V649" i="39"/>
  <c r="V400" i="39"/>
  <c r="C708" i="39"/>
  <c r="U708" i="39" s="1"/>
  <c r="V708" i="39"/>
  <c r="C400" i="39"/>
  <c r="U400" i="39" s="1"/>
  <c r="C9" i="39"/>
  <c r="U9" i="39" s="1"/>
  <c r="C190" i="39"/>
  <c r="U190" i="39" s="1"/>
  <c r="F191" i="39"/>
  <c r="V190" i="39"/>
  <c r="F10" i="39"/>
  <c r="Y10" i="39" s="1"/>
  <c r="V9" i="39"/>
  <c r="C81" i="39"/>
  <c r="U81" i="39" s="1"/>
  <c r="V81" i="39"/>
  <c r="F383" i="39"/>
  <c r="C382" i="39"/>
  <c r="U382" i="39" s="1"/>
  <c r="V382" i="39"/>
  <c r="V89" i="39"/>
  <c r="F90" i="39"/>
  <c r="Y90" i="39" s="1"/>
  <c r="C89" i="39"/>
  <c r="U89" i="39" s="1"/>
  <c r="F325" i="39"/>
  <c r="V324" i="39"/>
  <c r="C324" i="39"/>
  <c r="U324" i="39" s="1"/>
  <c r="V689" i="39"/>
  <c r="F690" i="39"/>
  <c r="C689" i="39"/>
  <c r="U689" i="39" s="1"/>
  <c r="C307" i="39"/>
  <c r="U307" i="39" s="1"/>
  <c r="F308" i="39"/>
  <c r="Y308" i="39" s="1"/>
  <c r="V307" i="39"/>
  <c r="C591" i="39"/>
  <c r="U591" i="39" s="1"/>
  <c r="F592" i="39"/>
  <c r="Y592" i="39" s="1"/>
  <c r="V591" i="39"/>
  <c r="C124" i="39"/>
  <c r="U124" i="39" s="1"/>
  <c r="V124" i="39"/>
  <c r="Y191" i="39" l="1"/>
  <c r="X458" i="39"/>
  <c r="Y392" i="39"/>
  <c r="X393" i="39"/>
  <c r="X394" i="39" s="1"/>
  <c r="X395" i="39" s="1"/>
  <c r="X396" i="39" s="1"/>
  <c r="X397" i="39" s="1"/>
  <c r="X398" i="39" s="1"/>
  <c r="X399" i="39" s="1"/>
  <c r="X400" i="39" s="1"/>
  <c r="X401" i="39" s="1"/>
  <c r="X402" i="39" s="1"/>
  <c r="Y690" i="39"/>
  <c r="X153" i="39"/>
  <c r="Y325" i="39"/>
  <c r="Y383" i="39"/>
  <c r="X384" i="39"/>
  <c r="X385" i="39" s="1"/>
  <c r="X386" i="39" s="1"/>
  <c r="X387" i="39" s="1"/>
  <c r="X388" i="39" s="1"/>
  <c r="X389" i="39" s="1"/>
  <c r="X390" i="39" s="1"/>
  <c r="X391" i="39" s="1"/>
  <c r="X392" i="39" s="1"/>
  <c r="X10" i="39"/>
  <c r="X11" i="39" s="1"/>
  <c r="Y153" i="39"/>
  <c r="X709" i="39"/>
  <c r="X710" i="39" s="1"/>
  <c r="X592" i="39"/>
  <c r="X593" i="39" s="1"/>
  <c r="X244" i="39"/>
  <c r="F522" i="39"/>
  <c r="Y522" i="39" s="1"/>
  <c r="F404" i="39"/>
  <c r="Y404" i="39" s="1"/>
  <c r="F311" i="39"/>
  <c r="Y311" i="39" s="1"/>
  <c r="F310" i="39"/>
  <c r="Y310" i="39" s="1"/>
  <c r="F245" i="39"/>
  <c r="Y245" i="39" s="1"/>
  <c r="C668" i="39"/>
  <c r="U668" i="39" s="1"/>
  <c r="V521" i="39"/>
  <c r="C521" i="39"/>
  <c r="U521" i="39" s="1"/>
  <c r="V668" i="39"/>
  <c r="F669" i="39"/>
  <c r="Y669" i="39" s="1"/>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51" i="39"/>
  <c r="Y651" i="39" s="1"/>
  <c r="F265" i="39"/>
  <c r="Y265" i="39" s="1"/>
  <c r="C264" i="39"/>
  <c r="U264" i="39" s="1"/>
  <c r="V264" i="39"/>
  <c r="V709" i="39"/>
  <c r="F192" i="39"/>
  <c r="Y192" i="39" s="1"/>
  <c r="F402" i="39"/>
  <c r="Y402" i="39" s="1"/>
  <c r="C709" i="39"/>
  <c r="U709" i="39" s="1"/>
  <c r="F710" i="39"/>
  <c r="Y710" i="39" s="1"/>
  <c r="V650" i="39"/>
  <c r="C650" i="39"/>
  <c r="U650" i="39" s="1"/>
  <c r="F11" i="39"/>
  <c r="Y11" i="39" s="1"/>
  <c r="V10" i="39"/>
  <c r="C10" i="39"/>
  <c r="U10" i="39" s="1"/>
  <c r="C191" i="39"/>
  <c r="U191" i="39" s="1"/>
  <c r="V191" i="39"/>
  <c r="C383" i="39"/>
  <c r="U383" i="39" s="1"/>
  <c r="V383" i="39"/>
  <c r="V243" i="39"/>
  <c r="C243" i="39"/>
  <c r="U243" i="39" s="1"/>
  <c r="F91" i="39"/>
  <c r="Y91" i="39" s="1"/>
  <c r="V90" i="39"/>
  <c r="C90" i="39"/>
  <c r="U90" i="39" s="1"/>
  <c r="F691" i="39"/>
  <c r="V690" i="39"/>
  <c r="C690" i="39"/>
  <c r="U690" i="39" s="1"/>
  <c r="F309" i="39"/>
  <c r="Y309" i="39" s="1"/>
  <c r="V308" i="39"/>
  <c r="C308" i="39"/>
  <c r="U308" i="39" s="1"/>
  <c r="C126" i="39"/>
  <c r="U126" i="39" s="1"/>
  <c r="C592" i="39"/>
  <c r="U592" i="39" s="1"/>
  <c r="F593" i="39"/>
  <c r="Y593" i="39" s="1"/>
  <c r="V592" i="39"/>
  <c r="C325" i="39"/>
  <c r="U325" i="39" s="1"/>
  <c r="V325" i="39"/>
  <c r="F326" i="39"/>
  <c r="Y326" i="39" s="1"/>
  <c r="X91" i="39" l="1"/>
  <c r="X245" i="39"/>
  <c r="Y629" i="39"/>
  <c r="X154" i="39"/>
  <c r="X522" i="39"/>
  <c r="Y691" i="39"/>
  <c r="X192" i="39"/>
  <c r="X459" i="39"/>
  <c r="X460" i="39" s="1"/>
  <c r="X629" i="39"/>
  <c r="F523" i="39"/>
  <c r="Y523" i="39" s="1"/>
  <c r="V404" i="39"/>
  <c r="C404" i="39"/>
  <c r="U404" i="39" s="1"/>
  <c r="V311" i="39"/>
  <c r="C311" i="39"/>
  <c r="U311" i="39" s="1"/>
  <c r="V310" i="39"/>
  <c r="C310" i="39"/>
  <c r="U310" i="39" s="1"/>
  <c r="C245" i="39"/>
  <c r="U245" i="39" s="1"/>
  <c r="V245" i="39"/>
  <c r="F246" i="39"/>
  <c r="Y246" i="39" s="1"/>
  <c r="V459" i="39"/>
  <c r="C669" i="39"/>
  <c r="U669" i="39" s="1"/>
  <c r="V522" i="39"/>
  <c r="C522" i="39"/>
  <c r="U522" i="39" s="1"/>
  <c r="F670" i="39"/>
  <c r="Y670" i="39" s="1"/>
  <c r="V669" i="39"/>
  <c r="F460" i="39"/>
  <c r="Y460" i="39" s="1"/>
  <c r="C459" i="39"/>
  <c r="U459" i="39" s="1"/>
  <c r="F630" i="39"/>
  <c r="C154" i="39"/>
  <c r="U154" i="39" s="1"/>
  <c r="V154" i="39"/>
  <c r="F155" i="39"/>
  <c r="Y155" i="39" s="1"/>
  <c r="V629" i="39"/>
  <c r="C608" i="39"/>
  <c r="U608" i="39" s="1"/>
  <c r="V608" i="39"/>
  <c r="C629" i="39"/>
  <c r="U629" i="39" s="1"/>
  <c r="C192" i="39"/>
  <c r="U192" i="39" s="1"/>
  <c r="C651" i="39"/>
  <c r="U651" i="39" s="1"/>
  <c r="V651" i="39"/>
  <c r="F652" i="39"/>
  <c r="Y652" i="39" s="1"/>
  <c r="C710" i="39"/>
  <c r="U710" i="39" s="1"/>
  <c r="V402" i="39"/>
  <c r="F405" i="39"/>
  <c r="Y405" i="39" s="1"/>
  <c r="F403" i="39"/>
  <c r="Y403" i="39" s="1"/>
  <c r="C402" i="39"/>
  <c r="U402" i="39" s="1"/>
  <c r="V192" i="39"/>
  <c r="F266" i="39"/>
  <c r="Y266" i="39" s="1"/>
  <c r="V265" i="39"/>
  <c r="C265" i="39"/>
  <c r="U265" i="39" s="1"/>
  <c r="F193" i="39"/>
  <c r="V710" i="39"/>
  <c r="F711" i="39"/>
  <c r="Y711" i="39" s="1"/>
  <c r="C11" i="39"/>
  <c r="U11" i="39" s="1"/>
  <c r="F12" i="39"/>
  <c r="Y12" i="39" s="1"/>
  <c r="V11" i="39"/>
  <c r="C244" i="39"/>
  <c r="U244" i="39" s="1"/>
  <c r="V244" i="39"/>
  <c r="V91" i="39"/>
  <c r="F92" i="39"/>
  <c r="Y92" i="39" s="1"/>
  <c r="C91" i="39"/>
  <c r="U91" i="39" s="1"/>
  <c r="C128" i="39"/>
  <c r="U128" i="39" s="1"/>
  <c r="C326" i="39"/>
  <c r="U326" i="39" s="1"/>
  <c r="F327" i="39"/>
  <c r="V326" i="39"/>
  <c r="V691" i="39"/>
  <c r="F692" i="39"/>
  <c r="Y692" i="39" s="1"/>
  <c r="C691" i="39"/>
  <c r="U691" i="39" s="1"/>
  <c r="F594" i="39"/>
  <c r="V593" i="39"/>
  <c r="C593" i="39"/>
  <c r="U593" i="39" s="1"/>
  <c r="F312" i="39"/>
  <c r="Y312" i="39" s="1"/>
  <c r="V309" i="39"/>
  <c r="C309" i="39"/>
  <c r="U309" i="39" s="1"/>
  <c r="X246" i="39" l="1"/>
  <c r="X711" i="39"/>
  <c r="Y630" i="39"/>
  <c r="Y193" i="39"/>
  <c r="X194" i="39"/>
  <c r="X195" i="39" s="1"/>
  <c r="X196" i="39" s="1"/>
  <c r="X197" i="39" s="1"/>
  <c r="X198" i="39" s="1"/>
  <c r="X199" i="39" s="1"/>
  <c r="X92" i="39"/>
  <c r="X193" i="39"/>
  <c r="X595" i="39"/>
  <c r="X596" i="39" s="1"/>
  <c r="X597" i="39" s="1"/>
  <c r="X598" i="39" s="1"/>
  <c r="X599" i="39" s="1"/>
  <c r="Y594" i="39"/>
  <c r="X155" i="39"/>
  <c r="X594" i="39"/>
  <c r="X403" i="39"/>
  <c r="X404" i="39" s="1"/>
  <c r="X405" i="39" s="1"/>
  <c r="X12" i="39"/>
  <c r="X13" i="39" s="1"/>
  <c r="X523" i="39"/>
  <c r="Y327" i="39"/>
  <c r="X630" i="39"/>
  <c r="F524" i="39"/>
  <c r="Y524" i="39" s="1"/>
  <c r="F247" i="39"/>
  <c r="Y247" i="39" s="1"/>
  <c r="C246" i="39"/>
  <c r="U246" i="39" s="1"/>
  <c r="V246" i="39"/>
  <c r="V155" i="39"/>
  <c r="F156" i="39"/>
  <c r="Y156" i="39" s="1"/>
  <c r="C155" i="39"/>
  <c r="U155" i="39" s="1"/>
  <c r="C523" i="39"/>
  <c r="U523" i="39" s="1"/>
  <c r="V523" i="39"/>
  <c r="C460" i="39"/>
  <c r="U460" i="39" s="1"/>
  <c r="C670" i="39"/>
  <c r="U670" i="39" s="1"/>
  <c r="V670" i="39"/>
  <c r="F671" i="39"/>
  <c r="Y671" i="39" s="1"/>
  <c r="F631" i="39"/>
  <c r="Y631" i="39" s="1"/>
  <c r="V460" i="39"/>
  <c r="C630" i="39"/>
  <c r="U630" i="39" s="1"/>
  <c r="V630" i="39"/>
  <c r="F461" i="39"/>
  <c r="Y461" i="39" s="1"/>
  <c r="V711" i="39"/>
  <c r="F712" i="39"/>
  <c r="C711" i="39"/>
  <c r="U711" i="39" s="1"/>
  <c r="V193" i="39"/>
  <c r="F653" i="39"/>
  <c r="Y653" i="39" s="1"/>
  <c r="V652" i="39"/>
  <c r="C652" i="39"/>
  <c r="U652"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5" i="39"/>
  <c r="Y695" i="39" s="1"/>
  <c r="C692" i="39"/>
  <c r="U692" i="39" s="1"/>
  <c r="F693" i="39"/>
  <c r="Y693" i="39" s="1"/>
  <c r="V692" i="39"/>
  <c r="F694" i="39"/>
  <c r="Y694" i="39" s="1"/>
  <c r="C129" i="39"/>
  <c r="U129" i="39" s="1"/>
  <c r="V594" i="39"/>
  <c r="C594" i="39"/>
  <c r="U594" i="39" s="1"/>
  <c r="X406" i="39" l="1"/>
  <c r="X156" i="39"/>
  <c r="X524" i="39"/>
  <c r="X631" i="39"/>
  <c r="X713" i="39"/>
  <c r="X714" i="39" s="1"/>
  <c r="X715" i="39" s="1"/>
  <c r="X716" i="39" s="1"/>
  <c r="X717" i="39" s="1"/>
  <c r="X718" i="39" s="1"/>
  <c r="X719" i="39" s="1"/>
  <c r="Y712" i="39"/>
  <c r="X247" i="39"/>
  <c r="X461" i="39"/>
  <c r="X462" i="39" s="1"/>
  <c r="X93" i="39"/>
  <c r="X94" i="39" s="1"/>
  <c r="X712" i="39"/>
  <c r="F525" i="39"/>
  <c r="Y525" i="39" s="1"/>
  <c r="F248" i="39"/>
  <c r="Y248" i="39" s="1"/>
  <c r="V247" i="39"/>
  <c r="C247" i="39"/>
  <c r="U247" i="39" s="1"/>
  <c r="C631" i="39"/>
  <c r="U631" i="39" s="1"/>
  <c r="F157" i="39"/>
  <c r="Y157" i="39" s="1"/>
  <c r="C156" i="39"/>
  <c r="U156" i="39" s="1"/>
  <c r="F632" i="39"/>
  <c r="V461" i="39"/>
  <c r="V156" i="39"/>
  <c r="V631" i="39"/>
  <c r="V524" i="39"/>
  <c r="C524" i="39"/>
  <c r="U524" i="39" s="1"/>
  <c r="C671" i="39"/>
  <c r="U671" i="39" s="1"/>
  <c r="V671" i="39"/>
  <c r="F672" i="39"/>
  <c r="Y672" i="39" s="1"/>
  <c r="V712" i="39"/>
  <c r="C461" i="39"/>
  <c r="U461" i="39" s="1"/>
  <c r="F462" i="39"/>
  <c r="Y462" i="39" s="1"/>
  <c r="C712" i="39"/>
  <c r="U712" i="39" s="1"/>
  <c r="F268" i="39"/>
  <c r="Y268" i="39" s="1"/>
  <c r="V653" i="39"/>
  <c r="F654" i="39"/>
  <c r="Y654" i="39" s="1"/>
  <c r="C653" i="39"/>
  <c r="U653" i="39" s="1"/>
  <c r="V267" i="39"/>
  <c r="C267" i="39"/>
  <c r="U267" i="39" s="1"/>
  <c r="V406" i="39"/>
  <c r="C406" i="39"/>
  <c r="U406" i="39" s="1"/>
  <c r="F407" i="39"/>
  <c r="V13" i="39"/>
  <c r="C13" i="39"/>
  <c r="U13" i="39" s="1"/>
  <c r="F14" i="39"/>
  <c r="Y14" i="39" s="1"/>
  <c r="U441" i="39"/>
  <c r="V441" i="39"/>
  <c r="V93" i="39"/>
  <c r="C93" i="39"/>
  <c r="U93" i="39" s="1"/>
  <c r="F94" i="39"/>
  <c r="Y94" i="39" s="1"/>
  <c r="V693" i="39"/>
  <c r="F696" i="39"/>
  <c r="C693" i="39"/>
  <c r="U693" i="39" s="1"/>
  <c r="V695" i="39"/>
  <c r="C695" i="39"/>
  <c r="U695" i="39" s="1"/>
  <c r="F329" i="39"/>
  <c r="Y329" i="39" s="1"/>
  <c r="V328" i="39"/>
  <c r="C328" i="39"/>
  <c r="U328" i="39" s="1"/>
  <c r="C313" i="39"/>
  <c r="U313" i="39" s="1"/>
  <c r="F314" i="39"/>
  <c r="Y314" i="39" s="1"/>
  <c r="V313" i="39"/>
  <c r="V694" i="39"/>
  <c r="C694" i="39"/>
  <c r="U694" i="39" s="1"/>
  <c r="C130" i="39"/>
  <c r="U130" i="39" s="1"/>
  <c r="Y407" i="39" l="1"/>
  <c r="X408" i="39"/>
  <c r="X409" i="39" s="1"/>
  <c r="X410" i="39" s="1"/>
  <c r="X411" i="39" s="1"/>
  <c r="X412" i="39" s="1"/>
  <c r="X413" i="39" s="1"/>
  <c r="X414" i="39" s="1"/>
  <c r="X632" i="39"/>
  <c r="X248" i="39"/>
  <c r="X157" i="39"/>
  <c r="X525" i="39"/>
  <c r="Y632" i="39"/>
  <c r="Y696" i="39"/>
  <c r="X697" i="39"/>
  <c r="X698" i="39" s="1"/>
  <c r="X699" i="39" s="1"/>
  <c r="X700" i="39" s="1"/>
  <c r="X14" i="39"/>
  <c r="X407" i="39"/>
  <c r="F526" i="39"/>
  <c r="Y526" i="39" s="1"/>
  <c r="F249" i="39"/>
  <c r="C248" i="39"/>
  <c r="U248" i="39" s="1"/>
  <c r="V248" i="39"/>
  <c r="V157" i="39"/>
  <c r="F269" i="39"/>
  <c r="Y269" i="39" s="1"/>
  <c r="F158" i="39"/>
  <c r="Y158" i="39" s="1"/>
  <c r="C157" i="39"/>
  <c r="U157" i="39" s="1"/>
  <c r="V632" i="39"/>
  <c r="C632" i="39"/>
  <c r="U632" i="39" s="1"/>
  <c r="F633" i="39"/>
  <c r="X633" i="39" s="1"/>
  <c r="C525" i="39"/>
  <c r="U525" i="39" s="1"/>
  <c r="V525" i="39"/>
  <c r="V672" i="39"/>
  <c r="C672" i="39"/>
  <c r="U672" i="39" s="1"/>
  <c r="F673" i="39"/>
  <c r="Y673" i="39" s="1"/>
  <c r="V462" i="39"/>
  <c r="F463" i="39"/>
  <c r="Y463" i="39" s="1"/>
  <c r="C462" i="39"/>
  <c r="U462" i="39" s="1"/>
  <c r="C654" i="39"/>
  <c r="U654" i="39" s="1"/>
  <c r="V654" i="39"/>
  <c r="F655" i="39"/>
  <c r="Y655"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6" i="39"/>
  <c r="U696" i="39" s="1"/>
  <c r="V696" i="39"/>
  <c r="Y249" i="39" l="1"/>
  <c r="X463" i="39"/>
  <c r="X158" i="39"/>
  <c r="X15" i="39"/>
  <c r="X16" i="39" s="1"/>
  <c r="X526" i="39"/>
  <c r="X249" i="39"/>
  <c r="Y633" i="39"/>
  <c r="X95" i="39"/>
  <c r="V699" i="39"/>
  <c r="C699" i="39"/>
  <c r="U699" i="39" s="1"/>
  <c r="V698" i="39"/>
  <c r="C698" i="39"/>
  <c r="U698"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3" i="39"/>
  <c r="U673" i="39" s="1"/>
  <c r="C526" i="39"/>
  <c r="U526" i="39" s="1"/>
  <c r="V526" i="39"/>
  <c r="V673" i="39"/>
  <c r="F676" i="39"/>
  <c r="Y676" i="39" s="1"/>
  <c r="F674" i="39"/>
  <c r="Y674" i="39" s="1"/>
  <c r="C655" i="39"/>
  <c r="U655" i="39" s="1"/>
  <c r="V655" i="39"/>
  <c r="F656" i="39"/>
  <c r="Y656"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634" i="39" l="1"/>
  <c r="X18" i="39"/>
  <c r="X19" i="39" s="1"/>
  <c r="X20" i="39" s="1"/>
  <c r="X21" i="39" s="1"/>
  <c r="X22" i="39" s="1"/>
  <c r="X23" i="39" s="1"/>
  <c r="X24" i="39" s="1"/>
  <c r="X25" i="39" s="1"/>
  <c r="X26" i="39" s="1"/>
  <c r="X27" i="39" s="1"/>
  <c r="X28" i="39" s="1"/>
  <c r="X29" i="39" s="1"/>
  <c r="X30" i="39" s="1"/>
  <c r="X31" i="39" s="1"/>
  <c r="X32" i="39" s="1"/>
  <c r="X33" i="39" s="1"/>
  <c r="X34" i="39" s="1"/>
  <c r="Y17" i="39"/>
  <c r="X527" i="39"/>
  <c r="X464" i="39"/>
  <c r="X465" i="39" s="1"/>
  <c r="X159" i="39"/>
  <c r="Y316" i="39"/>
  <c r="X317" i="39"/>
  <c r="X318" i="39" s="1"/>
  <c r="X319" i="39" s="1"/>
  <c r="X320" i="39" s="1"/>
  <c r="X321" i="39" s="1"/>
  <c r="X322" i="39" s="1"/>
  <c r="X323" i="39" s="1"/>
  <c r="X324" i="39" s="1"/>
  <c r="X325" i="39" s="1"/>
  <c r="X326" i="39" s="1"/>
  <c r="X327" i="39" s="1"/>
  <c r="X328" i="39" s="1"/>
  <c r="X329" i="39" s="1"/>
  <c r="X330" i="39" s="1"/>
  <c r="X331" i="39" s="1"/>
  <c r="X332" i="39" s="1"/>
  <c r="X96" i="39"/>
  <c r="X17" i="39"/>
  <c r="X250" i="39"/>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4" i="39"/>
  <c r="F675" i="39"/>
  <c r="Y675" i="39" s="1"/>
  <c r="F677" i="39"/>
  <c r="Y677" i="39" s="1"/>
  <c r="C676" i="39"/>
  <c r="U676" i="39" s="1"/>
  <c r="F679" i="39"/>
  <c r="Y679" i="39" s="1"/>
  <c r="C674" i="39"/>
  <c r="U674" i="39" s="1"/>
  <c r="F678" i="39"/>
  <c r="Y678" i="39" s="1"/>
  <c r="V676" i="39"/>
  <c r="F680" i="39"/>
  <c r="Y680" i="39" s="1"/>
  <c r="F657" i="39"/>
  <c r="Y657" i="39" s="1"/>
  <c r="V656" i="39"/>
  <c r="C656" i="39"/>
  <c r="U656" i="39" s="1"/>
  <c r="C17" i="39"/>
  <c r="U17" i="39" s="1"/>
  <c r="V17" i="39"/>
  <c r="V96" i="39"/>
  <c r="F97" i="39"/>
  <c r="Y97" i="39" s="1"/>
  <c r="C96" i="39"/>
  <c r="U96" i="39" s="1"/>
  <c r="F332" i="39"/>
  <c r="Y332" i="39" s="1"/>
  <c r="V331" i="39"/>
  <c r="C331" i="39"/>
  <c r="U331" i="39" s="1"/>
  <c r="C316" i="39"/>
  <c r="U316" i="39" s="1"/>
  <c r="V316" i="39"/>
  <c r="X251" i="39" l="1"/>
  <c r="X97"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160" i="39"/>
  <c r="X528" i="39"/>
  <c r="X635"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0" i="39"/>
  <c r="U680" i="39" s="1"/>
  <c r="V680" i="39"/>
  <c r="V677" i="39"/>
  <c r="C677" i="39"/>
  <c r="U677" i="39" s="1"/>
  <c r="C675" i="39"/>
  <c r="U675" i="39" s="1"/>
  <c r="V675" i="39"/>
  <c r="C528" i="39"/>
  <c r="U528" i="39" s="1"/>
  <c r="V528" i="39"/>
  <c r="F681" i="39"/>
  <c r="F658" i="39"/>
  <c r="Y658" i="39" s="1"/>
  <c r="C679" i="39"/>
  <c r="U679" i="39" s="1"/>
  <c r="V678" i="39"/>
  <c r="V679" i="39"/>
  <c r="C678" i="39"/>
  <c r="U678" i="39" s="1"/>
  <c r="C657" i="39"/>
  <c r="U657" i="39" s="1"/>
  <c r="V657" i="39"/>
  <c r="V97" i="39"/>
  <c r="C97" i="39"/>
  <c r="U97" i="39" s="1"/>
  <c r="F98" i="39"/>
  <c r="Y98" i="39" s="1"/>
  <c r="F100" i="39"/>
  <c r="Y100" i="39" s="1"/>
  <c r="F333" i="39"/>
  <c r="Y333" i="39" s="1"/>
  <c r="V332" i="39"/>
  <c r="C332" i="39"/>
  <c r="U332" i="39" s="1"/>
  <c r="X529" i="39" l="1"/>
  <c r="Y681" i="39"/>
  <c r="X682" i="39"/>
  <c r="X683" i="39" s="1"/>
  <c r="X684" i="39" s="1"/>
  <c r="X685" i="39" s="1"/>
  <c r="X686" i="39" s="1"/>
  <c r="X687" i="39" s="1"/>
  <c r="X688" i="39" s="1"/>
  <c r="X689" i="39" s="1"/>
  <c r="X690" i="39" s="1"/>
  <c r="X691" i="39" s="1"/>
  <c r="X692" i="39" s="1"/>
  <c r="X693" i="39" s="1"/>
  <c r="X694" i="39" s="1"/>
  <c r="X695" i="39" s="1"/>
  <c r="X696" i="39" s="1"/>
  <c r="X98" i="39"/>
  <c r="X636" i="39"/>
  <c r="X161" i="39"/>
  <c r="X466" i="39"/>
  <c r="X333" i="39"/>
  <c r="V529" i="39"/>
  <c r="C529" i="39"/>
  <c r="U529" i="39" s="1"/>
  <c r="F530" i="39"/>
  <c r="Y530" i="39" s="1"/>
  <c r="C161" i="39"/>
  <c r="U161" i="39" s="1"/>
  <c r="F162" i="39"/>
  <c r="V161" i="39"/>
  <c r="F273" i="39"/>
  <c r="Y273" i="39" s="1"/>
  <c r="F637" i="39"/>
  <c r="Y637" i="39" s="1"/>
  <c r="V636" i="39"/>
  <c r="C636" i="39"/>
  <c r="U636" i="39" s="1"/>
  <c r="F467" i="39"/>
  <c r="Y467" i="39" s="1"/>
  <c r="C466" i="39"/>
  <c r="U466" i="39" s="1"/>
  <c r="V681" i="39"/>
  <c r="V466" i="39"/>
  <c r="C681" i="39"/>
  <c r="U681" i="39" s="1"/>
  <c r="V658" i="39"/>
  <c r="F659" i="39"/>
  <c r="C658" i="39"/>
  <c r="U658" i="39" s="1"/>
  <c r="C269" i="39"/>
  <c r="U269" i="39" s="1"/>
  <c r="V269" i="39"/>
  <c r="V98" i="39"/>
  <c r="C98" i="39"/>
  <c r="U98" i="39" s="1"/>
  <c r="F99" i="39"/>
  <c r="Y99" i="39" s="1"/>
  <c r="F101" i="39"/>
  <c r="Y101" i="39" s="1"/>
  <c r="V100" i="39"/>
  <c r="C100" i="39"/>
  <c r="U100" i="39" s="1"/>
  <c r="C333" i="39"/>
  <c r="U333" i="39" s="1"/>
  <c r="F334" i="39"/>
  <c r="Y334" i="39" s="1"/>
  <c r="V333" i="39"/>
  <c r="X467" i="39" l="1"/>
  <c r="Y162" i="39"/>
  <c r="X334" i="39"/>
  <c r="X637" i="39"/>
  <c r="X638" i="39" s="1"/>
  <c r="Y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273" i="39"/>
  <c r="X162" i="39"/>
  <c r="X99" i="39"/>
  <c r="X100" i="39" s="1"/>
  <c r="X101" i="39" s="1"/>
  <c r="X102" i="39" s="1"/>
  <c r="X530" i="39"/>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59" i="39"/>
  <c r="U659" i="39" s="1"/>
  <c r="V659" i="39"/>
  <c r="C270" i="39"/>
  <c r="U270" i="39" s="1"/>
  <c r="V270" i="39"/>
  <c r="V99" i="39"/>
  <c r="C99" i="39"/>
  <c r="U99" i="39" s="1"/>
  <c r="F102" i="39"/>
  <c r="Y102" i="39" s="1"/>
  <c r="V101" i="39"/>
  <c r="C101" i="39"/>
  <c r="U101" i="39" s="1"/>
  <c r="C334" i="39"/>
  <c r="U334" i="39" s="1"/>
  <c r="F335" i="39"/>
  <c r="Y335" i="39" s="1"/>
  <c r="V334" i="39"/>
  <c r="X531" i="39" l="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335" i="39"/>
  <c r="X336" i="39" s="1"/>
  <c r="X163" i="39"/>
  <c r="X468" i="39"/>
  <c r="F532" i="39"/>
  <c r="Y532" i="39" s="1"/>
  <c r="V531" i="39"/>
  <c r="C531" i="39"/>
  <c r="U531" i="39" s="1"/>
  <c r="C163" i="39"/>
  <c r="U163" i="39" s="1"/>
  <c r="V163" i="39"/>
  <c r="F164" i="39"/>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164" i="39" l="1"/>
  <c r="X639" i="39"/>
  <c r="X103" i="39"/>
  <c r="Y164" i="39"/>
  <c r="X275" i="39"/>
  <c r="X532" i="39"/>
  <c r="X533" i="39" s="1"/>
  <c r="F533" i="39"/>
  <c r="Y533" i="39" s="1"/>
  <c r="V532" i="39"/>
  <c r="C532" i="39"/>
  <c r="U532" i="39" s="1"/>
  <c r="C164" i="39"/>
  <c r="U164" i="39" s="1"/>
  <c r="F165" i="39"/>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Y165" i="39" l="1"/>
  <c r="X276" i="39"/>
  <c r="X337" i="39"/>
  <c r="X338" i="39" s="1"/>
  <c r="X165" i="39"/>
  <c r="X104" i="39"/>
  <c r="X640"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105" i="39" l="1"/>
  <c r="X277" i="39"/>
  <c r="X106" i="39"/>
  <c r="X534" i="39"/>
  <c r="X166" i="39"/>
  <c r="X641" i="39"/>
  <c r="F535" i="39"/>
  <c r="Y535" i="39" s="1"/>
  <c r="V534" i="39"/>
  <c r="C534" i="39"/>
  <c r="U534" i="39" s="1"/>
  <c r="V166" i="39"/>
  <c r="F167" i="39"/>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535" i="39" l="1"/>
  <c r="Y642" i="39"/>
  <c r="X643" i="39"/>
  <c r="X644" i="39" s="1"/>
  <c r="X645" i="39" s="1"/>
  <c r="X646" i="39" s="1"/>
  <c r="X647" i="39" s="1"/>
  <c r="X648" i="39" s="1"/>
  <c r="X649" i="39" s="1"/>
  <c r="X650" i="39" s="1"/>
  <c r="X651" i="39" s="1"/>
  <c r="X652" i="39" s="1"/>
  <c r="X653" i="39" s="1"/>
  <c r="X654" i="39" s="1"/>
  <c r="X655" i="39" s="1"/>
  <c r="X656" i="39" s="1"/>
  <c r="X657" i="39" s="1"/>
  <c r="X658" i="39" s="1"/>
  <c r="X659" i="39" s="1"/>
  <c r="X107" i="39"/>
  <c r="Y167" i="39"/>
  <c r="X642" i="39"/>
  <c r="X278" i="39"/>
  <c r="X167" i="39"/>
  <c r="X339" i="39"/>
  <c r="X340" i="39" s="1"/>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X279" i="39"/>
  <c r="X168"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537" i="39" l="1"/>
  <c r="X341" i="39"/>
  <c r="X169" i="39"/>
  <c r="X109" i="39"/>
  <c r="X280"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111" i="39" l="1"/>
  <c r="X112" i="39" s="1"/>
  <c r="X113" i="39" s="1"/>
  <c r="X114" i="39" s="1"/>
  <c r="X115" i="39" s="1"/>
  <c r="X116" i="39" s="1"/>
  <c r="Y110" i="39"/>
  <c r="X110" i="39"/>
  <c r="X170" i="39"/>
  <c r="X281" i="39"/>
  <c r="X342" i="39"/>
  <c r="X538" i="39"/>
  <c r="X539" i="39" s="1"/>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171" i="39" l="1"/>
  <c r="X343" i="39"/>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X540" i="39"/>
  <c r="X344" i="39"/>
  <c r="X172" i="39"/>
  <c r="X173"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X174" i="39" l="1"/>
  <c r="X345" i="39"/>
  <c r="Y174" i="39"/>
  <c r="X175" i="39"/>
  <c r="X176" i="39" s="1"/>
  <c r="X177" i="39" s="1"/>
  <c r="X178" i="39" s="1"/>
  <c r="X179" i="39" s="1"/>
  <c r="X180" i="39" s="1"/>
  <c r="X181" i="39" s="1"/>
  <c r="X182" i="39" s="1"/>
  <c r="X541" i="39"/>
  <c r="X286" i="39"/>
  <c r="F542" i="39"/>
  <c r="C541" i="39"/>
  <c r="U541" i="39" s="1"/>
  <c r="V541" i="39"/>
  <c r="F287" i="39"/>
  <c r="Y287" i="39" s="1"/>
  <c r="V174" i="39"/>
  <c r="C174" i="39"/>
  <c r="U174" i="39" s="1"/>
  <c r="C281" i="39"/>
  <c r="U281" i="39" s="1"/>
  <c r="V281" i="39"/>
  <c r="C345" i="39"/>
  <c r="U345" i="39" s="1"/>
  <c r="F346" i="39"/>
  <c r="Y346" i="39" s="1"/>
  <c r="V345" i="39"/>
  <c r="X287" i="39" l="1"/>
  <c r="Y542" i="39"/>
  <c r="X346" i="39"/>
  <c r="X542" i="39"/>
  <c r="F543" i="39"/>
  <c r="Y543" i="39" s="1"/>
  <c r="V542" i="39"/>
  <c r="C542" i="39"/>
  <c r="U542" i="39" s="1"/>
  <c r="F288" i="39"/>
  <c r="Y288" i="39" s="1"/>
  <c r="C282" i="39"/>
  <c r="U282" i="39" s="1"/>
  <c r="V282" i="39"/>
  <c r="C346" i="39"/>
  <c r="U346" i="39" s="1"/>
  <c r="F347" i="39"/>
  <c r="Y347" i="39" s="1"/>
  <c r="V346" i="39"/>
  <c r="X347" i="39" l="1"/>
  <c r="X543" i="39"/>
  <c r="X288" i="39"/>
  <c r="F544" i="39"/>
  <c r="Y544" i="39" s="1"/>
  <c r="C543" i="39"/>
  <c r="U543" i="39" s="1"/>
  <c r="V543" i="39"/>
  <c r="F289" i="39"/>
  <c r="Y289" i="39" s="1"/>
  <c r="V285" i="39"/>
  <c r="C285" i="39"/>
  <c r="U285" i="39" s="1"/>
  <c r="F348" i="39"/>
  <c r="Y348" i="39" s="1"/>
  <c r="V347" i="39"/>
  <c r="C347" i="39"/>
  <c r="U347" i="39" s="1"/>
  <c r="X289" i="39" l="1"/>
  <c r="X544" i="39"/>
  <c r="X348" i="39"/>
  <c r="F545" i="39"/>
  <c r="Y545" i="39" s="1"/>
  <c r="V544" i="39"/>
  <c r="C544" i="39"/>
  <c r="U544" i="39" s="1"/>
  <c r="F290" i="39"/>
  <c r="Y290" i="39" s="1"/>
  <c r="C286" i="39"/>
  <c r="U286" i="39" s="1"/>
  <c r="V286" i="39"/>
  <c r="F349" i="39"/>
  <c r="Y349" i="39" s="1"/>
  <c r="V348" i="39"/>
  <c r="C348" i="39"/>
  <c r="U348" i="39" s="1"/>
  <c r="X349" i="39" l="1"/>
  <c r="X545" i="39"/>
  <c r="X546" i="39" s="1"/>
  <c r="X290" i="39"/>
  <c r="F546" i="39"/>
  <c r="Y546" i="39" s="1"/>
  <c r="V545" i="39"/>
  <c r="C545" i="39"/>
  <c r="U545" i="39" s="1"/>
  <c r="F291" i="39"/>
  <c r="Y291" i="39" s="1"/>
  <c r="C287" i="39"/>
  <c r="U287" i="39" s="1"/>
  <c r="V287" i="39"/>
  <c r="C349" i="39"/>
  <c r="U349" i="39" s="1"/>
  <c r="F350" i="39"/>
  <c r="Y350" i="39" s="1"/>
  <c r="V349" i="39"/>
  <c r="X291" i="39" l="1"/>
  <c r="X350" i="39"/>
  <c r="F547" i="39"/>
  <c r="Y547" i="39" s="1"/>
  <c r="V546" i="39"/>
  <c r="C546" i="39"/>
  <c r="U546" i="39" s="1"/>
  <c r="F292" i="39"/>
  <c r="Y292" i="39" s="1"/>
  <c r="C291" i="39"/>
  <c r="U291" i="39" s="1"/>
  <c r="V291" i="39"/>
  <c r="C288" i="39"/>
  <c r="U288" i="39" s="1"/>
  <c r="V288" i="39"/>
  <c r="C350" i="39"/>
  <c r="U350" i="39" s="1"/>
  <c r="F351" i="39"/>
  <c r="Y351" i="39" s="1"/>
  <c r="V350" i="39"/>
  <c r="X351" i="39" l="1"/>
  <c r="X547" i="39"/>
  <c r="X548" i="39" s="1"/>
  <c r="X292" i="39"/>
  <c r="X293" i="39" s="1"/>
  <c r="F548" i="39"/>
  <c r="Y548" i="39" s="1"/>
  <c r="C547" i="39"/>
  <c r="U547" i="39" s="1"/>
  <c r="V547" i="39"/>
  <c r="F293" i="39"/>
  <c r="Y293" i="39" s="1"/>
  <c r="V292" i="39"/>
  <c r="C292" i="39"/>
  <c r="U292" i="39" s="1"/>
  <c r="V289" i="39"/>
  <c r="C289" i="39"/>
  <c r="U289" i="39" s="1"/>
  <c r="F352" i="39"/>
  <c r="Y352" i="39" s="1"/>
  <c r="V351" i="39"/>
  <c r="C351" i="39"/>
  <c r="U351" i="39" s="1"/>
  <c r="X352" i="39" l="1"/>
  <c r="F549" i="39"/>
  <c r="Y549" i="39" s="1"/>
  <c r="C548" i="39"/>
  <c r="U548" i="39" s="1"/>
  <c r="V548" i="39"/>
  <c r="F294" i="39"/>
  <c r="Y294" i="39" s="1"/>
  <c r="C290" i="39"/>
  <c r="U290" i="39" s="1"/>
  <c r="V290" i="39"/>
  <c r="F353" i="39"/>
  <c r="Y353" i="39" s="1"/>
  <c r="V352" i="39"/>
  <c r="C352" i="39"/>
  <c r="U352" i="39" s="1"/>
  <c r="X353" i="39" l="1"/>
  <c r="X549" i="39"/>
  <c r="X294" i="39"/>
  <c r="F550" i="39"/>
  <c r="Y550" i="39" s="1"/>
  <c r="V549" i="39"/>
  <c r="C549" i="39"/>
  <c r="U549" i="39" s="1"/>
  <c r="F295" i="39"/>
  <c r="Y295" i="39" s="1"/>
  <c r="V293" i="39"/>
  <c r="C293" i="39"/>
  <c r="U293" i="39" s="1"/>
  <c r="C353" i="39"/>
  <c r="U353" i="39" s="1"/>
  <c r="V353" i="39"/>
  <c r="F354" i="39"/>
  <c r="Y354" i="39" s="1"/>
  <c r="X295" i="39" l="1"/>
  <c r="X550" i="39"/>
  <c r="X354" i="39"/>
  <c r="F551" i="39"/>
  <c r="Y551" i="39" s="1"/>
  <c r="V550" i="39"/>
  <c r="C550" i="39"/>
  <c r="U550" i="39" s="1"/>
  <c r="F296" i="39"/>
  <c r="Y296" i="39" s="1"/>
  <c r="C294" i="39"/>
  <c r="U294" i="39" s="1"/>
  <c r="V294" i="39"/>
  <c r="C354" i="39"/>
  <c r="U354" i="39" s="1"/>
  <c r="F355" i="39"/>
  <c r="Y355" i="39" s="1"/>
  <c r="V354" i="39"/>
  <c r="X355" i="39" l="1"/>
  <c r="X551" i="39"/>
  <c r="X296" i="39"/>
  <c r="F552" i="39"/>
  <c r="Y552" i="39" s="1"/>
  <c r="V551" i="39"/>
  <c r="C551" i="39"/>
  <c r="U551" i="39" s="1"/>
  <c r="F297" i="39"/>
  <c r="Y297" i="39" s="1"/>
  <c r="V295" i="39"/>
  <c r="C295" i="39"/>
  <c r="U295" i="39" s="1"/>
  <c r="F356" i="39"/>
  <c r="Y356" i="39" s="1"/>
  <c r="V355" i="39"/>
  <c r="C355" i="39"/>
  <c r="U355" i="39" s="1"/>
  <c r="X552" i="39" l="1"/>
  <c r="X297" i="39"/>
  <c r="X356" i="39"/>
  <c r="F553" i="39"/>
  <c r="Y553" i="39" s="1"/>
  <c r="V552" i="39"/>
  <c r="C552" i="39"/>
  <c r="U552" i="39" s="1"/>
  <c r="F298" i="39"/>
  <c r="Y298" i="39" s="1"/>
  <c r="C296" i="39"/>
  <c r="U296" i="39" s="1"/>
  <c r="V296" i="39"/>
  <c r="F357" i="39"/>
  <c r="Y357" i="39" s="1"/>
  <c r="V356" i="39"/>
  <c r="C356" i="39"/>
  <c r="U356" i="39" s="1"/>
  <c r="X357" i="39" l="1"/>
  <c r="X553" i="39"/>
  <c r="X298" i="39"/>
  <c r="F554" i="39"/>
  <c r="Y554" i="39" s="1"/>
  <c r="V553" i="39"/>
  <c r="C553" i="39"/>
  <c r="U553" i="39" s="1"/>
  <c r="F299" i="39"/>
  <c r="V297" i="39"/>
  <c r="C297" i="39"/>
  <c r="U297" i="39" s="1"/>
  <c r="C357" i="39"/>
  <c r="U357" i="39" s="1"/>
  <c r="V357" i="39"/>
  <c r="F358" i="39"/>
  <c r="Y358" i="39" s="1"/>
  <c r="X554" i="39" l="1"/>
  <c r="X299" i="39"/>
  <c r="Y299" i="39"/>
  <c r="X300" i="39"/>
  <c r="X301" i="39" s="1"/>
  <c r="X302" i="39" s="1"/>
  <c r="X303" i="39" s="1"/>
  <c r="X304" i="39" s="1"/>
  <c r="X305" i="39" s="1"/>
  <c r="X306" i="39" s="1"/>
  <c r="X307" i="39" s="1"/>
  <c r="X308" i="39" s="1"/>
  <c r="X309" i="39" s="1"/>
  <c r="X310" i="39" s="1"/>
  <c r="X311" i="39" s="1"/>
  <c r="X312" i="39" s="1"/>
  <c r="X313" i="39" s="1"/>
  <c r="X314" i="39" s="1"/>
  <c r="X315" i="39" s="1"/>
  <c r="X316" i="39" s="1"/>
  <c r="X358" i="39"/>
  <c r="F555" i="39"/>
  <c r="Y555" i="39" s="1"/>
  <c r="V554" i="39"/>
  <c r="C554" i="39"/>
  <c r="U554" i="39" s="1"/>
  <c r="C298" i="39"/>
  <c r="U298" i="39" s="1"/>
  <c r="V298" i="39"/>
  <c r="C358" i="39"/>
  <c r="U358" i="39" s="1"/>
  <c r="F359" i="39"/>
  <c r="Y359" i="39" s="1"/>
  <c r="V358" i="39"/>
  <c r="X555" i="39" l="1"/>
  <c r="X359" i="39"/>
  <c r="F556" i="39"/>
  <c r="Y556" i="39" s="1"/>
  <c r="C555" i="39"/>
  <c r="U555" i="39" s="1"/>
  <c r="V555" i="39"/>
  <c r="C299" i="39"/>
  <c r="U299" i="39" s="1"/>
  <c r="V299" i="39"/>
  <c r="F360" i="39"/>
  <c r="Y360" i="39" s="1"/>
  <c r="V359" i="39"/>
  <c r="C359" i="39"/>
  <c r="U359" i="39" s="1"/>
  <c r="X360" i="39" l="1"/>
  <c r="X556" i="39"/>
  <c r="X557" i="39" s="1"/>
  <c r="F557" i="39"/>
  <c r="Y557" i="39" s="1"/>
  <c r="C556" i="39"/>
  <c r="U556" i="39" s="1"/>
  <c r="V556" i="39"/>
  <c r="F361" i="39"/>
  <c r="Y361" i="39" s="1"/>
  <c r="V360" i="39"/>
  <c r="C360" i="39"/>
  <c r="U360" i="39" s="1"/>
  <c r="X361" i="39" l="1"/>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X366" i="39" l="1"/>
  <c r="X367" i="39" s="1"/>
  <c r="X368" i="39" s="1"/>
  <c r="X369" i="39" s="1"/>
  <c r="Y365" i="39"/>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F565" i="39"/>
  <c r="Y565" i="39" s="1"/>
  <c r="V564" i="39"/>
  <c r="C564" i="39"/>
  <c r="U564" i="39" s="1"/>
  <c r="X565" i="39" l="1"/>
  <c r="F566" i="39"/>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<sst xmlns="http://schemas.openxmlformats.org/spreadsheetml/2006/main" count="39022" uniqueCount="7817">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</sst>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46178.298335648149</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7"/>
  <sheetViews>
    <sheetView tabSelected="1" topLeftCell="W1" zoomScale="250" zoomScaleNormal="250" workbookViewId="0">
      <pane ySplit="1" topLeftCell="A1826" activePane="bottomLeft" state="frozen"/>
      <selection pane="bottomLeft" activeCell="Y1832" sqref="Y1832:Y1847"/>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7792</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4875</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6034</v>
      </c>
      <c r="X643" s="24" t="str">
        <f t="shared" ref="X643:X706" si="431">IF(F642&lt;&gt;F643,_xlfn.CONCAT(RIGHT(LEFT(F643,7),5),".100"),_xlfn.CONCAT(RIGHT(LEFT(F643,7),5),".",SUM(VALUE(RIGHT(X642,3)),1)))</f>
        <v>energ.100</v>
      </c>
      <c r="Y643" s="24" t="str">
        <f t="shared" si="430"/>
        <v>Ação energizar</v>
      </c>
      <c r="Z643" s="47" t="s">
        <v>4396</v>
      </c>
      <c r="AA643" s="25" t="str">
        <f t="shared" si="428"/>
        <v>categoria.revit</v>
      </c>
      <c r="AB643" s="26" t="s">
        <v>3940</v>
      </c>
      <c r="AC643" s="25" t="str">
        <f t="shared" si="429"/>
        <v>null</v>
      </c>
      <c r="AD643" s="26" t="s">
        <v>0</v>
      </c>
      <c r="AE643" s="25" t="str">
        <f t="shared" si="427"/>
        <v>null</v>
      </c>
      <c r="AF643" s="26" t="s">
        <v>0</v>
      </c>
      <c r="AG643" s="47" t="s">
        <v>4459</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6035</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5156</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6036</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6037</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5157</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6038</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6039</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5295</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6040</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6041</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6042</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6043</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6044</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6045</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6046</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6047</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6048</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6049</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6050</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6051</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6052</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6053</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6054</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6055</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6056</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6057</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6058</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6059</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6060</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6061</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6062</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6063</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6064</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6065</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6066</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6067</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6068</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6069</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6070</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6071</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6072</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4876</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6073</v>
      </c>
      <c r="X682" s="24" t="str">
        <f t="shared" si="431"/>
        <v>esgot.100</v>
      </c>
      <c r="Y682" s="24" t="str">
        <f t="shared" si="430"/>
        <v>Ação esgotar</v>
      </c>
      <c r="Z682" s="47" t="s">
        <v>4397</v>
      </c>
      <c r="AA682" s="25" t="str">
        <f t="shared" si="428"/>
        <v>categoria.revit</v>
      </c>
      <c r="AB682" s="26" t="s">
        <v>3920</v>
      </c>
      <c r="AC682" s="25" t="str">
        <f t="shared" si="429"/>
        <v>classe.ifc</v>
      </c>
      <c r="AD682" s="26" t="s">
        <v>3885</v>
      </c>
      <c r="AE682" s="25" t="str">
        <f t="shared" si="427"/>
        <v>null</v>
      </c>
      <c r="AF682" s="26" t="s">
        <v>0</v>
      </c>
      <c r="AG682" s="47" t="s">
        <v>4460</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6074</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6075</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6076</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6077</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6078</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6079</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6080</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6081</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6082</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6083</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6084</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6085</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6086</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6087</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7493</v>
      </c>
      <c r="G697" s="17" t="s">
        <v>7499</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7495</v>
      </c>
      <c r="X697" s="24" t="str">
        <f t="shared" si="431"/>
        <v>estim.100</v>
      </c>
      <c r="Y697" s="24" t="str">
        <f t="shared" si="430"/>
        <v>Ação estimar</v>
      </c>
      <c r="Z697" s="47" t="s">
        <v>7498</v>
      </c>
      <c r="AA697" s="25" t="str">
        <f t="shared" si="428"/>
        <v>null</v>
      </c>
      <c r="AB697" s="26" t="s">
        <v>0</v>
      </c>
      <c r="AC697" s="25" t="str">
        <f t="shared" si="429"/>
        <v>null</v>
      </c>
      <c r="AD697" s="26" t="s">
        <v>0</v>
      </c>
      <c r="AE697" s="25" t="str">
        <f t="shared" si="427"/>
        <v>null</v>
      </c>
      <c r="AF697" s="26" t="s">
        <v>0</v>
      </c>
      <c r="AG697" s="47" t="s">
        <v>7506</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7494</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7496</v>
      </c>
      <c r="X698" s="24" t="str">
        <f t="shared" si="431"/>
        <v>estim.101</v>
      </c>
      <c r="Y698" s="24" t="str">
        <f t="shared" si="430"/>
        <v>Ação estimar</v>
      </c>
      <c r="Z698" s="47" t="s">
        <v>7497</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7507</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7501</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7503</v>
      </c>
      <c r="X699" s="24" t="str">
        <f t="shared" si="431"/>
        <v>estim.102</v>
      </c>
      <c r="Y699" s="24" t="str">
        <f t="shared" si="430"/>
        <v>Ação estimar</v>
      </c>
      <c r="Z699" s="47" t="s">
        <v>7505</v>
      </c>
      <c r="AA699" s="25" t="str">
        <f t="shared" si="442"/>
        <v>null</v>
      </c>
      <c r="AB699" s="26" t="s">
        <v>0</v>
      </c>
      <c r="AC699" s="25" t="str">
        <f t="shared" si="443"/>
        <v>null</v>
      </c>
      <c r="AD699" s="26" t="s">
        <v>0</v>
      </c>
      <c r="AE699" s="25" t="str">
        <f t="shared" si="444"/>
        <v>null</v>
      </c>
      <c r="AF699" s="26" t="s">
        <v>0</v>
      </c>
      <c r="AG699" s="47" t="s">
        <v>7508</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7500</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7502</v>
      </c>
      <c r="X700" s="24" t="str">
        <f t="shared" si="431"/>
        <v>estim.103</v>
      </c>
      <c r="Y700" s="24" t="str">
        <f t="shared" si="430"/>
        <v>Ação estimar</v>
      </c>
      <c r="Z700" s="47" t="s">
        <v>7504</v>
      </c>
      <c r="AA700" s="25" t="str">
        <f t="shared" si="428"/>
        <v>null</v>
      </c>
      <c r="AB700" s="26" t="s">
        <v>0</v>
      </c>
      <c r="AC700" s="25" t="str">
        <f t="shared" si="429"/>
        <v>null</v>
      </c>
      <c r="AD700" s="26" t="s">
        <v>0</v>
      </c>
      <c r="AE700" s="25" t="str">
        <f t="shared" si="427"/>
        <v>null</v>
      </c>
      <c r="AF700" s="26" t="s">
        <v>0</v>
      </c>
      <c r="AG700" s="47" t="s">
        <v>7509</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6088</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6089</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6090</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6091</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6092</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6093</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6094</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5296</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6095</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6096</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6097</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6098</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6099</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6100</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4877</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6101</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6102</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6103</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6104</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6105</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6106</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5469</v>
      </c>
      <c r="G720" s="17" t="s">
        <v>5470</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6107</v>
      </c>
      <c r="X720" s="24" t="str">
        <f t="shared" si="455"/>
        <v>feder.100</v>
      </c>
      <c r="Y720" s="24" t="str">
        <f t="shared" si="454"/>
        <v>Ação federar</v>
      </c>
      <c r="Z720" s="47" t="s">
        <v>7183</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7238</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7527</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6108</v>
      </c>
      <c r="X721" s="24" t="str">
        <f t="shared" si="455"/>
        <v>feder.101</v>
      </c>
      <c r="Y721" s="24" t="str">
        <f t="shared" si="454"/>
        <v>Ação federar</v>
      </c>
      <c r="Z721" s="47" t="s">
        <v>7184</v>
      </c>
      <c r="AA721" s="25" t="str">
        <f t="shared" si="461"/>
        <v>null</v>
      </c>
      <c r="AB721" s="26" t="s">
        <v>0</v>
      </c>
      <c r="AC721" s="25" t="str">
        <f t="shared" si="462"/>
        <v>null</v>
      </c>
      <c r="AD721" s="26" t="s">
        <v>0</v>
      </c>
      <c r="AE721" s="25" t="str">
        <f t="shared" si="463"/>
        <v>null</v>
      </c>
      <c r="AF721" s="26" t="s">
        <v>0</v>
      </c>
      <c r="AG721" s="47" t="s">
        <v>7239</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5471</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6109</v>
      </c>
      <c r="X722" s="24" t="str">
        <f t="shared" si="455"/>
        <v>feder.102</v>
      </c>
      <c r="Y722" s="24" t="str">
        <f t="shared" si="454"/>
        <v>Ação federar</v>
      </c>
      <c r="Z722" s="47" t="s">
        <v>7185</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7240</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5472</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6110</v>
      </c>
      <c r="X723" s="24" t="str">
        <f t="shared" si="455"/>
        <v>feder.103</v>
      </c>
      <c r="Y723" s="24" t="str">
        <f t="shared" si="454"/>
        <v>Ação federar</v>
      </c>
      <c r="Z723" s="47" t="s">
        <v>7186</v>
      </c>
      <c r="AA723" s="25" t="str">
        <f t="shared" si="461"/>
        <v>null</v>
      </c>
      <c r="AB723" s="26" t="s">
        <v>0</v>
      </c>
      <c r="AC723" s="25" t="str">
        <f t="shared" si="462"/>
        <v>null</v>
      </c>
      <c r="AD723" s="26" t="s">
        <v>0</v>
      </c>
      <c r="AE723" s="25" t="str">
        <f t="shared" si="463"/>
        <v>null</v>
      </c>
      <c r="AF723" s="26" t="s">
        <v>0</v>
      </c>
      <c r="AG723" s="47" t="s">
        <v>7241</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6111</v>
      </c>
      <c r="X724" s="24" t="str">
        <f t="shared" si="455"/>
        <v>fluir.100</v>
      </c>
      <c r="Y724" s="24" t="str">
        <f t="shared" si="454"/>
        <v>Ação fluir</v>
      </c>
      <c r="Z724" s="47" t="s">
        <v>5048</v>
      </c>
      <c r="AA724" s="25" t="str">
        <f t="shared" si="450"/>
        <v>null</v>
      </c>
      <c r="AB724" s="26" t="s">
        <v>0</v>
      </c>
      <c r="AC724" s="25" t="str">
        <f t="shared" si="451"/>
        <v>null</v>
      </c>
      <c r="AD724" s="26" t="s">
        <v>0</v>
      </c>
      <c r="AE724" s="25" t="str">
        <f t="shared" si="452"/>
        <v>null</v>
      </c>
      <c r="AF724" s="26" t="s">
        <v>0</v>
      </c>
      <c r="AG724" s="47" t="s">
        <v>5243</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6112</v>
      </c>
      <c r="X725" s="24" t="str">
        <f t="shared" si="455"/>
        <v>fluir.101</v>
      </c>
      <c r="Y725" s="24" t="str">
        <f t="shared" si="454"/>
        <v>Ação fluir</v>
      </c>
      <c r="Z725" s="47" t="s">
        <v>5049</v>
      </c>
      <c r="AA725" s="25" t="str">
        <f t="shared" si="450"/>
        <v>categoria.revit</v>
      </c>
      <c r="AB725" s="26" t="s">
        <v>3948</v>
      </c>
      <c r="AC725" s="25" t="str">
        <f t="shared" si="451"/>
        <v>classe.ifc</v>
      </c>
      <c r="AD725" s="26" t="s">
        <v>3899</v>
      </c>
      <c r="AE725" s="25" t="str">
        <f t="shared" si="452"/>
        <v>null</v>
      </c>
      <c r="AF725" s="26" t="s">
        <v>0</v>
      </c>
      <c r="AG725" s="47" t="s">
        <v>5244</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6113</v>
      </c>
      <c r="X726" s="24" t="str">
        <f t="shared" si="455"/>
        <v>fluir.102</v>
      </c>
      <c r="Y726" s="24" t="str">
        <f t="shared" si="454"/>
        <v>Ação fluir</v>
      </c>
      <c r="Z726" s="47" t="s">
        <v>5050</v>
      </c>
      <c r="AA726" s="25" t="str">
        <f t="shared" si="450"/>
        <v>null</v>
      </c>
      <c r="AB726" s="26" t="s">
        <v>0</v>
      </c>
      <c r="AC726" s="25" t="str">
        <f t="shared" si="451"/>
        <v>null</v>
      </c>
      <c r="AD726" s="26" t="s">
        <v>0</v>
      </c>
      <c r="AE726" s="25" t="str">
        <f t="shared" si="452"/>
        <v>null</v>
      </c>
      <c r="AF726" s="26" t="s">
        <v>0</v>
      </c>
      <c r="AG726" s="47" t="s">
        <v>5245</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6114</v>
      </c>
      <c r="X727" s="24" t="str">
        <f t="shared" si="455"/>
        <v>fluir.103</v>
      </c>
      <c r="Y727" s="24" t="str">
        <f t="shared" si="454"/>
        <v>Ação fluir</v>
      </c>
      <c r="Z727" s="47" t="s">
        <v>5051</v>
      </c>
      <c r="AA727" s="25" t="str">
        <f t="shared" si="450"/>
        <v>null</v>
      </c>
      <c r="AB727" s="26" t="s">
        <v>0</v>
      </c>
      <c r="AC727" s="25" t="str">
        <f t="shared" si="451"/>
        <v>null</v>
      </c>
      <c r="AD727" s="26" t="s">
        <v>0</v>
      </c>
      <c r="AE727" s="25" t="str">
        <f t="shared" si="452"/>
        <v>propiedade</v>
      </c>
      <c r="AF727" s="26" t="s">
        <v>2699</v>
      </c>
      <c r="AG727" s="47" t="s">
        <v>5246</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6115</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6116</v>
      </c>
      <c r="X729" s="24" t="str">
        <f t="shared" si="455"/>
        <v>fluir.105</v>
      </c>
      <c r="Y729" s="24" t="str">
        <f t="shared" si="454"/>
        <v>Ação fluir</v>
      </c>
      <c r="Z729" s="47" t="s">
        <v>5052</v>
      </c>
      <c r="AA729" s="25" t="str">
        <f t="shared" si="450"/>
        <v>null</v>
      </c>
      <c r="AB729" s="26" t="s">
        <v>0</v>
      </c>
      <c r="AC729" s="25" t="str">
        <f t="shared" si="451"/>
        <v>null</v>
      </c>
      <c r="AD729" s="26" t="s">
        <v>0</v>
      </c>
      <c r="AE729" s="25" t="str">
        <f t="shared" si="452"/>
        <v>null</v>
      </c>
      <c r="AF729" s="26" t="s">
        <v>0</v>
      </c>
      <c r="AG729" s="47" t="s">
        <v>5247</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6117</v>
      </c>
      <c r="X730" s="24" t="str">
        <f t="shared" si="455"/>
        <v>fluir.106</v>
      </c>
      <c r="Y730" s="24" t="str">
        <f t="shared" si="454"/>
        <v>Ação fluir</v>
      </c>
      <c r="Z730" s="47" t="s">
        <v>5053</v>
      </c>
      <c r="AA730" s="25" t="str">
        <f t="shared" si="450"/>
        <v>null</v>
      </c>
      <c r="AB730" s="26" t="s">
        <v>0</v>
      </c>
      <c r="AC730" s="25" t="str">
        <f t="shared" si="451"/>
        <v>null</v>
      </c>
      <c r="AD730" s="26" t="s">
        <v>0</v>
      </c>
      <c r="AE730" s="25" t="str">
        <f t="shared" si="452"/>
        <v>null</v>
      </c>
      <c r="AF730" s="26" t="s">
        <v>0</v>
      </c>
      <c r="AG730" s="47" t="s">
        <v>5248</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6118</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6119</v>
      </c>
      <c r="X732" s="24" t="str">
        <f t="shared" si="455"/>
        <v>forma.100</v>
      </c>
      <c r="Y732" s="24" t="str">
        <f t="shared" si="454"/>
        <v>Ação formar</v>
      </c>
      <c r="Z732" s="47" t="s">
        <v>5054</v>
      </c>
      <c r="AA732" s="25" t="str">
        <f t="shared" si="450"/>
        <v>null</v>
      </c>
      <c r="AB732" s="26" t="s">
        <v>0</v>
      </c>
      <c r="AC732" s="25" t="str">
        <f t="shared" si="451"/>
        <v>null</v>
      </c>
      <c r="AD732" s="26" t="s">
        <v>0</v>
      </c>
      <c r="AE732" s="25" t="str">
        <f t="shared" si="452"/>
        <v>null</v>
      </c>
      <c r="AF732" s="26" t="s">
        <v>0</v>
      </c>
      <c r="AG732" s="47" t="s">
        <v>5249</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6120</v>
      </c>
      <c r="X733" s="24" t="str">
        <f t="shared" si="455"/>
        <v>forma.101</v>
      </c>
      <c r="Y733" s="24" t="str">
        <f t="shared" si="454"/>
        <v>Ação formar</v>
      </c>
      <c r="Z733" s="47" t="s">
        <v>2742</v>
      </c>
      <c r="AA733" s="25" t="str">
        <f t="shared" si="450"/>
        <v>categoria.revit</v>
      </c>
      <c r="AB733" s="26" t="s">
        <v>4846</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6121</v>
      </c>
      <c r="X734" s="24" t="str">
        <f t="shared" si="455"/>
        <v>forma.102</v>
      </c>
      <c r="Y734" s="24" t="str">
        <f t="shared" si="454"/>
        <v>Ação formar</v>
      </c>
      <c r="Z734" s="47" t="s">
        <v>2743</v>
      </c>
      <c r="AA734" s="25" t="str">
        <f t="shared" si="450"/>
        <v>categoria.revit</v>
      </c>
      <c r="AB734" s="26" t="s">
        <v>4847</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6122</v>
      </c>
      <c r="X735" s="24" t="str">
        <f t="shared" si="455"/>
        <v>forma.103</v>
      </c>
      <c r="Y735" s="24" t="str">
        <f t="shared" si="454"/>
        <v>Ação formar</v>
      </c>
      <c r="Z735" s="47" t="s">
        <v>2744</v>
      </c>
      <c r="AA735" s="25" t="str">
        <f t="shared" si="450"/>
        <v>categoria.revit</v>
      </c>
      <c r="AB735" s="26" t="s">
        <v>4848</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6123</v>
      </c>
      <c r="X736" s="24" t="str">
        <f t="shared" si="455"/>
        <v>forma.104</v>
      </c>
      <c r="Y736" s="24" t="str">
        <f t="shared" si="454"/>
        <v>Ação formar</v>
      </c>
      <c r="Z736" s="47" t="s">
        <v>2745</v>
      </c>
      <c r="AA736" s="25" t="str">
        <f t="shared" si="450"/>
        <v>categoria.revit</v>
      </c>
      <c r="AB736" s="26" t="s">
        <v>4849</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6124</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6125</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6126</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4346</v>
      </c>
      <c r="S740" s="10" t="s">
        <v>1</v>
      </c>
      <c r="T740" s="10" t="s">
        <v>32</v>
      </c>
      <c r="U740" s="5" t="str">
        <f t="shared" si="448"/>
        <v>Propriedade destinada a formar: é.base.x</v>
      </c>
      <c r="V740" s="5" t="str">
        <f t="shared" si="449"/>
        <v>Dado para formar:  base.x  Deve ser formatado como (xsd:double)</v>
      </c>
      <c r="W740" s="5" t="s">
        <v>6127</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4347</v>
      </c>
      <c r="S741" s="10" t="s">
        <v>1</v>
      </c>
      <c r="T741" s="10" t="s">
        <v>32</v>
      </c>
      <c r="U741" s="5" t="str">
        <f t="shared" si="448"/>
        <v>Propriedade destinada a formar: é.base.y</v>
      </c>
      <c r="V741" s="5" t="str">
        <f t="shared" si="449"/>
        <v>Dado para formar:  base.y  Deve ser formatado como (xsd:double)</v>
      </c>
      <c r="W741" s="5" t="s">
        <v>6128</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4348</v>
      </c>
      <c r="S742" s="10" t="s">
        <v>1</v>
      </c>
      <c r="T742" s="10" t="s">
        <v>32</v>
      </c>
      <c r="U742" s="5" t="str">
        <f t="shared" si="448"/>
        <v>Propriedade destinada a formar: é.base.z</v>
      </c>
      <c r="V742" s="5" t="str">
        <f t="shared" si="449"/>
        <v>Dado para formar:  base.z  Deve ser formatado como (xsd:double)</v>
      </c>
      <c r="W742" s="5" t="s">
        <v>6129</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4346</v>
      </c>
      <c r="S743" s="10" t="s">
        <v>1</v>
      </c>
      <c r="T743" s="10" t="s">
        <v>32</v>
      </c>
      <c r="U743" s="5" t="str">
        <f t="shared" si="448"/>
        <v>Propriedade destinada a formar: é.base.xx</v>
      </c>
      <c r="V743" s="5" t="str">
        <f t="shared" si="449"/>
        <v>Dado para formar:  base.xx  Deve ser formatado como (xsd:double)</v>
      </c>
      <c r="W743" s="5" t="s">
        <v>6130</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4347</v>
      </c>
      <c r="S744" s="10" t="s">
        <v>1</v>
      </c>
      <c r="T744" s="10" t="s">
        <v>32</v>
      </c>
      <c r="U744" s="5" t="str">
        <f t="shared" si="448"/>
        <v>Propriedade destinada a formar: é.base.yy</v>
      </c>
      <c r="V744" s="5" t="str">
        <f t="shared" si="449"/>
        <v>Dado para formar:  base.yy  Deve ser formatado como (xsd:double)</v>
      </c>
      <c r="W744" s="5" t="s">
        <v>6131</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4348</v>
      </c>
      <c r="S745" s="10" t="s">
        <v>1</v>
      </c>
      <c r="T745" s="10" t="s">
        <v>32</v>
      </c>
      <c r="U745" s="5" t="str">
        <f t="shared" si="448"/>
        <v>Propriedade destinada a formar: é.base.zz</v>
      </c>
      <c r="V745" s="5" t="str">
        <f t="shared" si="449"/>
        <v>Dado para formar:  base.zz  Deve ser formatado como (xsd:double)</v>
      </c>
      <c r="W745" s="5" t="s">
        <v>6132</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6133</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6134</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6135</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4527</v>
      </c>
      <c r="S749" s="10" t="s">
        <v>1</v>
      </c>
      <c r="T749" s="10" t="s">
        <v>32</v>
      </c>
      <c r="U749" s="5" t="str">
        <f t="shared" si="448"/>
        <v>Propriedade destinada a formar: é.coordenadas.xy</v>
      </c>
      <c r="V749" s="5" t="str">
        <f t="shared" si="449"/>
        <v>Dado para formar:  coordenadas.xy  Deve ser formatado como (rdfs:Literal  or  xsd:string)</v>
      </c>
      <c r="W749" s="5" t="s">
        <v>6136</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4528</v>
      </c>
      <c r="S750" s="10" t="s">
        <v>1</v>
      </c>
      <c r="T750" s="10" t="s">
        <v>32</v>
      </c>
      <c r="U750" s="5" t="str">
        <f t="shared" si="448"/>
        <v>Propriedade destinada a formar: é.coordenadas.xyz</v>
      </c>
      <c r="V750" s="5" t="str">
        <f t="shared" si="449"/>
        <v>Dado para formar:  coordenadas.xyz  Deve ser formatado como (rdfs:Literal  or  xsd:string)</v>
      </c>
      <c r="W750" s="5" t="s">
        <v>6137</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4585</v>
      </c>
      <c r="S751" s="10" t="s">
        <v>1</v>
      </c>
      <c r="T751" s="10" t="s">
        <v>32</v>
      </c>
      <c r="U751" s="5" t="str">
        <f t="shared" si="448"/>
        <v>Propriedade destinada a formar: é.vetor.translação</v>
      </c>
      <c r="V751" s="5" t="str">
        <f t="shared" si="449"/>
        <v>Dado para formar:  vetor.translação  Deve ser formatado como (rdfs:Literal  or  xsd:string)</v>
      </c>
      <c r="W751" s="5" t="s">
        <v>6138</v>
      </c>
      <c r="X751" s="24" t="str">
        <f t="shared" si="455"/>
        <v>forma.119</v>
      </c>
      <c r="Y751" s="24" t="str">
        <f t="shared" si="454"/>
        <v>Ação formar</v>
      </c>
      <c r="Z751" s="47" t="s">
        <v>4588</v>
      </c>
      <c r="AA751" s="25" t="str">
        <f t="shared" si="450"/>
        <v>null</v>
      </c>
      <c r="AB751" s="26" t="s">
        <v>0</v>
      </c>
      <c r="AC751" s="25" t="str">
        <f t="shared" si="451"/>
        <v>null</v>
      </c>
      <c r="AD751" s="26" t="s">
        <v>0</v>
      </c>
      <c r="AE751" s="25" t="str">
        <f t="shared" si="452"/>
        <v>null</v>
      </c>
      <c r="AF751" s="26" t="s">
        <v>0</v>
      </c>
      <c r="AG751" s="47" t="s">
        <v>4587</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6139</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6140</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6141</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4850</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6142</v>
      </c>
      <c r="X755" s="24" t="str">
        <f t="shared" si="455"/>
        <v>forma.123</v>
      </c>
      <c r="Y755" s="24" t="str">
        <f t="shared" si="454"/>
        <v>Ação formar</v>
      </c>
      <c r="Z755" s="62" t="s">
        <v>4833</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4834</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4851</v>
      </c>
      <c r="H756" s="41" t="s">
        <v>2321</v>
      </c>
      <c r="I756" s="16" t="str">
        <f t="shared" si="473"/>
        <v>null</v>
      </c>
      <c r="J756" s="15" t="s">
        <v>0</v>
      </c>
      <c r="K756" s="15" t="s">
        <v>0</v>
      </c>
      <c r="L756" s="15" t="s">
        <v>0</v>
      </c>
      <c r="M756" s="15" t="s">
        <v>0</v>
      </c>
      <c r="N756" s="15" t="s">
        <v>0</v>
      </c>
      <c r="O756" s="15" t="s">
        <v>0</v>
      </c>
      <c r="P756" s="15" t="s">
        <v>0</v>
      </c>
      <c r="Q756" s="15" t="s">
        <v>0</v>
      </c>
      <c r="R756" s="65" t="s">
        <v>4600</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6143</v>
      </c>
      <c r="X756" s="24" t="str">
        <f t="shared" si="455"/>
        <v>forma.124</v>
      </c>
      <c r="Y756" s="24" t="str">
        <f t="shared" si="454"/>
        <v>Ação formar</v>
      </c>
      <c r="Z756" s="62" t="s">
        <v>4374</v>
      </c>
      <c r="AA756" s="25" t="str">
        <f t="shared" si="450"/>
        <v>null</v>
      </c>
      <c r="AB756" s="26" t="s">
        <v>0</v>
      </c>
      <c r="AC756" s="25" t="str">
        <f t="shared" si="451"/>
        <v>null</v>
      </c>
      <c r="AD756" s="26" t="s">
        <v>0</v>
      </c>
      <c r="AE756" s="25" t="str">
        <f t="shared" ref="AE756:AE772" si="486">IF(AF756="null", "null", "propiedade")</f>
        <v>null</v>
      </c>
      <c r="AF756" s="26" t="s">
        <v>0</v>
      </c>
      <c r="AG756" s="62" t="s">
        <v>4373</v>
      </c>
    </row>
    <row r="757" spans="1:33" ht="6" customHeight="1" x14ac:dyDescent="0.4">
      <c r="A757" s="4">
        <f>ROW()</f>
        <v>757</v>
      </c>
      <c r="B757" s="9" t="s">
        <v>27</v>
      </c>
      <c r="C757" s="55" t="str">
        <f t="shared" si="482"/>
        <v>p.formar</v>
      </c>
      <c r="D757" s="6" t="str">
        <f t="shared" si="483"/>
        <v>é.ponto.xy</v>
      </c>
      <c r="E757" s="8" t="s">
        <v>28</v>
      </c>
      <c r="F757" s="42" t="str">
        <f>F752</f>
        <v>d.formar</v>
      </c>
      <c r="G757" s="17" t="s">
        <v>4350</v>
      </c>
      <c r="H757" s="41" t="s">
        <v>2321</v>
      </c>
      <c r="I757" s="16" t="str">
        <f t="shared" si="473"/>
        <v>null</v>
      </c>
      <c r="J757" s="15" t="s">
        <v>0</v>
      </c>
      <c r="K757" s="15" t="s">
        <v>0</v>
      </c>
      <c r="L757" s="15" t="s">
        <v>0</v>
      </c>
      <c r="M757" s="15" t="s">
        <v>0</v>
      </c>
      <c r="N757" s="15" t="s">
        <v>0</v>
      </c>
      <c r="O757" s="15" t="s">
        <v>0</v>
      </c>
      <c r="P757" s="15" t="s">
        <v>0</v>
      </c>
      <c r="Q757" s="15" t="s">
        <v>0</v>
      </c>
      <c r="R757" s="65" t="s">
        <v>4550</v>
      </c>
      <c r="S757" s="10" t="s">
        <v>1</v>
      </c>
      <c r="T757" s="10" t="s">
        <v>32</v>
      </c>
      <c r="U757" s="5" t="str">
        <f t="shared" si="484"/>
        <v>Propriedade destinada a formar: é.ponto.xy</v>
      </c>
      <c r="V757" s="5" t="str">
        <f t="shared" si="485"/>
        <v>Dado para formar:  ponto.xy  Deve ser formatado como (rdfs:Literal  or  xsd:string)</v>
      </c>
      <c r="W757" s="5" t="s">
        <v>6144</v>
      </c>
      <c r="X757" s="24" t="str">
        <f t="shared" si="455"/>
        <v>forma.125</v>
      </c>
      <c r="Y757" s="24" t="str">
        <f t="shared" si="454"/>
        <v>Ação formar</v>
      </c>
      <c r="Z757" s="62" t="s">
        <v>4372</v>
      </c>
      <c r="AA757" s="25" t="str">
        <f t="shared" si="450"/>
        <v>null</v>
      </c>
      <c r="AB757" s="26" t="s">
        <v>0</v>
      </c>
      <c r="AC757" s="25" t="str">
        <f t="shared" si="451"/>
        <v>null</v>
      </c>
      <c r="AD757" s="26" t="s">
        <v>0</v>
      </c>
      <c r="AE757" s="25" t="str">
        <f t="shared" si="486"/>
        <v>null</v>
      </c>
      <c r="AF757" s="26" t="s">
        <v>0</v>
      </c>
      <c r="AG757" s="62" t="s">
        <v>4351</v>
      </c>
    </row>
    <row r="758" spans="1:33" ht="6" customHeight="1" x14ac:dyDescent="0.4">
      <c r="A758" s="4">
        <f>ROW()</f>
        <v>758</v>
      </c>
      <c r="B758" s="9" t="s">
        <v>27</v>
      </c>
      <c r="C758" s="55" t="str">
        <f t="shared" si="482"/>
        <v>p.formar</v>
      </c>
      <c r="D758" s="6" t="str">
        <f t="shared" si="483"/>
        <v>é.ponto.xyz</v>
      </c>
      <c r="E758" s="8" t="s">
        <v>28</v>
      </c>
      <c r="F758" s="42" t="str">
        <f>F752</f>
        <v>d.formar</v>
      </c>
      <c r="G758" s="17" t="s">
        <v>4345</v>
      </c>
      <c r="H758" s="41" t="s">
        <v>2321</v>
      </c>
      <c r="I758" s="16" t="str">
        <f t="shared" si="473"/>
        <v>null</v>
      </c>
      <c r="J758" s="15" t="s">
        <v>0</v>
      </c>
      <c r="K758" s="15" t="s">
        <v>0</v>
      </c>
      <c r="L758" s="15" t="s">
        <v>0</v>
      </c>
      <c r="M758" s="15" t="s">
        <v>0</v>
      </c>
      <c r="N758" s="15" t="s">
        <v>0</v>
      </c>
      <c r="O758" s="15" t="s">
        <v>0</v>
      </c>
      <c r="P758" s="15" t="s">
        <v>0</v>
      </c>
      <c r="Q758" s="15" t="s">
        <v>0</v>
      </c>
      <c r="R758" s="65" t="s">
        <v>4551</v>
      </c>
      <c r="S758" s="10" t="s">
        <v>1</v>
      </c>
      <c r="T758" s="10" t="s">
        <v>32</v>
      </c>
      <c r="U758" s="5" t="str">
        <f t="shared" si="484"/>
        <v>Propriedade destinada a formar: é.ponto.xyz</v>
      </c>
      <c r="V758" s="5" t="str">
        <f t="shared" si="485"/>
        <v>Dado para formar:  ponto.xyz  Deve ser formatado como (rdfs:Literal  or  xsd:string)</v>
      </c>
      <c r="W758" s="5" t="s">
        <v>6145</v>
      </c>
      <c r="X758" s="24" t="str">
        <f t="shared" si="455"/>
        <v>forma.126</v>
      </c>
      <c r="Y758" s="24" t="str">
        <f t="shared" si="454"/>
        <v>Ação formar</v>
      </c>
      <c r="Z758" s="62" t="s">
        <v>4371</v>
      </c>
      <c r="AA758" s="25" t="str">
        <f t="shared" si="450"/>
        <v>null</v>
      </c>
      <c r="AB758" s="26" t="s">
        <v>0</v>
      </c>
      <c r="AC758" s="25" t="str">
        <f t="shared" si="451"/>
        <v>null</v>
      </c>
      <c r="AD758" s="26" t="s">
        <v>0</v>
      </c>
      <c r="AE758" s="25" t="str">
        <f t="shared" si="486"/>
        <v>null</v>
      </c>
      <c r="AF758" s="26" t="s">
        <v>0</v>
      </c>
      <c r="AG758" s="62" t="s">
        <v>4349</v>
      </c>
    </row>
    <row r="759" spans="1:33" ht="6" customHeight="1" x14ac:dyDescent="0.4">
      <c r="A759" s="4">
        <f>ROW()</f>
        <v>759</v>
      </c>
      <c r="B759" s="9" t="s">
        <v>27</v>
      </c>
      <c r="C759" s="55" t="str">
        <f t="shared" si="482"/>
        <v>p.formar</v>
      </c>
      <c r="D759" s="6" t="str">
        <f t="shared" si="483"/>
        <v>é.ponto.xyzi</v>
      </c>
      <c r="E759" s="8" t="s">
        <v>28</v>
      </c>
      <c r="F759" s="42" t="str">
        <f>F753</f>
        <v>d.formar</v>
      </c>
      <c r="G759" s="17" t="s">
        <v>4376</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6146</v>
      </c>
      <c r="X759" s="24" t="str">
        <f t="shared" si="455"/>
        <v>forma.127</v>
      </c>
      <c r="Y759" s="24" t="str">
        <f t="shared" si="454"/>
        <v>Ação formar</v>
      </c>
      <c r="Z759" s="62" t="s">
        <v>4369</v>
      </c>
      <c r="AA759" s="25" t="str">
        <f t="shared" si="450"/>
        <v>null</v>
      </c>
      <c r="AB759" s="26" t="s">
        <v>0</v>
      </c>
      <c r="AC759" s="25" t="str">
        <f t="shared" si="451"/>
        <v>null</v>
      </c>
      <c r="AD759" s="26" t="s">
        <v>0</v>
      </c>
      <c r="AE759" s="25" t="str">
        <f t="shared" si="486"/>
        <v>null</v>
      </c>
      <c r="AF759" s="26" t="s">
        <v>0</v>
      </c>
      <c r="AG759" s="62" t="s">
        <v>4355</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6147</v>
      </c>
      <c r="X760" s="24" t="str">
        <f t="shared" si="455"/>
        <v>forma.128</v>
      </c>
      <c r="Y760" s="24" t="str">
        <f t="shared" si="454"/>
        <v>Ação formar</v>
      </c>
      <c r="Z760" s="62" t="s">
        <v>4525</v>
      </c>
      <c r="AA760" s="25" t="str">
        <f t="shared" si="450"/>
        <v>null</v>
      </c>
      <c r="AB760" s="26" t="s">
        <v>0</v>
      </c>
      <c r="AC760" s="25" t="str">
        <f t="shared" si="451"/>
        <v>null</v>
      </c>
      <c r="AD760" s="26" t="s">
        <v>0</v>
      </c>
      <c r="AE760" s="25" t="str">
        <f t="shared" si="486"/>
        <v>null</v>
      </c>
      <c r="AF760" s="26" t="s">
        <v>0</v>
      </c>
      <c r="AG760" s="62" t="s">
        <v>4524</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4339</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6148</v>
      </c>
      <c r="X761" s="24" t="str">
        <f t="shared" si="455"/>
        <v>forma.129</v>
      </c>
      <c r="Y761" s="24" t="str">
        <f t="shared" si="454"/>
        <v>Ação formar</v>
      </c>
      <c r="Z761" s="62" t="s">
        <v>4370</v>
      </c>
      <c r="AA761" s="25" t="str">
        <f t="shared" si="450"/>
        <v>null</v>
      </c>
      <c r="AB761" s="26" t="s">
        <v>0</v>
      </c>
      <c r="AC761" s="25" t="str">
        <f t="shared" si="451"/>
        <v>null</v>
      </c>
      <c r="AD761" s="26" t="s">
        <v>0</v>
      </c>
      <c r="AE761" s="25" t="str">
        <f t="shared" si="486"/>
        <v>null</v>
      </c>
      <c r="AF761" s="26" t="s">
        <v>0</v>
      </c>
      <c r="AG761" s="62" t="s">
        <v>4340</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4589</v>
      </c>
      <c r="H762" s="41" t="s">
        <v>2321</v>
      </c>
      <c r="I762" s="16" t="str">
        <f t="shared" si="473"/>
        <v>null</v>
      </c>
      <c r="J762" s="15" t="s">
        <v>0</v>
      </c>
      <c r="K762" s="15" t="s">
        <v>0</v>
      </c>
      <c r="L762" s="15" t="s">
        <v>0</v>
      </c>
      <c r="M762" s="15" t="s">
        <v>0</v>
      </c>
      <c r="N762" s="15" t="s">
        <v>0</v>
      </c>
      <c r="O762" s="15" t="s">
        <v>0</v>
      </c>
      <c r="P762" s="15" t="s">
        <v>0</v>
      </c>
      <c r="Q762" s="15" t="s">
        <v>0</v>
      </c>
      <c r="R762" s="15" t="s">
        <v>4352</v>
      </c>
      <c r="S762" s="10" t="s">
        <v>1</v>
      </c>
      <c r="T762" s="10" t="s">
        <v>32</v>
      </c>
      <c r="U762" s="5" t="str">
        <f t="shared" si="484"/>
        <v>Propriedade destinada a formar: é.ponto.analítico</v>
      </c>
      <c r="V762" s="5" t="str">
        <f t="shared" si="485"/>
        <v>Dado para formar:  ponto.analítico  Deve ser formatado como (rdfs:Literal  or  xsd:string)</v>
      </c>
      <c r="W762" s="5" t="s">
        <v>6149</v>
      </c>
      <c r="X762" s="24" t="str">
        <f t="shared" si="455"/>
        <v>forma.130</v>
      </c>
      <c r="Y762" s="24" t="str">
        <f t="shared" si="454"/>
        <v>Ação formar</v>
      </c>
      <c r="Z762" s="62" t="s">
        <v>4353</v>
      </c>
      <c r="AA762" s="25" t="str">
        <f t="shared" si="450"/>
        <v>null</v>
      </c>
      <c r="AB762" s="26" t="s">
        <v>0</v>
      </c>
      <c r="AC762" s="25" t="str">
        <f t="shared" si="451"/>
        <v>null</v>
      </c>
      <c r="AD762" s="26" t="s">
        <v>0</v>
      </c>
      <c r="AE762" s="25" t="str">
        <f t="shared" si="486"/>
        <v>null</v>
      </c>
      <c r="AF762" s="26" t="s">
        <v>0</v>
      </c>
      <c r="AG762" s="64" t="s">
        <v>4354</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4590</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6150</v>
      </c>
      <c r="X763" s="24" t="str">
        <f t="shared" si="455"/>
        <v>forma.131</v>
      </c>
      <c r="Y763" s="24" t="str">
        <f t="shared" si="454"/>
        <v>Ação formar</v>
      </c>
      <c r="Z763" s="47" t="s">
        <v>4341</v>
      </c>
      <c r="AA763" s="25" t="str">
        <f t="shared" si="450"/>
        <v>null</v>
      </c>
      <c r="AB763" s="26" t="s">
        <v>0</v>
      </c>
      <c r="AC763" s="25" t="str">
        <f t="shared" si="451"/>
        <v>null</v>
      </c>
      <c r="AD763" s="26" t="s">
        <v>0</v>
      </c>
      <c r="AE763" s="25" t="str">
        <f t="shared" si="486"/>
        <v>null</v>
      </c>
      <c r="AF763" s="26" t="s">
        <v>0</v>
      </c>
      <c r="AG763" s="47" t="s">
        <v>4342</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6151</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6152</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4599</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6153</v>
      </c>
      <c r="X766" s="24" t="str">
        <f t="shared" si="455"/>
        <v>forma.134</v>
      </c>
      <c r="Y766" s="24" t="str">
        <f t="shared" si="454"/>
        <v>Ação formar</v>
      </c>
      <c r="Z766" s="47" t="s">
        <v>4593</v>
      </c>
      <c r="AA766" s="25" t="str">
        <f t="shared" si="488"/>
        <v>null</v>
      </c>
      <c r="AB766" s="26" t="s">
        <v>0</v>
      </c>
      <c r="AC766" s="25" t="str">
        <f t="shared" si="489"/>
        <v>null</v>
      </c>
      <c r="AD766" s="26" t="s">
        <v>0</v>
      </c>
      <c r="AE766" s="25" t="str">
        <f t="shared" si="486"/>
        <v>null</v>
      </c>
      <c r="AF766" s="26" t="s">
        <v>0</v>
      </c>
      <c r="AG766" s="47" t="s">
        <v>4596</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4591</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6154</v>
      </c>
      <c r="X767" s="24" t="str">
        <f t="shared" si="455"/>
        <v>forma.135</v>
      </c>
      <c r="Y767" s="24" t="str">
        <f t="shared" si="454"/>
        <v>Ação formar</v>
      </c>
      <c r="Z767" s="47" t="s">
        <v>4594</v>
      </c>
      <c r="AA767" s="25" t="str">
        <f t="shared" si="488"/>
        <v>null</v>
      </c>
      <c r="AB767" s="26" t="s">
        <v>0</v>
      </c>
      <c r="AC767" s="25" t="str">
        <f t="shared" si="489"/>
        <v>null</v>
      </c>
      <c r="AD767" s="26" t="s">
        <v>0</v>
      </c>
      <c r="AE767" s="25" t="str">
        <f t="shared" si="486"/>
        <v>null</v>
      </c>
      <c r="AF767" s="26" t="s">
        <v>0</v>
      </c>
      <c r="AG767" s="47" t="s">
        <v>4597</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4592</v>
      </c>
      <c r="H768" s="42"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6155</v>
      </c>
      <c r="X768" s="24" t="str">
        <f t="shared" si="455"/>
        <v>forma.136</v>
      </c>
      <c r="Y768" s="24" t="str">
        <f t="shared" si="454"/>
        <v>Ação formar</v>
      </c>
      <c r="Z768" s="47" t="s">
        <v>4595</v>
      </c>
      <c r="AA768" s="25" t="str">
        <f t="shared" si="488"/>
        <v>null</v>
      </c>
      <c r="AB768" s="26" t="s">
        <v>0</v>
      </c>
      <c r="AC768" s="25" t="str">
        <f t="shared" si="489"/>
        <v>null</v>
      </c>
      <c r="AD768" s="26" t="s">
        <v>0</v>
      </c>
      <c r="AE768" s="25" t="str">
        <f t="shared" si="486"/>
        <v>null</v>
      </c>
      <c r="AF768" s="26" t="s">
        <v>0</v>
      </c>
      <c r="AG768" s="47" t="s">
        <v>4598</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4878</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6156</v>
      </c>
      <c r="X769" s="24" t="str">
        <f t="shared" si="455"/>
        <v>funci.100</v>
      </c>
      <c r="Y769" s="24" t="str">
        <f t="shared" si="454"/>
        <v>Ação funcionar</v>
      </c>
      <c r="Z769" s="47" t="s">
        <v>4398</v>
      </c>
      <c r="AA769" s="25" t="str">
        <f t="shared" si="488"/>
        <v>categoria.revit</v>
      </c>
      <c r="AB769" s="26" t="s">
        <v>3947</v>
      </c>
      <c r="AC769" s="25" t="str">
        <f t="shared" si="489"/>
        <v>classe.ifc</v>
      </c>
      <c r="AD769" s="26" t="s">
        <v>3898</v>
      </c>
      <c r="AE769" s="25" t="str">
        <f t="shared" si="486"/>
        <v>propiedade</v>
      </c>
      <c r="AF769" s="26" t="s">
        <v>2660</v>
      </c>
      <c r="AG769" s="47" t="s">
        <v>4461</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6157</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6158</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6159</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4330</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6160</v>
      </c>
      <c r="X773" s="24" t="str">
        <f t="shared" si="493"/>
        <v>funci.104</v>
      </c>
      <c r="Y773" s="24" t="str">
        <f t="shared" si="492"/>
        <v>Ação funcionar</v>
      </c>
      <c r="Z773" s="47" t="s">
        <v>4333</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5158</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4329</v>
      </c>
      <c r="S774" s="10" t="s">
        <v>1</v>
      </c>
      <c r="T774" s="10" t="s">
        <v>32</v>
      </c>
      <c r="U774" s="5" t="str">
        <f t="shared" si="496"/>
        <v>Propriedade destinada a funcionar: é.funcionamento</v>
      </c>
      <c r="V774" s="5" t="str">
        <f t="shared" si="497"/>
        <v>Dado para funcionar:  funcionamento  Deve ser formatado como (rdfs:Literal  or  xsd:string)</v>
      </c>
      <c r="W774" s="5" t="s">
        <v>6161</v>
      </c>
      <c r="X774" s="24" t="str">
        <f t="shared" si="493"/>
        <v>funci.105</v>
      </c>
      <c r="Y774" s="24" t="str">
        <f t="shared" si="492"/>
        <v>Ação funcionar</v>
      </c>
      <c r="Z774" s="47" t="s">
        <v>4334</v>
      </c>
      <c r="AA774" s="25" t="str">
        <f t="shared" si="498"/>
        <v>null</v>
      </c>
      <c r="AB774" s="26" t="s">
        <v>0</v>
      </c>
      <c r="AC774" s="25" t="str">
        <f t="shared" si="499"/>
        <v>null</v>
      </c>
      <c r="AD774" s="26" t="s">
        <v>0</v>
      </c>
      <c r="AE774" s="25" t="str">
        <f t="shared" si="500"/>
        <v>null</v>
      </c>
      <c r="AF774" s="26" t="s">
        <v>0</v>
      </c>
      <c r="AG774" s="47" t="s">
        <v>5159</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4331</v>
      </c>
      <c r="H775" s="41" t="s">
        <v>2321</v>
      </c>
      <c r="I775" s="16" t="str">
        <f t="shared" si="495"/>
        <v>null</v>
      </c>
      <c r="J775" s="13" t="s">
        <v>0</v>
      </c>
      <c r="K775" s="13" t="s">
        <v>0</v>
      </c>
      <c r="L775" s="13" t="s">
        <v>0</v>
      </c>
      <c r="M775" s="13" t="s">
        <v>0</v>
      </c>
      <c r="N775" s="15" t="s">
        <v>0</v>
      </c>
      <c r="O775" s="13" t="s">
        <v>0</v>
      </c>
      <c r="P775" s="13" t="s">
        <v>0</v>
      </c>
      <c r="Q775" s="13" t="s">
        <v>0</v>
      </c>
      <c r="R775" s="15" t="s">
        <v>4329</v>
      </c>
      <c r="S775" s="10" t="s">
        <v>1</v>
      </c>
      <c r="T775" s="10" t="s">
        <v>32</v>
      </c>
      <c r="U775" s="5" t="str">
        <f t="shared" si="496"/>
        <v>Propriedade destinada a funcionar: é.locatário</v>
      </c>
      <c r="V775" s="5" t="str">
        <f t="shared" si="497"/>
        <v>Dado para funcionar:  locatário  Deve ser formatado como (rdfs:Literal  or  xsd:string)</v>
      </c>
      <c r="W775" s="5" t="s">
        <v>6162</v>
      </c>
      <c r="X775" s="24" t="str">
        <f t="shared" si="493"/>
        <v>funci.106</v>
      </c>
      <c r="Y775" s="24" t="str">
        <f t="shared" si="492"/>
        <v>Ação funcionar</v>
      </c>
      <c r="Z775" s="47" t="s">
        <v>4335</v>
      </c>
      <c r="AA775" s="25" t="str">
        <f t="shared" si="498"/>
        <v>null</v>
      </c>
      <c r="AB775" s="26" t="s">
        <v>0</v>
      </c>
      <c r="AC775" s="25" t="str">
        <f t="shared" si="499"/>
        <v>null</v>
      </c>
      <c r="AD775" s="26" t="s">
        <v>0</v>
      </c>
      <c r="AE775" s="25" t="str">
        <f t="shared" si="500"/>
        <v>null</v>
      </c>
      <c r="AF775" s="26" t="s">
        <v>0</v>
      </c>
      <c r="AG775" s="47" t="s">
        <v>5160</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4332</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é.morador</v>
      </c>
      <c r="V776" s="5" t="str">
        <f t="shared" si="497"/>
        <v>Dado para funcionar:  morador  Deve ser formatado como (rdfs:Literal  or  xsd:string)</v>
      </c>
      <c r="W776" s="5" t="s">
        <v>6163</v>
      </c>
      <c r="X776" s="24" t="str">
        <f t="shared" si="493"/>
        <v>funci.107</v>
      </c>
      <c r="Y776" s="24" t="str">
        <f t="shared" si="492"/>
        <v>Ação funcionar</v>
      </c>
      <c r="Z776" s="47" t="s">
        <v>4336</v>
      </c>
      <c r="AA776" s="25" t="str">
        <f t="shared" si="498"/>
        <v>null</v>
      </c>
      <c r="AB776" s="26" t="s">
        <v>0</v>
      </c>
      <c r="AC776" s="25" t="str">
        <f t="shared" si="499"/>
        <v>null</v>
      </c>
      <c r="AD776" s="26" t="s">
        <v>0</v>
      </c>
      <c r="AE776" s="25" t="str">
        <f t="shared" si="500"/>
        <v>null</v>
      </c>
      <c r="AF776" s="26" t="s">
        <v>0</v>
      </c>
      <c r="AG776" s="47" t="s">
        <v>5161</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é.ocupante</v>
      </c>
      <c r="V777" s="5" t="str">
        <f t="shared" si="497"/>
        <v>Dado para funcionar:  ocupante  Deve ser formatado como (rdfs:Literal  or  xsd:string)</v>
      </c>
      <c r="W777" s="5" t="s">
        <v>6164</v>
      </c>
      <c r="X777" s="24" t="str">
        <f t="shared" si="493"/>
        <v>funci.108</v>
      </c>
      <c r="Y777" s="24" t="str">
        <f t="shared" si="492"/>
        <v>Ação funcionar</v>
      </c>
      <c r="Z777" s="47" t="s">
        <v>4316</v>
      </c>
      <c r="AA777" s="25" t="str">
        <f t="shared" si="498"/>
        <v>null</v>
      </c>
      <c r="AB777" s="26" t="s">
        <v>0</v>
      </c>
      <c r="AC777" s="25" t="str">
        <f t="shared" si="499"/>
        <v>null</v>
      </c>
      <c r="AD777" s="26" t="s">
        <v>0</v>
      </c>
      <c r="AE777" s="25" t="str">
        <f t="shared" si="500"/>
        <v>null</v>
      </c>
      <c r="AF777" s="26" t="s">
        <v>0</v>
      </c>
      <c r="AG777" s="47" t="s">
        <v>5162</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7528</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é.permissionário</v>
      </c>
      <c r="V778" s="5" t="str">
        <f t="shared" si="497"/>
        <v>Dado para funcionar:  permissionário  Deve ser formatado como (rdfs:Literal  or  xsd:string)</v>
      </c>
      <c r="W778" s="5" t="s">
        <v>7529</v>
      </c>
      <c r="X778" s="24" t="str">
        <f t="shared" si="493"/>
        <v>funci.109</v>
      </c>
      <c r="Y778" s="24" t="str">
        <f t="shared" si="492"/>
        <v>Ação funcionar</v>
      </c>
      <c r="Z778" s="47" t="s">
        <v>4337</v>
      </c>
      <c r="AA778" s="25" t="str">
        <f t="shared" si="498"/>
        <v>null</v>
      </c>
      <c r="AB778" s="26" t="s">
        <v>0</v>
      </c>
      <c r="AC778" s="25" t="str">
        <f t="shared" si="499"/>
        <v>null</v>
      </c>
      <c r="AD778" s="26" t="s">
        <v>0</v>
      </c>
      <c r="AE778" s="25" t="str">
        <f t="shared" si="500"/>
        <v>null</v>
      </c>
      <c r="AF778" s="26" t="s">
        <v>0</v>
      </c>
      <c r="AG778" s="47" t="s">
        <v>5163</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é.usuário</v>
      </c>
      <c r="V779" s="5" t="str">
        <f t="shared" si="497"/>
        <v>Dado para funcionar:  usuário  Deve ser formatado como (rdfs:Literal  or  xsd:string)</v>
      </c>
      <c r="W779" s="5" t="s">
        <v>6165</v>
      </c>
      <c r="X779" s="24" t="str">
        <f t="shared" si="493"/>
        <v>funci.110</v>
      </c>
      <c r="Y779" s="24" t="str">
        <f t="shared" si="492"/>
        <v>Ação funcionar</v>
      </c>
      <c r="Z779" s="47" t="s">
        <v>4338</v>
      </c>
      <c r="AA779" s="25" t="str">
        <f t="shared" si="498"/>
        <v>null</v>
      </c>
      <c r="AB779" s="26" t="s">
        <v>0</v>
      </c>
      <c r="AC779" s="25" t="str">
        <f t="shared" si="499"/>
        <v>null</v>
      </c>
      <c r="AD779" s="26" t="s">
        <v>0</v>
      </c>
      <c r="AE779" s="25" t="str">
        <f t="shared" si="500"/>
        <v>null</v>
      </c>
      <c r="AF779" s="26" t="s">
        <v>0</v>
      </c>
      <c r="AG779" s="47" t="s">
        <v>5164</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6166</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5165</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6167</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5166</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6168</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6169</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6170</v>
      </c>
      <c r="X784" s="24" t="str">
        <f t="shared" si="493"/>
        <v>funci.115</v>
      </c>
      <c r="Y784" s="24" t="str">
        <f t="shared" si="492"/>
        <v>Ação funcionar</v>
      </c>
      <c r="Z784" s="47" t="s">
        <v>5055</v>
      </c>
      <c r="AA784" s="25" t="str">
        <f t="shared" si="498"/>
        <v>categoria.revit</v>
      </c>
      <c r="AB784" s="26" t="s">
        <v>3947</v>
      </c>
      <c r="AC784" s="25" t="str">
        <f t="shared" si="499"/>
        <v>classe.ifc</v>
      </c>
      <c r="AD784" s="26" t="s">
        <v>3898</v>
      </c>
      <c r="AE784" s="25" t="str">
        <f t="shared" si="500"/>
        <v>propiedade</v>
      </c>
      <c r="AF784" s="26" t="s">
        <v>2660</v>
      </c>
      <c r="AG784" s="47" t="s">
        <v>5250</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6171</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5167</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6172</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5168</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6173</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6174</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5169</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6175</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6176</v>
      </c>
      <c r="X790" s="24" t="str">
        <f t="shared" si="493"/>
        <v>funci.121</v>
      </c>
      <c r="Y790" s="24" t="str">
        <f t="shared" si="492"/>
        <v>Ação funcionar</v>
      </c>
      <c r="Z790" s="47" t="s">
        <v>5056</v>
      </c>
      <c r="AA790" s="25" t="str">
        <f t="shared" si="498"/>
        <v>categoria.revit</v>
      </c>
      <c r="AB790" s="26" t="s">
        <v>3947</v>
      </c>
      <c r="AC790" s="25" t="str">
        <f t="shared" si="499"/>
        <v>classe.ifc</v>
      </c>
      <c r="AD790" s="26" t="s">
        <v>3898</v>
      </c>
      <c r="AE790" s="25" t="str">
        <f t="shared" si="500"/>
        <v>propiedade</v>
      </c>
      <c r="AF790" s="26" t="s">
        <v>2660</v>
      </c>
      <c r="AG790" s="47" t="s">
        <v>5251</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6177</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5252</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6178</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5253</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6179</v>
      </c>
      <c r="X793" s="24" t="str">
        <f t="shared" si="493"/>
        <v>funci.124</v>
      </c>
      <c r="Y793" s="24" t="str">
        <f t="shared" si="492"/>
        <v>Ação funcionar</v>
      </c>
      <c r="Z793" s="47" t="s">
        <v>5057</v>
      </c>
      <c r="AA793" s="25" t="str">
        <f t="shared" si="498"/>
        <v>categoria.revit</v>
      </c>
      <c r="AB793" s="26" t="s">
        <v>3947</v>
      </c>
      <c r="AC793" s="25" t="str">
        <f t="shared" si="499"/>
        <v>classe.ifc</v>
      </c>
      <c r="AD793" s="26" t="s">
        <v>3898</v>
      </c>
      <c r="AE793" s="25" t="str">
        <f t="shared" si="500"/>
        <v>propiedade</v>
      </c>
      <c r="AF793" s="26" t="s">
        <v>2660</v>
      </c>
      <c r="AG793" s="47" t="s">
        <v>5254</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6180</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5170</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6181</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5171</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6182</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5172</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6183</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5255</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6184</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5173</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6185</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5174</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6186</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6187</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5175</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7530</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6188</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7531</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6189</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5256</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7532</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6190</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5257</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6191</v>
      </c>
      <c r="X805" s="24" t="str">
        <f t="shared" si="493"/>
        <v>geolo.104</v>
      </c>
      <c r="Y805" s="24" t="str">
        <f t="shared" si="492"/>
        <v>Ação geolocalizar</v>
      </c>
      <c r="Z805" s="47" t="s">
        <v>4317</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6192</v>
      </c>
      <c r="X806" s="24" t="str">
        <f t="shared" si="493"/>
        <v>geolo.105</v>
      </c>
      <c r="Y806" s="24" t="str">
        <f t="shared" si="492"/>
        <v>Ação geolocalizar</v>
      </c>
      <c r="Z806" s="47" t="s">
        <v>4318</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6193</v>
      </c>
      <c r="X807" s="24" t="str">
        <f t="shared" si="493"/>
        <v>geolo.106</v>
      </c>
      <c r="Y807" s="24" t="str">
        <f t="shared" si="492"/>
        <v>Ação geolocalizar</v>
      </c>
      <c r="Z807" s="47" t="s">
        <v>4319</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6194</v>
      </c>
      <c r="X808" s="24" t="str">
        <f t="shared" si="493"/>
        <v>geolo.107</v>
      </c>
      <c r="Y808" s="24" t="str">
        <f t="shared" si="492"/>
        <v>Ação geolocalizar</v>
      </c>
      <c r="Z808" s="47" t="s">
        <v>4320</v>
      </c>
      <c r="AA808" s="25" t="str">
        <f t="shared" si="498"/>
        <v>null</v>
      </c>
      <c r="AB808" s="26" t="s">
        <v>0</v>
      </c>
      <c r="AC808" s="25" t="str">
        <f t="shared" si="499"/>
        <v>null</v>
      </c>
      <c r="AD808" s="26" t="s">
        <v>0</v>
      </c>
      <c r="AE808" s="25" t="str">
        <f t="shared" si="500"/>
        <v>propiedade</v>
      </c>
      <c r="AF808" s="26" t="s">
        <v>2656</v>
      </c>
      <c r="AG808" s="47" t="s">
        <v>4321</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6195</v>
      </c>
      <c r="X809" s="24" t="str">
        <f t="shared" si="493"/>
        <v>geolo.108</v>
      </c>
      <c r="Y809" s="24" t="str">
        <f t="shared" si="492"/>
        <v>Ação geolocalizar</v>
      </c>
      <c r="Z809" s="47" t="s">
        <v>4538</v>
      </c>
      <c r="AA809" s="25" t="str">
        <f t="shared" si="498"/>
        <v>null</v>
      </c>
      <c r="AB809" s="26" t="s">
        <v>0</v>
      </c>
      <c r="AC809" s="25" t="str">
        <f t="shared" si="499"/>
        <v>null</v>
      </c>
      <c r="AD809" s="26" t="s">
        <v>0</v>
      </c>
      <c r="AE809" s="25" t="str">
        <f t="shared" si="500"/>
        <v>null</v>
      </c>
      <c r="AF809" s="26" t="s">
        <v>0</v>
      </c>
      <c r="AG809" s="47" t="s">
        <v>4539</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6196</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6197</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6198</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6199</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6200</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6201</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6202</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6203</v>
      </c>
      <c r="X817" s="24" t="str">
        <f t="shared" si="493"/>
        <v>geolo.116</v>
      </c>
      <c r="Y817" s="24" t="str">
        <f t="shared" si="492"/>
        <v>Ação geolocalizar</v>
      </c>
      <c r="Z817" s="47" t="s">
        <v>4324</v>
      </c>
      <c r="AA817" s="25" t="str">
        <f t="shared" si="498"/>
        <v>null</v>
      </c>
      <c r="AB817" s="26" t="s">
        <v>0</v>
      </c>
      <c r="AC817" s="25" t="str">
        <f t="shared" si="499"/>
        <v>null</v>
      </c>
      <c r="AD817" s="26" t="s">
        <v>0</v>
      </c>
      <c r="AE817" s="25" t="str">
        <f t="shared" si="500"/>
        <v>null</v>
      </c>
      <c r="AF817" s="26" t="s">
        <v>0</v>
      </c>
      <c r="AG817" s="47" t="s">
        <v>5176</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4322</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6204</v>
      </c>
      <c r="X818" s="24" t="str">
        <f t="shared" si="493"/>
        <v>geolo.117</v>
      </c>
      <c r="Y818" s="24" t="str">
        <f t="shared" si="492"/>
        <v>Ação geolocalizar</v>
      </c>
      <c r="Z818" s="47" t="s">
        <v>4326</v>
      </c>
      <c r="AA818" s="25" t="str">
        <f t="shared" si="498"/>
        <v>null</v>
      </c>
      <c r="AB818" s="26" t="s">
        <v>0</v>
      </c>
      <c r="AC818" s="25" t="str">
        <f t="shared" si="499"/>
        <v>null</v>
      </c>
      <c r="AD818" s="26" t="s">
        <v>0</v>
      </c>
      <c r="AE818" s="25" t="str">
        <f t="shared" si="500"/>
        <v>null</v>
      </c>
      <c r="AF818" s="26" t="s">
        <v>0</v>
      </c>
      <c r="AG818" s="47" t="s">
        <v>5177</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4323</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6205</v>
      </c>
      <c r="X819" s="24" t="str">
        <f t="shared" si="493"/>
        <v>geolo.118</v>
      </c>
      <c r="Y819" s="24" t="str">
        <f t="shared" si="492"/>
        <v>Ação geolocalizar</v>
      </c>
      <c r="Z819" s="47" t="s">
        <v>4325</v>
      </c>
      <c r="AA819" s="25" t="str">
        <f t="shared" si="498"/>
        <v>null</v>
      </c>
      <c r="AB819" s="26" t="s">
        <v>0</v>
      </c>
      <c r="AC819" s="25" t="str">
        <f t="shared" si="499"/>
        <v>null</v>
      </c>
      <c r="AD819" s="26" t="s">
        <v>0</v>
      </c>
      <c r="AE819" s="25" t="str">
        <f t="shared" si="500"/>
        <v>null</v>
      </c>
      <c r="AF819" s="26" t="s">
        <v>0</v>
      </c>
      <c r="AG819" s="47" t="s">
        <v>5178</v>
      </c>
    </row>
    <row r="820" spans="1:33" ht="6" customHeight="1" x14ac:dyDescent="0.4">
      <c r="A820" s="4">
        <f>ROW()</f>
        <v>820</v>
      </c>
      <c r="B820" s="9" t="s">
        <v>27</v>
      </c>
      <c r="C820" s="54" t="str">
        <f t="shared" si="494"/>
        <v>p.gerar</v>
      </c>
      <c r="D820" s="6" t="str">
        <f t="shared" si="483"/>
        <v>é.gerador</v>
      </c>
      <c r="E820" s="8" t="s">
        <v>28</v>
      </c>
      <c r="F820" s="51" t="s">
        <v>4012</v>
      </c>
      <c r="G820" s="18" t="s">
        <v>4874</v>
      </c>
      <c r="H820" s="41" t="s">
        <v>2321</v>
      </c>
      <c r="I820" s="16" t="str">
        <f t="shared" si="495"/>
        <v>null</v>
      </c>
      <c r="J820" s="13" t="s">
        <v>0</v>
      </c>
      <c r="K820" s="13" t="s">
        <v>0</v>
      </c>
      <c r="L820" s="13" t="s">
        <v>0</v>
      </c>
      <c r="M820" s="13" t="s">
        <v>0</v>
      </c>
      <c r="N820" s="15" t="s">
        <v>0</v>
      </c>
      <c r="O820" s="13" t="s">
        <v>0</v>
      </c>
      <c r="P820" s="13" t="s">
        <v>0</v>
      </c>
      <c r="Q820" s="13" t="s">
        <v>0</v>
      </c>
      <c r="R820" s="15" t="s">
        <v>7794</v>
      </c>
      <c r="S820" s="10" t="s">
        <v>1</v>
      </c>
      <c r="T820" s="10" t="s">
        <v>32</v>
      </c>
      <c r="U820" s="5" t="str">
        <f t="shared" si="496"/>
        <v>Propriedade destinada a gerar: é.gerador</v>
      </c>
      <c r="V820" s="5" t="str">
        <f t="shared" si="497"/>
        <v>Dado para gerar:  gerador  Deve ser formatado como (rdfs:Literal  or  xsd:string)</v>
      </c>
      <c r="W820" s="5" t="s">
        <v>6033</v>
      </c>
      <c r="X820" s="24" t="str">
        <f t="shared" si="493"/>
        <v>gerar.100</v>
      </c>
      <c r="Y820" s="24" t="str">
        <f t="shared" si="492"/>
        <v>Ação gerar</v>
      </c>
      <c r="Z820" s="47" t="s">
        <v>4395</v>
      </c>
      <c r="AA820" s="25" t="str">
        <f t="shared" si="498"/>
        <v>categoria.revit</v>
      </c>
      <c r="AB820" s="26" t="s">
        <v>3940</v>
      </c>
      <c r="AC820" s="25" t="str">
        <f t="shared" si="499"/>
        <v>null</v>
      </c>
      <c r="AD820" s="26" t="s">
        <v>0</v>
      </c>
      <c r="AE820" s="25" t="str">
        <f t="shared" si="500"/>
        <v>null</v>
      </c>
      <c r="AF820" s="26" t="s">
        <v>0</v>
      </c>
      <c r="AG820" s="47" t="s">
        <v>4458</v>
      </c>
    </row>
    <row r="821" spans="1:33" ht="6" customHeight="1" x14ac:dyDescent="0.4">
      <c r="A821" s="4">
        <f>ROW()</f>
        <v>821</v>
      </c>
      <c r="B821" s="9" t="s">
        <v>27</v>
      </c>
      <c r="C821" s="55" t="str">
        <f t="shared" si="494"/>
        <v>p.gerar</v>
      </c>
      <c r="D821" s="6" t="str">
        <f t="shared" si="483"/>
        <v>é.inversor.on.grid</v>
      </c>
      <c r="E821" s="8" t="s">
        <v>28</v>
      </c>
      <c r="F821" s="42" t="str">
        <f>F820</f>
        <v>d.gerar</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gerar.101</v>
      </c>
      <c r="Y821" s="24" t="str">
        <f t="shared" si="492"/>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gerar.102</v>
      </c>
      <c r="Y822" s="24" t="str">
        <f t="shared" si="492"/>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gerar.103</v>
      </c>
      <c r="Y823" s="24" t="str">
        <f t="shared" si="492"/>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7795</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gerar.104</v>
      </c>
      <c r="Y824" s="24" t="str">
        <f t="shared" si="492"/>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2"/>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2"/>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2"/>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2"/>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2"/>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2"/>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2"/>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2"/>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2"/>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7793</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7"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7" si="1028">IF(F1794&lt;&gt;F1795,_xlfn.CONCAT(RIGHT(LEFT(F1795,7),5),".100"),_xlfn.CONCAT(RIGHT(LEFT(F1795,7),5),".",SUM(VALUE(RIGHT(X1794,3)),1)))</f>
        <v>urban.100</v>
      </c>
      <c r="Y1795" s="24" t="str">
        <f t="shared" si="1022"/>
        <v>Ação urbanizar</v>
      </c>
      <c r="Z1795" s="47" t="s">
        <v>5015</v>
      </c>
      <c r="AA1795" s="25" t="str">
        <f t="shared" ref="AA1795:AA1843" si="1029">IF(AB1795="null", "null", "categoria.revit")</f>
        <v>null</v>
      </c>
      <c r="AB1795" s="26" t="s">
        <v>0</v>
      </c>
      <c r="AC1795" s="25" t="str">
        <f t="shared" ref="AC1795:AC1843"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7"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7" si="1034">_xlfn.CONCAT("Propriedade destinada a ",MID(C1804,FIND("p.",C1804,1)+2,100),": ",D1804)</f>
        <v>Propriedade destinada a urbanizar: é.lote.urbano</v>
      </c>
      <c r="V1804" s="5" t="str">
        <f t="shared" ref="V1804:V1847"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7"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7"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7"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p.votar</v>
      </c>
      <c r="D1836" s="6" t="str">
        <f t="shared" ref="D1836:D1840" si="1040">_xlfn.CONCAT("é.",G1836)</f>
        <v>é.urna.papel</v>
      </c>
      <c r="E1836" s="8" t="s">
        <v>28</v>
      </c>
      <c r="F1836" s="51" t="s">
        <v>7796</v>
      </c>
      <c r="G1836" s="18" t="s">
        <v>7797</v>
      </c>
      <c r="H1836" s="41" t="s">
        <v>2321</v>
      </c>
      <c r="I1836" s="16" t="str">
        <f t="shared" ref="I1836:I1840" si="1041">J1836</f>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ref="U1836:U1840" si="1042">_xlfn.CONCAT("Propriedade destinada a ",MID(C1836,FIND("p.",C1836,1)+2,100),": ",D1836)</f>
        <v>Propriedade destinada a votar: é.urna.papel</v>
      </c>
      <c r="V1836" s="5" t="str">
        <f t="shared" ref="V1836:V1840" si="1043">_xlfn.CONCAT("Dado para ",MID(F1836,FIND("d.",F1836,1)+2,100),":  ",G1836, "  Deve ser formatado como (",H1836, ")")</f>
        <v>Dado para votar:  urna.papel  Deve ser formatado como (rdfs:Literal  or  xsd:string)</v>
      </c>
      <c r="W1836" s="5" t="s">
        <v>7799</v>
      </c>
      <c r="X1836" s="24" t="str">
        <f t="shared" si="1028"/>
        <v>votar.100</v>
      </c>
      <c r="Y1836" s="24" t="str">
        <f t="shared" si="1022"/>
        <v>Ação votar</v>
      </c>
      <c r="Z1836" s="47" t="s">
        <v>7805</v>
      </c>
      <c r="AA1836" s="25" t="str">
        <f t="shared" ref="AA1836:AA1840" si="1044">IF(AB1836="null", "null", "categoria.revit")</f>
        <v>null</v>
      </c>
      <c r="AB1836" s="26" t="s">
        <v>0</v>
      </c>
      <c r="AC1836" s="25" t="str">
        <f t="shared" ref="AC1836:AC1840" si="1045">IF(AD1836="null", "null", "classe.ifc")</f>
        <v>null</v>
      </c>
      <c r="AD1836" s="26" t="s">
        <v>0</v>
      </c>
      <c r="AE1836" s="25" t="str">
        <f t="shared" ref="AE1836:AE1840" si="1046">IF(AF1836="null", "null", "propiedade")</f>
        <v>null</v>
      </c>
      <c r="AF1836" s="26" t="s">
        <v>0</v>
      </c>
      <c r="AG1836" s="47" t="s">
        <v>7804</v>
      </c>
    </row>
    <row r="1837" spans="1:33" ht="6" customHeight="1" x14ac:dyDescent="0.4">
      <c r="A1837" s="4">
        <f>ROW()</f>
        <v>1837</v>
      </c>
      <c r="B1837" s="9" t="s">
        <v>27</v>
      </c>
      <c r="C1837" s="55" t="str">
        <f t="shared" si="1039"/>
        <v>p.votar</v>
      </c>
      <c r="D1837" s="6" t="str">
        <f t="shared" si="1040"/>
        <v>é.urna.eletrônica</v>
      </c>
      <c r="E1837" s="8" t="s">
        <v>28</v>
      </c>
      <c r="F1837" s="42" t="str">
        <f t="shared" ref="F1837:F1840" si="1047">F1836</f>
        <v>d.votar</v>
      </c>
      <c r="G1837" s="18" t="s">
        <v>7798</v>
      </c>
      <c r="H1837" s="41" t="s">
        <v>2321</v>
      </c>
      <c r="I1837" s="16" t="str">
        <f t="shared" si="1041"/>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42"/>
        <v>Propriedade destinada a votar: é.urna.eletrônica</v>
      </c>
      <c r="V1837" s="5" t="str">
        <f t="shared" si="1043"/>
        <v>Dado para votar:  urna.eletrônica  Deve ser formatado como (rdfs:Literal  or  xsd:string)</v>
      </c>
      <c r="W1837" s="5" t="s">
        <v>7800</v>
      </c>
      <c r="X1837" s="24" t="str">
        <f t="shared" si="1028"/>
        <v>votar.101</v>
      </c>
      <c r="Y1837" s="24" t="str">
        <f t="shared" si="1022"/>
        <v>Ação votar</v>
      </c>
      <c r="Z1837" s="47" t="s">
        <v>7806</v>
      </c>
      <c r="AA1837" s="25" t="str">
        <f t="shared" si="1044"/>
        <v>null</v>
      </c>
      <c r="AB1837" s="26" t="s">
        <v>0</v>
      </c>
      <c r="AC1837" s="25" t="str">
        <f t="shared" si="1045"/>
        <v>null</v>
      </c>
      <c r="AD1837" s="26" t="s">
        <v>0</v>
      </c>
      <c r="AE1837" s="25" t="str">
        <f t="shared" si="1046"/>
        <v>null</v>
      </c>
      <c r="AF1837" s="26" t="s">
        <v>0</v>
      </c>
      <c r="AG1837" s="47" t="s">
        <v>7802</v>
      </c>
    </row>
    <row r="1838" spans="1:33" ht="6" customHeight="1" x14ac:dyDescent="0.4">
      <c r="A1838" s="4">
        <f>ROW()</f>
        <v>1838</v>
      </c>
      <c r="B1838" s="9" t="s">
        <v>27</v>
      </c>
      <c r="C1838" s="55" t="str">
        <f t="shared" si="1039"/>
        <v>p.votar</v>
      </c>
      <c r="D1838" s="6" t="str">
        <f t="shared" si="1040"/>
        <v>é.cabine.de.votação</v>
      </c>
      <c r="E1838" s="8" t="s">
        <v>28</v>
      </c>
      <c r="F1838" s="42" t="str">
        <f t="shared" si="1047"/>
        <v>d.votar</v>
      </c>
      <c r="G1838" s="18" t="s">
        <v>7816</v>
      </c>
      <c r="H1838" s="41" t="s">
        <v>2321</v>
      </c>
      <c r="I1838" s="16" t="str">
        <f t="shared" si="1041"/>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42"/>
        <v>Propriedade destinada a votar: é.cabine.de.votação</v>
      </c>
      <c r="V1838" s="5" t="str">
        <f t="shared" si="1043"/>
        <v>Dado para votar:  cabine.de.votação  Deve ser formatado como (rdfs:Literal  or  xsd:string)</v>
      </c>
      <c r="W1838" s="5" t="s">
        <v>7811</v>
      </c>
      <c r="X1838" s="24" t="str">
        <f t="shared" si="1028"/>
        <v>votar.102</v>
      </c>
      <c r="Y1838" s="24" t="str">
        <f t="shared" si="1022"/>
        <v>Ação votar</v>
      </c>
      <c r="Z1838" s="69" t="s">
        <v>7812</v>
      </c>
      <c r="AA1838" s="25" t="str">
        <f t="shared" si="1044"/>
        <v>null</v>
      </c>
      <c r="AB1838" s="26" t="s">
        <v>0</v>
      </c>
      <c r="AC1838" s="25" t="str">
        <f t="shared" si="1045"/>
        <v>null</v>
      </c>
      <c r="AD1838" s="26" t="s">
        <v>0</v>
      </c>
      <c r="AE1838" s="25" t="str">
        <f t="shared" si="1046"/>
        <v>null</v>
      </c>
      <c r="AF1838" s="26" t="s">
        <v>0</v>
      </c>
      <c r="AG1838" s="47" t="s">
        <v>7814</v>
      </c>
    </row>
    <row r="1839" spans="1:33" ht="6" customHeight="1" x14ac:dyDescent="0.4">
      <c r="A1839" s="4">
        <f>ROW()</f>
        <v>1839</v>
      </c>
      <c r="B1839" s="9" t="s">
        <v>27</v>
      </c>
      <c r="C1839" s="55" t="str">
        <f t="shared" ref="C1839" si="1048">SUBSTITUTE(F1839,"d.","p.")</f>
        <v>p.votar</v>
      </c>
      <c r="D1839" s="6" t="str">
        <f t="shared" ref="D1839" si="1049">_xlfn.CONCAT("é.",G1839)</f>
        <v>é.fiscal.mesa</v>
      </c>
      <c r="E1839" s="8" t="s">
        <v>28</v>
      </c>
      <c r="F1839" s="42" t="str">
        <f t="shared" si="1047"/>
        <v>d.votar</v>
      </c>
      <c r="G1839" s="18" t="s">
        <v>7808</v>
      </c>
      <c r="H1839" s="41" t="s">
        <v>2321</v>
      </c>
      <c r="I1839" s="16" t="str">
        <f t="shared" ref="I1839" si="1050">J1839</f>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ref="U1839" si="1051">_xlfn.CONCAT("Propriedade destinada a ",MID(C1839,FIND("p.",C1839,1)+2,100),": ",D1839)</f>
        <v>Propriedade destinada a votar: é.fiscal.mesa</v>
      </c>
      <c r="V1839" s="5" t="str">
        <f t="shared" ref="V1839" si="1052">_xlfn.CONCAT("Dado para ",MID(F1839,FIND("d.",F1839,1)+2,100),":  ",G1839, "  Deve ser formatado como (",H1839, ")")</f>
        <v>Dado para votar:  fiscal.mesa  Deve ser formatado como (rdfs:Literal  or  xsd:string)</v>
      </c>
      <c r="W1839" s="5" t="s">
        <v>7801</v>
      </c>
      <c r="X1839" s="24" t="str">
        <f t="shared" si="1028"/>
        <v>votar.103</v>
      </c>
      <c r="Y1839" s="24" t="str">
        <f t="shared" si="1022"/>
        <v>Ação votar</v>
      </c>
      <c r="Z1839" s="47" t="s">
        <v>7807</v>
      </c>
      <c r="AA1839" s="25" t="str">
        <f t="shared" ref="AA1839" si="1053">IF(AB1839="null", "null", "categoria.revit")</f>
        <v>null</v>
      </c>
      <c r="AB1839" s="26" t="s">
        <v>0</v>
      </c>
      <c r="AC1839" s="25" t="str">
        <f t="shared" ref="AC1839" si="1054">IF(AD1839="null", "null", "classe.ifc")</f>
        <v>null</v>
      </c>
      <c r="AD1839" s="26" t="s">
        <v>0</v>
      </c>
      <c r="AE1839" s="25" t="str">
        <f t="shared" ref="AE1839" si="1055">IF(AF1839="null", "null", "propiedade")</f>
        <v>null</v>
      </c>
      <c r="AF1839" s="26" t="s">
        <v>0</v>
      </c>
      <c r="AG1839" s="47" t="s">
        <v>7803</v>
      </c>
    </row>
    <row r="1840" spans="1:33" ht="6" customHeight="1" x14ac:dyDescent="0.4">
      <c r="A1840" s="4">
        <f>ROW()</f>
        <v>1840</v>
      </c>
      <c r="B1840" s="9" t="s">
        <v>27</v>
      </c>
      <c r="C1840" s="55" t="str">
        <f t="shared" si="1039"/>
        <v>p.votar</v>
      </c>
      <c r="D1840" s="6" t="str">
        <f t="shared" si="1040"/>
        <v>é.fiscal.cadeira</v>
      </c>
      <c r="E1840" s="8" t="s">
        <v>28</v>
      </c>
      <c r="F1840" s="42" t="str">
        <f t="shared" si="1047"/>
        <v>d.votar</v>
      </c>
      <c r="G1840" s="18" t="s">
        <v>7809</v>
      </c>
      <c r="H1840" s="41" t="s">
        <v>2321</v>
      </c>
      <c r="I1840" s="16" t="str">
        <f t="shared" si="1041"/>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42"/>
        <v>Propriedade destinada a votar: é.fiscal.cadeira</v>
      </c>
      <c r="V1840" s="5" t="str">
        <f t="shared" si="1043"/>
        <v>Dado para votar:  fiscal.cadeira  Deve ser formatado como (rdfs:Literal  or  xsd:string)</v>
      </c>
      <c r="W1840" s="5" t="s">
        <v>7810</v>
      </c>
      <c r="X1840" s="24" t="str">
        <f t="shared" si="1028"/>
        <v>votar.104</v>
      </c>
      <c r="Y1840" s="24" t="str">
        <f t="shared" si="1022"/>
        <v>Ação votar</v>
      </c>
      <c r="Z1840" s="47" t="s">
        <v>7813</v>
      </c>
      <c r="AA1840" s="25" t="str">
        <f t="shared" si="1044"/>
        <v>null</v>
      </c>
      <c r="AB1840" s="26" t="s">
        <v>0</v>
      </c>
      <c r="AC1840" s="25" t="str">
        <f t="shared" si="1045"/>
        <v>null</v>
      </c>
      <c r="AD1840" s="26" t="s">
        <v>0</v>
      </c>
      <c r="AE1840" s="25" t="str">
        <f t="shared" si="1046"/>
        <v>null</v>
      </c>
      <c r="AF1840" s="26" t="s">
        <v>0</v>
      </c>
      <c r="AG1840" s="47" t="s">
        <v>7815</v>
      </c>
    </row>
    <row r="1841" spans="1:33" ht="6" customHeight="1" x14ac:dyDescent="0.4">
      <c r="A1841" s="4">
        <f>ROW()</f>
        <v>1841</v>
      </c>
      <c r="B1841" s="9" t="s">
        <v>27</v>
      </c>
      <c r="C1841" s="54" t="str">
        <f t="shared" si="1039"/>
        <v>p.zonificar</v>
      </c>
      <c r="D1841" s="6" t="str">
        <f t="shared" si="1037"/>
        <v>é.zona</v>
      </c>
      <c r="E1841" s="8" t="s">
        <v>28</v>
      </c>
      <c r="F1841" s="50" t="s">
        <v>4072</v>
      </c>
      <c r="G1841" s="18" t="s">
        <v>128</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v>
      </c>
      <c r="V1841" s="5" t="str">
        <f t="shared" si="1035"/>
        <v>Dado para zonificar:  zona  Deve ser formatado como (rdfs:Literal  or  xsd:string)</v>
      </c>
      <c r="W1841" s="5" t="s">
        <v>7161</v>
      </c>
      <c r="X1841" s="24" t="str">
        <f t="shared" si="1028"/>
        <v>zonif.100</v>
      </c>
      <c r="Y1841" s="24" t="str">
        <f t="shared" si="1022"/>
        <v>Ação zonificar</v>
      </c>
      <c r="Z1841" s="47" t="s">
        <v>5032</v>
      </c>
      <c r="AA1841" s="25" t="str">
        <f t="shared" si="1029"/>
        <v>categoria.revit</v>
      </c>
      <c r="AB1841" s="26" t="s">
        <v>3968</v>
      </c>
      <c r="AC1841" s="25" t="str">
        <f t="shared" si="1030"/>
        <v>classe.ifc</v>
      </c>
      <c r="AD1841" s="26" t="s">
        <v>3919</v>
      </c>
      <c r="AE1841" s="25" t="str">
        <f t="shared" si="1036"/>
        <v>null</v>
      </c>
      <c r="AF1841" s="26" t="s">
        <v>0</v>
      </c>
      <c r="AG1841" s="47" t="s">
        <v>5316</v>
      </c>
    </row>
    <row r="1842" spans="1:33" ht="6" customHeight="1" x14ac:dyDescent="0.4">
      <c r="A1842" s="4">
        <f>ROW()</f>
        <v>1842</v>
      </c>
      <c r="B1842" s="9" t="s">
        <v>27</v>
      </c>
      <c r="C1842" s="55" t="str">
        <f t="shared" si="1039"/>
        <v>p.zonificar</v>
      </c>
      <c r="D1842" s="6" t="str">
        <f t="shared" si="1037"/>
        <v>é.zona.avac</v>
      </c>
      <c r="E1842" s="8" t="s">
        <v>28</v>
      </c>
      <c r="F1842" s="42" t="str">
        <f t="shared" ref="F1842:F1847" si="1056">F1841</f>
        <v>d.zonificar</v>
      </c>
      <c r="G1842" s="18" t="s">
        <v>1053</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é.zona.avac</v>
      </c>
      <c r="V1842" s="5" t="str">
        <f t="shared" si="1035"/>
        <v>Dado para zonificar:  zona.avac  Deve ser formatado como (rdfs:Literal  or  xsd:string)</v>
      </c>
      <c r="W1842" s="5" t="s">
        <v>7162</v>
      </c>
      <c r="X1842" s="24" t="str">
        <f t="shared" si="1028"/>
        <v>zonif.101</v>
      </c>
      <c r="Y1842" s="24" t="str">
        <f t="shared" si="1022"/>
        <v>Ação zonificar</v>
      </c>
      <c r="Z1842" s="47" t="s">
        <v>5033</v>
      </c>
      <c r="AA1842" s="25" t="str">
        <f t="shared" si="1029"/>
        <v>categoria.revit</v>
      </c>
      <c r="AB1842" s="26" t="s">
        <v>3968</v>
      </c>
      <c r="AC1842" s="25" t="str">
        <f t="shared" si="1030"/>
        <v>classe.ifc</v>
      </c>
      <c r="AD1842" s="26" t="s">
        <v>3919</v>
      </c>
      <c r="AE1842" s="25" t="str">
        <f t="shared" si="1036"/>
        <v>null</v>
      </c>
      <c r="AF1842" s="26" t="s">
        <v>0</v>
      </c>
      <c r="AG1842" s="47" t="s">
        <v>5317</v>
      </c>
    </row>
    <row r="1843" spans="1:33" ht="6" customHeight="1" x14ac:dyDescent="0.4">
      <c r="A1843" s="4">
        <f>ROW()</f>
        <v>1843</v>
      </c>
      <c r="B1843" s="9" t="s">
        <v>27</v>
      </c>
      <c r="C1843" s="55" t="str">
        <f t="shared" si="1039"/>
        <v>p.zonificar</v>
      </c>
      <c r="D1843" s="6" t="str">
        <f t="shared" si="1037"/>
        <v>é.zona.isolada</v>
      </c>
      <c r="E1843" s="8" t="s">
        <v>28</v>
      </c>
      <c r="F1843" s="42" t="str">
        <f t="shared" si="1056"/>
        <v>d.zonificar</v>
      </c>
      <c r="G1843" s="18" t="s">
        <v>1054</v>
      </c>
      <c r="H1843" s="41" t="s">
        <v>2321</v>
      </c>
      <c r="I1843" s="16" t="str">
        <f t="shared" si="103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34"/>
        <v>Propriedade destinada a zonificar: é.zona.isolada</v>
      </c>
      <c r="V1843" s="5" t="str">
        <f t="shared" si="1035"/>
        <v>Dado para zonificar:  zona.isolada  Deve ser formatado como (rdfs:Literal  or  xsd:string)</v>
      </c>
      <c r="W1843" s="5" t="s">
        <v>7163</v>
      </c>
      <c r="X1843" s="24" t="str">
        <f t="shared" si="1028"/>
        <v>zonif.102</v>
      </c>
      <c r="Y1843" s="24" t="str">
        <f t="shared" si="1022"/>
        <v>Ação zonificar</v>
      </c>
      <c r="Z1843" s="47" t="s">
        <v>5034</v>
      </c>
      <c r="AA1843" s="25" t="str">
        <f t="shared" si="1029"/>
        <v>categoria.revit</v>
      </c>
      <c r="AB1843" s="26" t="s">
        <v>3968</v>
      </c>
      <c r="AC1843" s="25" t="str">
        <f t="shared" si="1030"/>
        <v>classe.ifc</v>
      </c>
      <c r="AD1843" s="26" t="s">
        <v>3919</v>
      </c>
      <c r="AE1843" s="25" t="str">
        <f t="shared" si="1036"/>
        <v>null</v>
      </c>
      <c r="AF1843" s="26" t="s">
        <v>0</v>
      </c>
      <c r="AG1843" s="47" t="s">
        <v>5318</v>
      </c>
    </row>
    <row r="1844" spans="1:33" ht="6" customHeight="1" x14ac:dyDescent="0.4">
      <c r="A1844" s="4">
        <f>ROW()</f>
        <v>1844</v>
      </c>
      <c r="B1844" s="9" t="s">
        <v>27</v>
      </c>
      <c r="C1844" s="55" t="str">
        <f t="shared" si="1039"/>
        <v>p.zonificar</v>
      </c>
      <c r="D1844" s="6" t="str">
        <f t="shared" si="1037"/>
        <v>é.zona.de.maquinária</v>
      </c>
      <c r="E1844" s="8" t="s">
        <v>28</v>
      </c>
      <c r="F1844" s="42" t="str">
        <f t="shared" si="1056"/>
        <v>d.zonificar</v>
      </c>
      <c r="G1844" s="18" t="s">
        <v>1055</v>
      </c>
      <c r="H1844" s="41" t="s">
        <v>2321</v>
      </c>
      <c r="I1844" s="16" t="str">
        <f t="shared" si="103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1034"/>
        <v>Propriedade destinada a zonificar: é.zona.de.maquinária</v>
      </c>
      <c r="V1844" s="5" t="str">
        <f t="shared" si="1035"/>
        <v>Dado para zonificar:  zona.de.maquinária  Deve ser formatado como (rdfs:Literal  or  xsd:string)</v>
      </c>
      <c r="W1844" s="5" t="s">
        <v>7164</v>
      </c>
      <c r="X1844" s="24" t="str">
        <f t="shared" si="1028"/>
        <v>zonif.103</v>
      </c>
      <c r="Y1844" s="24" t="str">
        <f t="shared" si="1022"/>
        <v>Ação zonificar</v>
      </c>
      <c r="Z1844" s="47" t="s">
        <v>5035</v>
      </c>
      <c r="AA1844" s="25" t="str">
        <f t="shared" ref="AA1844:AA1847" si="1057">IF(AB1844="null", "null", "categoria.revit")</f>
        <v>categoria.revit</v>
      </c>
      <c r="AB1844" s="26" t="s">
        <v>3968</v>
      </c>
      <c r="AC1844" s="25" t="str">
        <f t="shared" ref="AC1844:AC1847" si="1058">IF(AD1844="null", "null", "classe.ifc")</f>
        <v>classe.ifc</v>
      </c>
      <c r="AD1844" s="26" t="s">
        <v>3919</v>
      </c>
      <c r="AE1844" s="25" t="str">
        <f t="shared" si="1036"/>
        <v>null</v>
      </c>
      <c r="AF1844" s="26" t="s">
        <v>0</v>
      </c>
      <c r="AG1844" s="47" t="s">
        <v>5322</v>
      </c>
    </row>
    <row r="1845" spans="1:33" ht="6" customHeight="1" x14ac:dyDescent="0.4">
      <c r="A1845" s="4">
        <f>ROW()</f>
        <v>1845</v>
      </c>
      <c r="B1845" s="9" t="s">
        <v>27</v>
      </c>
      <c r="C1845" s="55" t="str">
        <f t="shared" si="1039"/>
        <v>p.zonificar</v>
      </c>
      <c r="D1845" s="6" t="str">
        <f t="shared" si="1037"/>
        <v>é.zona.pública</v>
      </c>
      <c r="E1845" s="8" t="s">
        <v>28</v>
      </c>
      <c r="F1845" s="42" t="str">
        <f t="shared" si="1056"/>
        <v>d.zonificar</v>
      </c>
      <c r="G1845" s="18" t="s">
        <v>1056</v>
      </c>
      <c r="H1845" s="41" t="s">
        <v>2321</v>
      </c>
      <c r="I1845" s="16" t="str">
        <f t="shared" si="103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34"/>
        <v>Propriedade destinada a zonificar: é.zona.pública</v>
      </c>
      <c r="V1845" s="5" t="str">
        <f t="shared" si="1035"/>
        <v>Dado para zonificar:  zona.pública  Deve ser formatado como (rdfs:Literal  or  xsd:string)</v>
      </c>
      <c r="W1845" s="5" t="s">
        <v>7165</v>
      </c>
      <c r="X1845" s="24" t="str">
        <f t="shared" si="1028"/>
        <v>zonif.104</v>
      </c>
      <c r="Y1845" s="24" t="str">
        <f t="shared" si="1022"/>
        <v>Ação zonificar</v>
      </c>
      <c r="Z1845" s="47" t="s">
        <v>5036</v>
      </c>
      <c r="AA1845" s="25" t="str">
        <f t="shared" si="1057"/>
        <v>categoria.revit</v>
      </c>
      <c r="AB1845" s="26" t="s">
        <v>3968</v>
      </c>
      <c r="AC1845" s="25" t="str">
        <f t="shared" si="1058"/>
        <v>classe.ifc</v>
      </c>
      <c r="AD1845" s="26" t="s">
        <v>3919</v>
      </c>
      <c r="AE1845" s="25" t="str">
        <f t="shared" si="1036"/>
        <v>null</v>
      </c>
      <c r="AF1845" s="26" t="s">
        <v>0</v>
      </c>
      <c r="AG1845" s="47" t="s">
        <v>5321</v>
      </c>
    </row>
    <row r="1846" spans="1:33" ht="6" customHeight="1" x14ac:dyDescent="0.4">
      <c r="A1846" s="4">
        <f>ROW()</f>
        <v>1846</v>
      </c>
      <c r="B1846" s="9" t="s">
        <v>27</v>
      </c>
      <c r="C1846" s="55" t="str">
        <f t="shared" si="1039"/>
        <v>p.zonificar</v>
      </c>
      <c r="D1846" s="6" t="str">
        <f t="shared" si="1037"/>
        <v>é.zona.privada</v>
      </c>
      <c r="E1846" s="8" t="s">
        <v>28</v>
      </c>
      <c r="F1846" s="42" t="str">
        <f t="shared" si="1056"/>
        <v>d.zonificar</v>
      </c>
      <c r="G1846" s="18" t="s">
        <v>1057</v>
      </c>
      <c r="H1846" s="41" t="s">
        <v>2321</v>
      </c>
      <c r="I1846" s="16" t="str">
        <f t="shared" si="103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34"/>
        <v>Propriedade destinada a zonificar: é.zona.privada</v>
      </c>
      <c r="V1846" s="5" t="str">
        <f t="shared" si="1035"/>
        <v>Dado para zonificar:  zona.privada  Deve ser formatado como (rdfs:Literal  or  xsd:string)</v>
      </c>
      <c r="W1846" s="5" t="s">
        <v>7166</v>
      </c>
      <c r="X1846" s="24" t="str">
        <f t="shared" si="1028"/>
        <v>zonif.105</v>
      </c>
      <c r="Y1846" s="24" t="str">
        <f t="shared" si="1022"/>
        <v>Ação zonificar</v>
      </c>
      <c r="Z1846" s="47" t="s">
        <v>5037</v>
      </c>
      <c r="AA1846" s="25" t="str">
        <f t="shared" si="1057"/>
        <v>categoria.revit</v>
      </c>
      <c r="AB1846" s="26" t="s">
        <v>3968</v>
      </c>
      <c r="AC1846" s="25" t="str">
        <f t="shared" si="1058"/>
        <v>classe.ifc</v>
      </c>
      <c r="AD1846" s="26" t="s">
        <v>3919</v>
      </c>
      <c r="AE1846" s="25" t="str">
        <f t="shared" si="1036"/>
        <v>null</v>
      </c>
      <c r="AF1846" s="26" t="s">
        <v>0</v>
      </c>
      <c r="AG1846" s="47" t="s">
        <v>5319</v>
      </c>
    </row>
    <row r="1847" spans="1:33" ht="6" customHeight="1" x14ac:dyDescent="0.4">
      <c r="A1847" s="4">
        <f>ROW()</f>
        <v>1847</v>
      </c>
      <c r="B1847" s="9" t="s">
        <v>27</v>
      </c>
      <c r="C1847" s="55" t="str">
        <f t="shared" si="1039"/>
        <v>p.zonificar</v>
      </c>
      <c r="D1847" s="6" t="str">
        <f t="shared" si="1037"/>
        <v>é.zona.protegida</v>
      </c>
      <c r="E1847" s="8" t="s">
        <v>28</v>
      </c>
      <c r="F1847" s="42" t="str">
        <f t="shared" si="1056"/>
        <v>d.zonificar</v>
      </c>
      <c r="G1847" s="18" t="s">
        <v>1058</v>
      </c>
      <c r="H1847" s="41" t="s">
        <v>2321</v>
      </c>
      <c r="I1847" s="16" t="str">
        <f t="shared" si="103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1034"/>
        <v>Propriedade destinada a zonificar: é.zona.protegida</v>
      </c>
      <c r="V1847" s="5" t="str">
        <f t="shared" si="1035"/>
        <v>Dado para zonificar:  zona.protegida  Deve ser formatado como (rdfs:Literal  or  xsd:string)</v>
      </c>
      <c r="W1847" s="5" t="s">
        <v>7167</v>
      </c>
      <c r="X1847" s="24" t="str">
        <f t="shared" si="1028"/>
        <v>zonif.106</v>
      </c>
      <c r="Y1847" s="24" t="str">
        <f t="shared" si="1022"/>
        <v>Ação zonificar</v>
      </c>
      <c r="Z1847" s="47" t="s">
        <v>5038</v>
      </c>
      <c r="AA1847" s="25" t="str">
        <f t="shared" si="1057"/>
        <v>null</v>
      </c>
      <c r="AB1847" s="26" t="s">
        <v>0</v>
      </c>
      <c r="AC1847" s="25" t="str">
        <f t="shared" si="1058"/>
        <v>null</v>
      </c>
      <c r="AD1847" s="26" t="s">
        <v>0</v>
      </c>
      <c r="AE1847" s="25" t="str">
        <f t="shared" si="1036"/>
        <v>null</v>
      </c>
      <c r="AF1847" s="26" t="s">
        <v>0</v>
      </c>
      <c r="AG1847" s="47" t="s">
        <v>5320</v>
      </c>
    </row>
  </sheetData>
  <sortState xmlns:xlrd2="http://schemas.microsoft.com/office/spreadsheetml/2017/richdata2" ref="A2:AG1847">
    <sortCondition ref="F1:F1847"/>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1"/>
    <cfRule type="duplicateValues" dxfId="75" priority="22"/>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2:G748 G751:G768">
    <cfRule type="duplicateValues" dxfId="68" priority="356"/>
  </conditionalFormatting>
  <conditionalFormatting sqref="G749:G750">
    <cfRule type="duplicateValues" dxfId="67" priority="103"/>
  </conditionalFormatting>
  <conditionalFormatting sqref="G985:G1010">
    <cfRule type="duplicateValues" dxfId="66" priority="42"/>
  </conditionalFormatting>
  <conditionalFormatting sqref="G1167:G1185">
    <cfRule type="duplicateValues" dxfId="65" priority="6"/>
    <cfRule type="duplicateValues" dxfId="64" priority="7"/>
    <cfRule type="duplicateValues" dxfId="63" priority="8"/>
    <cfRule type="duplicateValues" dxfId="62" priority="9"/>
    <cfRule type="duplicateValues" dxfId="61" priority="10"/>
  </conditionalFormatting>
  <conditionalFormatting sqref="G1186:G1202 G1:G1166 G1264:G1048576">
    <cfRule type="duplicateValues" dxfId="60" priority="11"/>
  </conditionalFormatting>
  <conditionalFormatting sqref="G1203:G1263">
    <cfRule type="duplicateValues" dxfId="59" priority="1"/>
    <cfRule type="duplicateValues" dxfId="58" priority="2"/>
    <cfRule type="duplicateValues" dxfId="57" priority="3"/>
    <cfRule type="duplicateValues" dxfId="56" priority="4"/>
    <cfRule type="duplicateValues" dxfId="55" priority="5"/>
  </conditionalFormatting>
  <conditionalFormatting sqref="G1304:G1324">
    <cfRule type="duplicateValues" dxfId="54" priority="66"/>
    <cfRule type="duplicateValues" dxfId="53" priority="67"/>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4"/>
    <cfRule type="duplicateValues" dxfId="47" priority="75"/>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011:G1166 G225:G414 G1186:G1202 G1264:G1303 G576:G984 G1795:G1048576">
    <cfRule type="duplicateValues" dxfId="44" priority="345"/>
  </conditionalFormatting>
  <conditionalFormatting sqref="G1607:G1611 G2:G17 G74:G110 G1325:G1384 G1559:G1576 G1395:G1450 G1471:G1543 G441:G468 G117:G134 G140:G199 G505:G568 G1011:G1166 G225:G414 G576:G731 G1186:G1202 G1264:G1303 G769:G984 G1795:G1048576">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011:G1166 G140:G432 G1186:G1202 G1264:G1384 G576:G984 G1795:G1048576">
    <cfRule type="duplicateValues" dxfId="38" priority="56"/>
  </conditionalFormatting>
  <conditionalFormatting sqref="G1671:G1693">
    <cfRule type="duplicateValues" dxfId="37" priority="59"/>
    <cfRule type="duplicateValues" dxfId="36" priority="60"/>
  </conditionalFormatting>
  <conditionalFormatting sqref="G1700:G1765">
    <cfRule type="duplicateValues" dxfId="35" priority="39"/>
    <cfRule type="duplicateValues" dxfId="34" priority="40"/>
    <cfRule type="duplicateValues" dxfId="33" priority="41"/>
  </conditionalFormatting>
  <conditionalFormatting sqref="G1766:G1772 G1:G66 G441:G468 G74:G110 G117:G134 G1011:G1166 G140:G432 G1186:G1202 G1264:G1699 G505:G984 G1795:G1048576">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49:R750">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3"/>
    <cfRule type="duplicateValues" dxfId="12" priority="84"/>
  </conditionalFormatting>
  <conditionalFormatting sqref="R1591">
    <cfRule type="duplicateValues" dxfId="11" priority="85"/>
    <cfRule type="duplicateValues" dxfId="10" priority="86"/>
  </conditionalFormatting>
  <conditionalFormatting sqref="R1606">
    <cfRule type="duplicateValues" dxfId="9" priority="294"/>
  </conditionalFormatting>
  <conditionalFormatting sqref="Z755">
    <cfRule type="duplicateValues" dxfId="8" priority="48"/>
    <cfRule type="duplicateValues" dxfId="7" priority="49"/>
    <cfRule type="duplicateValues" dxfId="6" priority="50"/>
  </conditionalFormatting>
  <conditionalFormatting sqref="Z756:Z762">
    <cfRule type="duplicateValues" dxfId="5" priority="113"/>
    <cfRule type="duplicateValues" dxfId="4" priority="114"/>
    <cfRule type="duplicateValues" dxfId="3" priority="115"/>
  </conditionalFormatting>
  <conditionalFormatting sqref="AG755:AG762">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2026-06-05T10:09:39Z</dcterms:modified>
</cp:coreProperties>
</file>