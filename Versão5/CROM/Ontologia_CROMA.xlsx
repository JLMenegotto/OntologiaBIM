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trutor_Onto\CROM\"/>
    </mc:Choice>
  </mc:AlternateContent>
  <xr:revisionPtr revIDLastSave="0" documentId="13_ncr:1_{CC587A19-8ADA-4A48-8F28-ACBA9CFDCD42}" xr6:coauthVersionLast="47" xr6:coauthVersionMax="47" xr10:uidLastSave="{00000000-0000-0000-0000-000000000000}"/>
  <bookViews>
    <workbookView xWindow="-103" yWindow="-103" windowWidth="22149" windowHeight="13200" activeTab="4" xr2:uid="{6AA21774-678E-47D1-B8DD-6444A2CEB00E}"/>
  </bookViews>
  <sheets>
    <sheet name="Projeto" sheetId="26" r:id="rId1"/>
    <sheet name="Classes" sheetId="31" r:id="rId2"/>
    <sheet name="Disjunt" sheetId="3" r:id="rId3"/>
    <sheet name="Interop" sheetId="27" r:id="rId4"/>
    <sheet name="FatosIn" sheetId="30" r:id="rId5"/>
    <sheet name="ExemplosDL" sheetId="2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31" l="1"/>
  <c r="W4" i="31"/>
  <c r="W5" i="31"/>
  <c r="W6" i="31"/>
  <c r="W7" i="31"/>
  <c r="W8" i="31"/>
  <c r="W9" i="31"/>
  <c r="W10" i="31"/>
  <c r="W11" i="31"/>
  <c r="W12" i="31"/>
  <c r="W13" i="31"/>
  <c r="W14" i="31"/>
  <c r="W15" i="31"/>
  <c r="W16" i="31"/>
  <c r="W17" i="31"/>
  <c r="W18" i="31"/>
  <c r="W19" i="31"/>
  <c r="W20" i="31"/>
  <c r="W21" i="31"/>
  <c r="W22" i="31"/>
  <c r="W23" i="31"/>
  <c r="W24" i="31"/>
  <c r="W2" i="31"/>
  <c r="U6" i="31" l="1"/>
  <c r="T6" i="31"/>
  <c r="S6" i="31"/>
  <c r="O6" i="31"/>
  <c r="N6" i="31"/>
  <c r="M6" i="31"/>
  <c r="L6" i="31"/>
  <c r="U5" i="31"/>
  <c r="T5" i="31"/>
  <c r="S5" i="31"/>
  <c r="O5" i="31"/>
  <c r="N5" i="31"/>
  <c r="M5" i="31"/>
  <c r="L5" i="31"/>
  <c r="U4" i="31"/>
  <c r="T4" i="31"/>
  <c r="S4" i="31"/>
  <c r="O4" i="31"/>
  <c r="N4" i="31"/>
  <c r="M4" i="31"/>
  <c r="L4" i="31"/>
  <c r="U3" i="31"/>
  <c r="T3" i="31"/>
  <c r="S3" i="31"/>
  <c r="O3" i="31"/>
  <c r="N3" i="31"/>
  <c r="M3" i="31"/>
  <c r="L3" i="31"/>
  <c r="U2" i="31"/>
  <c r="T2" i="31"/>
  <c r="S2" i="31"/>
  <c r="O2" i="31"/>
  <c r="N2" i="31"/>
  <c r="M2" i="31"/>
  <c r="L2" i="31"/>
  <c r="W6" i="30"/>
  <c r="W7" i="30"/>
  <c r="W8" i="30"/>
  <c r="W9" i="30"/>
  <c r="W10" i="30"/>
  <c r="W23" i="30"/>
  <c r="W24" i="30"/>
  <c r="W22" i="30"/>
  <c r="W11" i="30"/>
  <c r="W13" i="30"/>
  <c r="W14" i="30"/>
  <c r="W15" i="30"/>
  <c r="W12" i="30"/>
  <c r="W21" i="30"/>
  <c r="W20" i="30"/>
  <c r="W19" i="30"/>
  <c r="W18" i="30"/>
  <c r="B21" i="26"/>
  <c r="B20" i="26"/>
  <c r="AA6" i="31"/>
  <c r="AA5" i="31"/>
  <c r="AA4" i="31"/>
  <c r="AA2" i="31"/>
  <c r="AA3" i="31"/>
  <c r="U24" i="31" l="1"/>
  <c r="T24" i="31"/>
  <c r="S24" i="31"/>
  <c r="O24" i="31"/>
  <c r="N24" i="31"/>
  <c r="M24" i="31"/>
  <c r="L24" i="31"/>
  <c r="U23" i="31"/>
  <c r="T23" i="31"/>
  <c r="S23" i="31"/>
  <c r="O23" i="31"/>
  <c r="N23" i="31"/>
  <c r="M23" i="31"/>
  <c r="L23" i="31"/>
  <c r="U22" i="31"/>
  <c r="T22" i="31"/>
  <c r="S22" i="31"/>
  <c r="O22" i="31"/>
  <c r="N22" i="31"/>
  <c r="M22" i="31"/>
  <c r="L22" i="31"/>
  <c r="U21" i="31"/>
  <c r="T21" i="31"/>
  <c r="S21" i="31"/>
  <c r="O21" i="31"/>
  <c r="N21" i="31"/>
  <c r="M21" i="31"/>
  <c r="L21" i="31"/>
  <c r="U20" i="31"/>
  <c r="T20" i="31"/>
  <c r="S20" i="31"/>
  <c r="O20" i="31"/>
  <c r="N20" i="31"/>
  <c r="M20" i="31"/>
  <c r="L20" i="31"/>
  <c r="U19" i="31"/>
  <c r="T19" i="31"/>
  <c r="S19" i="31"/>
  <c r="O19" i="31"/>
  <c r="N19" i="31"/>
  <c r="M19" i="31"/>
  <c r="L19" i="31"/>
  <c r="U18" i="31"/>
  <c r="T18" i="31"/>
  <c r="S18" i="31"/>
  <c r="O18" i="31"/>
  <c r="N18" i="31"/>
  <c r="M18" i="31"/>
  <c r="L18" i="31"/>
  <c r="U17" i="31"/>
  <c r="T17" i="31"/>
  <c r="S17" i="31"/>
  <c r="O17" i="31"/>
  <c r="N17" i="31"/>
  <c r="M17" i="31"/>
  <c r="L17" i="31"/>
  <c r="U16" i="31"/>
  <c r="T16" i="31"/>
  <c r="S16" i="31"/>
  <c r="O16" i="31"/>
  <c r="N16" i="31"/>
  <c r="M16" i="31"/>
  <c r="L16" i="31"/>
  <c r="U15" i="31"/>
  <c r="T15" i="31"/>
  <c r="S15" i="31"/>
  <c r="O15" i="31"/>
  <c r="N15" i="31"/>
  <c r="M15" i="31"/>
  <c r="L15" i="31"/>
  <c r="U14" i="31"/>
  <c r="T14" i="31"/>
  <c r="S14" i="31"/>
  <c r="O14" i="31"/>
  <c r="N14" i="31"/>
  <c r="M14" i="31"/>
  <c r="L14" i="31"/>
  <c r="U13" i="31"/>
  <c r="T13" i="31"/>
  <c r="S13" i="31"/>
  <c r="O13" i="31"/>
  <c r="N13" i="31"/>
  <c r="M13" i="31"/>
  <c r="L13" i="31"/>
  <c r="U12" i="31"/>
  <c r="T12" i="31"/>
  <c r="S12" i="31"/>
  <c r="O12" i="31"/>
  <c r="N12" i="31"/>
  <c r="M12" i="31"/>
  <c r="L12" i="31"/>
  <c r="U11" i="31"/>
  <c r="T11" i="31"/>
  <c r="S11" i="31"/>
  <c r="O11" i="31"/>
  <c r="N11" i="31"/>
  <c r="M11" i="31"/>
  <c r="L11" i="31"/>
  <c r="U10" i="31"/>
  <c r="T10" i="31"/>
  <c r="S10" i="31"/>
  <c r="O10" i="31"/>
  <c r="N10" i="31"/>
  <c r="M10" i="31"/>
  <c r="L10" i="31"/>
  <c r="U9" i="31"/>
  <c r="T9" i="31"/>
  <c r="S9" i="31"/>
  <c r="O9" i="31"/>
  <c r="N9" i="31"/>
  <c r="M9" i="31"/>
  <c r="L9" i="31"/>
  <c r="U8" i="31"/>
  <c r="T8" i="31"/>
  <c r="S8" i="31"/>
  <c r="O8" i="31"/>
  <c r="N8" i="31"/>
  <c r="M8" i="31"/>
  <c r="L8" i="31"/>
  <c r="U7" i="31"/>
  <c r="T7" i="31"/>
  <c r="S7" i="31"/>
  <c r="O7" i="31"/>
  <c r="N7" i="31"/>
  <c r="M7" i="31"/>
  <c r="L7" i="31"/>
  <c r="B26" i="26"/>
  <c r="AA16" i="31"/>
  <c r="AA15" i="31"/>
  <c r="Q19" i="31"/>
  <c r="AA21" i="31"/>
  <c r="AA22" i="31"/>
  <c r="AA20" i="31"/>
  <c r="AA10" i="31"/>
  <c r="AA11" i="31"/>
  <c r="Q11" i="31"/>
  <c r="Q18" i="31"/>
  <c r="Q9" i="31"/>
  <c r="AA9" i="31"/>
  <c r="Q14" i="31"/>
  <c r="AA18" i="31"/>
  <c r="AA7" i="31"/>
  <c r="AA12" i="31"/>
  <c r="AA19" i="31"/>
  <c r="AA13" i="31"/>
  <c r="Q23" i="31"/>
  <c r="AA17" i="31"/>
  <c r="Q24" i="31"/>
  <c r="Q13" i="31"/>
  <c r="Q12" i="31"/>
  <c r="AA24" i="31"/>
  <c r="Q21" i="31"/>
  <c r="Q15" i="31"/>
  <c r="AA8" i="31"/>
  <c r="Q20" i="31"/>
  <c r="Q16" i="31"/>
  <c r="Q10" i="31"/>
  <c r="Q7" i="31"/>
  <c r="Q22" i="31"/>
  <c r="Q8" i="31"/>
  <c r="Q17" i="31"/>
  <c r="AA23" i="31"/>
  <c r="AA14" i="31"/>
  <c r="W3" i="30" l="1"/>
  <c r="W4" i="30"/>
  <c r="W5" i="30"/>
  <c r="W16" i="30"/>
  <c r="W17" i="30"/>
  <c r="W2" i="30"/>
  <c r="B18" i="26" l="1"/>
  <c r="B6" i="26" l="1"/>
  <c r="B5" i="26"/>
</calcChain>
</file>

<file path=xl/sharedStrings.xml><?xml version="1.0" encoding="utf-8"?>
<sst xmlns="http://schemas.openxmlformats.org/spreadsheetml/2006/main" count="1875" uniqueCount="362">
  <si>
    <t>Key</t>
  </si>
  <si>
    <t>null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</si>
  <si>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</si>
  <si>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</si>
  <si>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</si>
  <si>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</si>
  <si>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</si>
  <si>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</si>
  <si>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</si>
  <si>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</si>
  <si>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</si>
  <si>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</si>
  <si>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</si>
  <si>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</si>
  <si>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</si>
  <si>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</si>
  <si>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</si>
  <si>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</si>
  <si>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</si>
  <si>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</si>
  <si>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</si>
  <si>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</si>
  <si>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1</t>
  </si>
  <si>
    <t xml:space="preserve">Exemplos de DL Queries </t>
  </si>
  <si>
    <r>
      <t xml:space="preserve">Class: </t>
    </r>
    <r>
      <rPr>
        <b/>
        <sz val="6"/>
        <color rgb="FFFFC000"/>
        <rFont val="Arial Nova Cond"/>
        <family val="2"/>
      </rPr>
      <t>Classe</t>
    </r>
    <r>
      <rPr>
        <sz val="6"/>
        <color theme="1"/>
        <rFont val="Arial Nova Cond"/>
        <family val="2"/>
      </rPr>
      <t xml:space="preserve">
    Annotations:  rdfs:comment  "Texto explicativo do Conceito em Português (@pt) "@pt</t>
    </r>
    <r>
      <rPr>
        <b/>
        <sz val="6"/>
        <color theme="1"/>
        <rFont val="Arial Nova Cond"/>
        <family val="2"/>
      </rPr>
      <t>,</t>
    </r>
    <r>
      <rPr>
        <sz val="6"/>
        <color theme="1"/>
        <rFont val="Arial Nova Cond"/>
        <family val="2"/>
      </rPr>
      <t xml:space="preserve">
                        rdfs:label         "Etiquetagem"@pt
    EquivalentTo:</t>
    </r>
    <r>
      <rPr>
        <b/>
        <sz val="6"/>
        <color rgb="FFFFC000"/>
        <rFont val="Arial Nova Cond"/>
        <family val="2"/>
      </rPr>
      <t xml:space="preserve"> ClasseDominio</t>
    </r>
    <r>
      <rPr>
        <sz val="6"/>
        <color theme="1"/>
        <rFont val="Arial Nova Cond"/>
        <family val="2"/>
      </rPr>
      <t xml:space="preserve"> </t>
    </r>
    <r>
      <rPr>
        <sz val="6"/>
        <color theme="8"/>
        <rFont val="Arial Nova Cond"/>
        <family val="2"/>
      </rPr>
      <t>and</t>
    </r>
    <r>
      <rPr>
        <sz val="6"/>
        <color theme="1"/>
        <rFont val="Arial Nova Cond"/>
        <family val="2"/>
      </rPr>
      <t xml:space="preserve"> ( { </t>
    </r>
    <r>
      <rPr>
        <b/>
        <sz val="6"/>
        <color rgb="FFFF99FF"/>
        <rFont val="Arial Nova Cond"/>
        <family val="2"/>
      </rPr>
      <t>Individuo1</t>
    </r>
    <r>
      <rPr>
        <sz val="6"/>
        <color theme="1"/>
        <rFont val="Arial Nova Cond"/>
        <family val="2"/>
      </rPr>
      <t xml:space="preserve"> ,  </t>
    </r>
    <r>
      <rPr>
        <b/>
        <sz val="6"/>
        <color rgb="FFFF99FF"/>
        <rFont val="Arial Nova Cond"/>
        <family val="2"/>
      </rPr>
      <t>Individuo2</t>
    </r>
    <r>
      <rPr>
        <sz val="6"/>
        <color theme="1"/>
        <rFont val="Arial Nova Cond"/>
        <family val="2"/>
      </rPr>
      <t xml:space="preserve"> ,  </t>
    </r>
    <r>
      <rPr>
        <b/>
        <sz val="6"/>
        <color rgb="FFFF99FF"/>
        <rFont val="Arial Nova Cond"/>
        <family val="2"/>
      </rPr>
      <t>Individuo3</t>
    </r>
    <r>
      <rPr>
        <sz val="6"/>
        <color theme="1"/>
        <rFont val="Arial Nova Cond"/>
        <family val="2"/>
      </rPr>
      <t xml:space="preserve"> , </t>
    </r>
    <r>
      <rPr>
        <b/>
        <sz val="6"/>
        <color rgb="FFFF99FF"/>
        <rFont val="Arial Nova Cond"/>
        <family val="2"/>
      </rPr>
      <t>Individuo4</t>
    </r>
    <r>
      <rPr>
        <sz val="6"/>
        <color theme="1"/>
        <rFont val="Arial Nova Cond"/>
        <family val="2"/>
      </rPr>
      <t xml:space="preserve"> } )</t>
    </r>
  </si>
  <si>
    <r>
      <t xml:space="preserve">Class: </t>
    </r>
    <r>
      <rPr>
        <b/>
        <sz val="6"/>
        <color rgb="FFFFC000"/>
        <rFont val="Arial Nova Cond"/>
        <family val="2"/>
      </rPr>
      <t>Classe.B</t>
    </r>
    <r>
      <rPr>
        <sz val="6"/>
        <color theme="1"/>
        <rFont val="Arial Nova Cond"/>
        <family val="2"/>
      </rPr>
      <t xml:space="preserve">
    Annotations:  rdfs:label "Explicação da classe"@pt
    SubClassOf:  </t>
    </r>
    <r>
      <rPr>
        <b/>
        <sz val="6"/>
        <color rgb="FFFFC000"/>
        <rFont val="Arial Nova Cond"/>
        <family val="2"/>
      </rPr>
      <t>Classe.A</t>
    </r>
    <r>
      <rPr>
        <sz val="6"/>
        <color theme="1"/>
        <rFont val="Arial Nova Cond"/>
        <family val="2"/>
      </rPr>
      <t xml:space="preserve">,
                       </t>
    </r>
    <r>
      <rPr>
        <b/>
        <sz val="6"/>
        <color theme="4"/>
        <rFont val="Arial Nova Cond"/>
        <family val="2"/>
      </rPr>
      <t>objprop01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Individuo</t>
    </r>
  </si>
  <si>
    <r>
      <t xml:space="preserve">Class: </t>
    </r>
    <r>
      <rPr>
        <b/>
        <sz val="6"/>
        <color rgb="FFFFC000"/>
        <rFont val="Arial Nova Cond"/>
        <family val="2"/>
      </rPr>
      <t>Classe.B</t>
    </r>
    <r>
      <rPr>
        <sz val="6"/>
        <color theme="1"/>
        <rFont val="Arial Nova Cond"/>
        <family val="2"/>
      </rPr>
      <t xml:space="preserve">
    Annotations:  rdfs:label "Explicação da Classe B"@pt
    SubClassOf:  </t>
    </r>
    <r>
      <rPr>
        <b/>
        <sz val="6"/>
        <color rgb="FFFFC000"/>
        <rFont val="Arial Nova Cond"/>
        <family val="2"/>
      </rPr>
      <t xml:space="preserve">Classe.A </t>
    </r>
    <r>
      <rPr>
        <sz val="6"/>
        <color theme="1"/>
        <rFont val="Arial Nova Cond"/>
        <family val="2"/>
      </rPr>
      <t xml:space="preserve">,
                       </t>
    </r>
    <r>
      <rPr>
        <b/>
        <sz val="6"/>
        <color theme="8" tint="-0.249977111117893"/>
        <rFont val="Arial Nova Cond"/>
        <family val="2"/>
      </rPr>
      <t>objprop01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only</t>
    </r>
    <r>
      <rPr>
        <sz val="6"/>
        <color theme="1"/>
        <rFont val="Arial Nova Cond"/>
        <family val="2"/>
      </rPr>
      <t xml:space="preserve"> </t>
    </r>
    <r>
      <rPr>
        <sz val="6"/>
        <color rgb="FFFFC000"/>
        <rFont val="Arial Nova Cond"/>
        <family val="2"/>
      </rPr>
      <t>Classe.C</t>
    </r>
    <r>
      <rPr>
        <b/>
        <sz val="6"/>
        <color rgb="FFFFC000"/>
        <rFont val="Arial Nova Cond"/>
        <family val="2"/>
      </rPr>
      <t xml:space="preserve"> </t>
    </r>
    <r>
      <rPr>
        <b/>
        <sz val="6"/>
        <color theme="1"/>
        <rFont val="Arial Nova Cond"/>
        <family val="2"/>
      </rPr>
      <t>,</t>
    </r>
    <r>
      <rPr>
        <sz val="6"/>
        <color theme="1"/>
        <rFont val="Arial Nova Cond"/>
        <family val="2"/>
      </rPr>
      <t xml:space="preserve">
                       </t>
    </r>
    <r>
      <rPr>
        <b/>
        <sz val="6"/>
        <color theme="8" tint="-0.249977111117893"/>
        <rFont val="Arial Nova Cond"/>
        <family val="2"/>
      </rPr>
      <t>objprop02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Individuo</t>
    </r>
  </si>
  <si>
    <r>
      <t xml:space="preserve">Class: </t>
    </r>
    <r>
      <rPr>
        <b/>
        <sz val="6"/>
        <color rgb="FFFFC000"/>
        <rFont val="Arial Nova Cond"/>
        <family val="2"/>
      </rPr>
      <t>Classe.B</t>
    </r>
    <r>
      <rPr>
        <sz val="6"/>
        <color theme="1"/>
        <rFont val="Arial Nova Cond"/>
        <family val="2"/>
      </rPr>
      <t xml:space="preserve">
    Annotations:  rdfs:label "Explicação da classe"@pt
    SubClassOf:  </t>
    </r>
    <r>
      <rPr>
        <b/>
        <sz val="6"/>
        <color rgb="FFFFC000"/>
        <rFont val="Arial Nova Cond"/>
        <family val="2"/>
      </rPr>
      <t>Classe.A</t>
    </r>
    <r>
      <rPr>
        <sz val="6"/>
        <color theme="1"/>
        <rFont val="Arial Nova Cond"/>
        <family val="2"/>
      </rPr>
      <t xml:space="preserve">,
                       </t>
    </r>
    <r>
      <rPr>
        <b/>
        <sz val="6"/>
        <color theme="4"/>
        <rFont val="Arial Nova Cond"/>
        <family val="2"/>
      </rPr>
      <t>objprop01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some</t>
    </r>
    <r>
      <rPr>
        <sz val="6"/>
        <color theme="1"/>
        <rFont val="Arial Nova Cond"/>
        <family val="2"/>
      </rPr>
      <t xml:space="preserve"> </t>
    </r>
    <r>
      <rPr>
        <sz val="6"/>
        <color rgb="FFFFC000"/>
        <rFont val="Arial Nova Cond"/>
        <family val="2"/>
      </rPr>
      <t xml:space="preserve">Classe.C </t>
    </r>
    <r>
      <rPr>
        <b/>
        <sz val="6"/>
        <color theme="1"/>
        <rFont val="Arial Nova Cond"/>
        <family val="2"/>
      </rPr>
      <t>,</t>
    </r>
    <r>
      <rPr>
        <sz val="6"/>
        <color theme="1"/>
        <rFont val="Arial Nova Cond"/>
        <family val="2"/>
      </rPr>
      <t xml:space="preserve">
                       </t>
    </r>
    <r>
      <rPr>
        <b/>
        <sz val="6"/>
        <color theme="4"/>
        <rFont val="Arial Nova Cond"/>
        <family val="2"/>
      </rPr>
      <t>objprop01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some</t>
    </r>
    <r>
      <rPr>
        <sz val="6"/>
        <color theme="1"/>
        <rFont val="Arial Nova Cond"/>
        <family val="2"/>
      </rPr>
      <t xml:space="preserve"> </t>
    </r>
    <r>
      <rPr>
        <sz val="6"/>
        <color rgb="FFFFC000"/>
        <rFont val="Arial Nova Cond"/>
        <family val="2"/>
      </rPr>
      <t>Classe.D</t>
    </r>
    <r>
      <rPr>
        <b/>
        <sz val="6"/>
        <color rgb="FFFFC000"/>
        <rFont val="Arial Nova Cond"/>
        <family val="2"/>
      </rPr>
      <t xml:space="preserve"> </t>
    </r>
    <r>
      <rPr>
        <b/>
        <sz val="6"/>
        <color theme="1"/>
        <rFont val="Arial Nova Cond"/>
        <family val="2"/>
      </rPr>
      <t>,</t>
    </r>
    <r>
      <rPr>
        <sz val="6"/>
        <color theme="1"/>
        <rFont val="Arial Nova Cond"/>
        <family val="2"/>
      </rPr>
      <t xml:space="preserve">
                       </t>
    </r>
    <r>
      <rPr>
        <b/>
        <sz val="6"/>
        <color theme="4"/>
        <rFont val="Arial Nova Cond"/>
        <family val="2"/>
      </rPr>
      <t>objprop01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only</t>
    </r>
    <r>
      <rPr>
        <sz val="6"/>
        <color theme="1"/>
        <rFont val="Arial Nova Cond"/>
        <family val="2"/>
      </rPr>
      <t xml:space="preserve"> ( </t>
    </r>
    <r>
      <rPr>
        <sz val="6"/>
        <color rgb="FFFFC000"/>
        <rFont val="Arial Nova Cond"/>
        <family val="2"/>
      </rPr>
      <t>Classe.C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or</t>
    </r>
    <r>
      <rPr>
        <sz val="6"/>
        <color theme="1"/>
        <rFont val="Arial Nova Cond"/>
        <family val="2"/>
      </rPr>
      <t xml:space="preserve"> </t>
    </r>
    <r>
      <rPr>
        <sz val="6"/>
        <color rgb="FFFFC000"/>
        <rFont val="Arial Nova Cond"/>
        <family val="2"/>
      </rPr>
      <t>Classe.D</t>
    </r>
    <r>
      <rPr>
        <sz val="6"/>
        <color theme="1"/>
        <rFont val="Arial Nova Cond"/>
        <family val="2"/>
      </rPr>
      <t xml:space="preserve"> ) </t>
    </r>
    <r>
      <rPr>
        <b/>
        <sz val="6"/>
        <color theme="1"/>
        <rFont val="Arial Nova Cond"/>
        <family val="2"/>
      </rPr>
      <t>,</t>
    </r>
    <r>
      <rPr>
        <sz val="6"/>
        <color theme="1"/>
        <rFont val="Arial Nova Cond"/>
        <family val="2"/>
      </rPr>
      <t xml:space="preserve">
                       </t>
    </r>
    <r>
      <rPr>
        <b/>
        <sz val="6"/>
        <color theme="4"/>
        <rFont val="Arial Nova Cond"/>
        <family val="2"/>
      </rPr>
      <t>objprop02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Individuo</t>
    </r>
  </si>
  <si>
    <r>
      <rPr>
        <b/>
        <sz val="6"/>
        <color rgb="FFFFC000"/>
        <rFont val="Arial Nova Cond"/>
        <family val="2"/>
      </rPr>
      <t>Classe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and</t>
    </r>
    <r>
      <rPr>
        <sz val="6"/>
        <color theme="1"/>
        <rFont val="Arial Nova Cond"/>
        <family val="2"/>
      </rPr>
      <t xml:space="preserve"> </t>
    </r>
    <r>
      <rPr>
        <b/>
        <sz val="6"/>
        <color theme="1"/>
        <rFont val="Arial Nova Cond"/>
        <family val="2"/>
      </rPr>
      <t>(</t>
    </r>
    <r>
      <rPr>
        <sz val="6"/>
        <color theme="1"/>
        <rFont val="Arial Nova Cond"/>
        <family val="2"/>
      </rPr>
      <t xml:space="preserve"> </t>
    </r>
    <r>
      <rPr>
        <b/>
        <sz val="6"/>
        <color theme="4" tint="-0.249977111117893"/>
        <rFont val="Arial Nova Cond"/>
        <family val="2"/>
      </rPr>
      <t>objprop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 xml:space="preserve">Indivíduo </t>
    </r>
    <r>
      <rPr>
        <b/>
        <sz val="6"/>
        <rFont val="Arial Nova Cond"/>
        <family val="2"/>
      </rPr>
      <t>)</t>
    </r>
  </si>
  <si>
    <t>Filtros DL possíveis</t>
  </si>
  <si>
    <r>
      <t xml:space="preserve">Norma.Nacional </t>
    </r>
    <r>
      <rPr>
        <b/>
        <sz val="6"/>
        <color rgb="FF00B0F0"/>
        <rFont val="Arial Nova Cond"/>
        <family val="2"/>
      </rPr>
      <t>and</t>
    </r>
    <r>
      <rPr>
        <sz val="6"/>
        <color theme="1"/>
        <rFont val="Arial Nova Cond"/>
        <family val="2"/>
      </rPr>
      <t xml:space="preserve"> </t>
    </r>
    <r>
      <rPr>
        <b/>
        <sz val="6"/>
        <color theme="8" tint="-0.249977111117893"/>
        <rFont val="Arial Nova Cond"/>
        <family val="2"/>
      </rPr>
      <t>tem.siscla.equiv</t>
    </r>
    <r>
      <rPr>
        <sz val="6"/>
        <color theme="1"/>
        <rFont val="Arial Nova Cond"/>
        <family val="2"/>
      </rPr>
      <t xml:space="preserve">  </t>
    </r>
    <r>
      <rPr>
        <b/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Omni.41</t>
    </r>
  </si>
  <si>
    <r>
      <t xml:space="preserve">(é.unidade.funcional.sus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UF.EME and Prédio) and</t>
    </r>
    <r>
      <rPr>
        <b/>
        <sz val="6"/>
        <color theme="8" tint="-0.249977111117893"/>
        <rFont val="Arial Nova Cond"/>
        <family val="2"/>
      </rPr>
      <t xml:space="preserve"> é.dentro.de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Copacabana</t>
    </r>
  </si>
  <si>
    <r>
      <t xml:space="preserve">ObjetoBIM and é.tema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Tema.Estrutura</t>
    </r>
  </si>
  <si>
    <r>
      <t xml:space="preserve">ObjetoBIM and é.tema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Tema.Saúde</t>
    </r>
  </si>
  <si>
    <r>
      <t xml:space="preserve">Ambiente and é.localizado 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Rio.de.Janeiro</t>
    </r>
  </si>
  <si>
    <r>
      <t xml:space="preserve">Prédio and é.localizado 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Rio.de.Janeiro</t>
    </r>
  </si>
  <si>
    <r>
      <t xml:space="preserve">Bairro and ( é.localizado  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AP.1</t>
    </r>
    <r>
      <rPr>
        <sz val="6"/>
        <color theme="1"/>
        <rFont val="Arial Nova Cond"/>
        <family val="2"/>
      </rPr>
      <t>)</t>
    </r>
  </si>
  <si>
    <r>
      <t xml:space="preserve">Bairro and ( é.localizado 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RA.12</t>
    </r>
    <r>
      <rPr>
        <sz val="6"/>
        <color theme="1"/>
        <rFont val="Arial Nova Cond"/>
        <family val="2"/>
      </rPr>
      <t>)</t>
    </r>
  </si>
  <si>
    <t>-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</si>
  <si>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</si>
  <si>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</si>
  <si>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</si>
  <si>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</si>
  <si>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</si>
  <si>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5</t>
  </si>
  <si>
    <t>Anotações 
de ajuda
Classe 3</t>
  </si>
  <si>
    <t>Anotações 
de ajuda
Classe 1</t>
  </si>
  <si>
    <t>Anotações 
de ajuda
Classe 2</t>
  </si>
  <si>
    <t>Fato</t>
  </si>
  <si>
    <t>Indivíduo</t>
  </si>
  <si>
    <t>Valor</t>
  </si>
  <si>
    <t>Chave</t>
  </si>
  <si>
    <t>RaizClass</t>
  </si>
  <si>
    <t>RaizProp</t>
  </si>
  <si>
    <t>RaizData</t>
  </si>
  <si>
    <t>URI</t>
  </si>
  <si>
    <t>Autor</t>
  </si>
  <si>
    <t>Edição</t>
  </si>
  <si>
    <t>ISBN</t>
  </si>
  <si>
    <t>Observações</t>
  </si>
  <si>
    <t>OntologiaPrefixo</t>
  </si>
  <si>
    <t>OntologiaTema</t>
  </si>
  <si>
    <t>BIM</t>
  </si>
  <si>
    <t>https://github.com/JLMenegotto/RepoOnto#</t>
  </si>
  <si>
    <t>Organização</t>
  </si>
  <si>
    <t>Escola Politécnica da UFRJ</t>
  </si>
  <si>
    <t>NormaNúmero</t>
  </si>
  <si>
    <t>NormaEscopo</t>
  </si>
  <si>
    <t>NormaReferência1</t>
  </si>
  <si>
    <t>NormaReferência2</t>
  </si>
  <si>
    <t>NormaReferência3</t>
  </si>
  <si>
    <t>DataHora</t>
  </si>
  <si>
    <t>Prédio</t>
  </si>
  <si>
    <t>Cidade</t>
  </si>
  <si>
    <t>Explicação</t>
  </si>
  <si>
    <t>Explicación</t>
  </si>
  <si>
    <t>bim:</t>
  </si>
  <si>
    <t>0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</si>
  <si>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</si>
  <si>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</si>
  <si>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</si>
  <si>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</si>
  <si>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</si>
  <si>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</si>
  <si>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</si>
  <si>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</si>
  <si>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000 Tradução Classe 5</t>
  </si>
  <si>
    <t>000 Traducción Classe 5</t>
  </si>
  <si>
    <t>Interop</t>
  </si>
  <si>
    <t>Especie</t>
  </si>
  <si>
    <t>Interdisciplinar</t>
  </si>
  <si>
    <t>N°</t>
  </si>
  <si>
    <t>Val</t>
  </si>
  <si>
    <t>Red</t>
  </si>
  <si>
    <t>Green</t>
  </si>
  <si>
    <t>Blue</t>
  </si>
  <si>
    <t>Alfa</t>
  </si>
  <si>
    <t>Cor.Digital</t>
  </si>
  <si>
    <t>Cromática</t>
  </si>
  <si>
    <t>Conceitos de elementos cromáticos</t>
  </si>
  <si>
    <t>Formalizar conceitos de elementos cromáticos</t>
  </si>
  <si>
    <t>Formalizar conceptos de elementos cromáticos</t>
  </si>
  <si>
    <t>Classe</t>
  </si>
  <si>
    <t>Equivalente a</t>
  </si>
  <si>
    <t>Cinza.Claro</t>
  </si>
  <si>
    <t>Cinza.Medio</t>
  </si>
  <si>
    <t>Cinza.Escuro</t>
  </si>
  <si>
    <t>Canal.R</t>
  </si>
  <si>
    <t>Canal.G</t>
  </si>
  <si>
    <t>Canal.B</t>
  </si>
  <si>
    <t>Canal.A</t>
  </si>
  <si>
    <t>Puro.R</t>
  </si>
  <si>
    <t>Puro.G</t>
  </si>
  <si>
    <t>Puro.B</t>
  </si>
  <si>
    <t>Pantone</t>
  </si>
  <si>
    <t xml:space="preserve">Cor.Pantone </t>
  </si>
  <si>
    <t>DNIT</t>
  </si>
  <si>
    <t xml:space="preserve">Cor.Dnit </t>
  </si>
  <si>
    <t>Pantone.116.C</t>
  </si>
  <si>
    <t>Catálogo</t>
  </si>
  <si>
    <t>Pantone.370.C</t>
  </si>
  <si>
    <t>Pantone.3425.C</t>
  </si>
  <si>
    <t>é.usado.por</t>
  </si>
  <si>
    <t>Magenta</t>
  </si>
  <si>
    <t>Cyan</t>
  </si>
  <si>
    <t>Yellow</t>
  </si>
  <si>
    <t>Black</t>
  </si>
  <si>
    <t>CMY</t>
  </si>
  <si>
    <t>CMYB</t>
  </si>
  <si>
    <t>RGB</t>
  </si>
  <si>
    <t>RGBA</t>
  </si>
  <si>
    <t>Paleta.DNIT</t>
  </si>
  <si>
    <t>Paleta.Pantone</t>
  </si>
  <si>
    <t>nome</t>
  </si>
  <si>
    <t>"Paleta Cromática DNIT"</t>
  </si>
  <si>
    <t>"Federal"</t>
  </si>
  <si>
    <t>esfera</t>
  </si>
  <si>
    <t>"Paleta Cromática Pantone"</t>
  </si>
  <si>
    <t>"https://pantonecolors.net"</t>
  </si>
  <si>
    <t>url</t>
  </si>
  <si>
    <t>descrição</t>
  </si>
  <si>
    <t>"Cores utilizadas pelo DNIT para as placas da rede viária"</t>
  </si>
  <si>
    <t>é.pertencente.a</t>
  </si>
  <si>
    <t>marca</t>
  </si>
  <si>
    <t>"Pantone"</t>
  </si>
  <si>
    <t>Cor.Sub.01</t>
  </si>
  <si>
    <t>Cor.Sub.02</t>
  </si>
  <si>
    <t>Cor.Adi.01</t>
  </si>
  <si>
    <t>Cor.Adi.02</t>
  </si>
  <si>
    <t>Munsell</t>
  </si>
  <si>
    <t>Matiz.RP</t>
  </si>
  <si>
    <t>Matiz.P</t>
  </si>
  <si>
    <t>Matiz.PB</t>
  </si>
  <si>
    <t>Matiz.B</t>
  </si>
  <si>
    <t>Matiz.BG</t>
  </si>
  <si>
    <t>Matiz.G</t>
  </si>
  <si>
    <t>Matiz.GY</t>
  </si>
  <si>
    <t>Matiz.Y</t>
  </si>
  <si>
    <t>Matiz.YR</t>
  </si>
  <si>
    <t>Matiz.R</t>
  </si>
  <si>
    <t>Sistema.Munsell</t>
  </si>
  <si>
    <t>"Sistema de cores Munsell"</t>
  </si>
  <si>
    <t>N10</t>
  </si>
  <si>
    <t>N00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</si>
  <si>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</si>
  <si>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</si>
  <si>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</si>
  <si>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</si>
  <si>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</si>
  <si>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</si>
  <si>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</si>
  <si>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</si>
  <si>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</si>
  <si>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"Nível de luminosidade 10 superior de valor branco"</t>
  </si>
  <si>
    <t>Hue</t>
  </si>
  <si>
    <t>Luminosidade</t>
  </si>
  <si>
    <t>Croma</t>
  </si>
  <si>
    <t>C00</t>
  </si>
  <si>
    <t>C01</t>
  </si>
  <si>
    <t>C05</t>
  </si>
  <si>
    <t>C10</t>
  </si>
  <si>
    <t>C20</t>
  </si>
  <si>
    <t>valor</t>
  </si>
  <si>
    <t>"2.5YR6/14"</t>
  </si>
  <si>
    <t>"2.5YR2/4"</t>
  </si>
  <si>
    <t>"N3.5"</t>
  </si>
  <si>
    <t>"N9.5"</t>
  </si>
  <si>
    <t>"5Y8/12"</t>
  </si>
  <si>
    <t>"N6.5"</t>
  </si>
  <si>
    <t>"2.5PB4/10"</t>
  </si>
  <si>
    <t>"Neutra"</t>
  </si>
  <si>
    <t>"2.5G3/4"</t>
  </si>
  <si>
    <t>"5R4/14"</t>
  </si>
  <si>
    <t>"N1"</t>
  </si>
  <si>
    <t>YR.segurança</t>
  </si>
  <si>
    <t>Y.segurança</t>
  </si>
  <si>
    <t>B.segurança</t>
  </si>
  <si>
    <t>Branco</t>
  </si>
  <si>
    <t>Preto</t>
  </si>
  <si>
    <t>G.emblema</t>
  </si>
  <si>
    <t>R.segurança</t>
  </si>
  <si>
    <t xml:space="preserve">M.canalização </t>
  </si>
  <si>
    <t>C.claro</t>
  </si>
  <si>
    <t>C.escuro</t>
  </si>
  <si>
    <t>C.alumínio</t>
  </si>
  <si>
    <t>"Cor Branca"</t>
  </si>
  <si>
    <t>"Cor Cinza clara"</t>
  </si>
  <si>
    <t>"Cor Cinza escuro"</t>
  </si>
  <si>
    <t>"Cor Cinza alumínio"</t>
  </si>
  <si>
    <t>"Cor Marrom de canalização"</t>
  </si>
  <si>
    <t>"Cor Preta"</t>
  </si>
  <si>
    <t>"Cor Verde Emblema"</t>
  </si>
  <si>
    <t>"Cor Vermelho ou Red de segurança"</t>
  </si>
  <si>
    <t>usado.por</t>
  </si>
  <si>
    <t xml:space="preserve">"Usado em tubulações industrias de produtos químicos não gasosos"  </t>
  </si>
  <si>
    <t>"Usado em tubulações industrias de gases não liquefeitos"</t>
  </si>
  <si>
    <t xml:space="preserve">"Usado em tubulações industrias de ar comprimido" </t>
  </si>
  <si>
    <t>"Usado em tubulações industrias de vapor"</t>
  </si>
  <si>
    <t>"Usado em tubulações industrias de vácuo"</t>
  </si>
  <si>
    <t>"Usado em tubulações industrias de eletroduto"</t>
  </si>
  <si>
    <t>"Usado em tubulações industrias de gases liquefeitos, inflamáveis e combustíveis de baixa viscosidade como óleo diesel, gasolina, querosene, óleo lubrificante e solventes"</t>
  </si>
  <si>
    <t>"Usado em tubulações industrias de materiais fragmentados como minérios, petróleo bruto"</t>
  </si>
  <si>
    <t>"Usado em tubulações industrias de inflamáveis e combustíveis de alta viscosidade como óleo combustível, asfalto, alcatrão ou piche"</t>
  </si>
  <si>
    <t>"Usado em tubulações industrias de água, exceto a destinada a combater incêndio"</t>
  </si>
  <si>
    <t>"Usado em tubulações industrias de água e outras substâncias destinadas a combater incêndio"</t>
  </si>
  <si>
    <t>"NBR 6493"</t>
  </si>
  <si>
    <t>norma</t>
  </si>
  <si>
    <t>Cor.Munsell</t>
  </si>
  <si>
    <t>Cor específica do sistema Munsell.</t>
  </si>
  <si>
    <t>Cor específica do catálogo Pantone.</t>
  </si>
  <si>
    <t>Cor digital composta pelos canais RGBA. O canal A define transparência.</t>
  </si>
  <si>
    <t>Sistema de cor Munsell: Parâmetro Croma. É o grau de afastamento de uma cor em relação à cor neutra de mesmo valor. Um baixo croma enfraquece a cor. Um croma alto para cor saturada, forte ou vívida.</t>
  </si>
  <si>
    <t>Sistema de cor Munsell: Parâmetro Luminosidade.</t>
  </si>
  <si>
    <t>Sistema de cor Munsell: Parâmetro Matiz.</t>
  </si>
  <si>
    <t>Cor digital composta pelos canais RGB.</t>
  </si>
  <si>
    <t>Cor digital composta pelos canais CMYB.</t>
  </si>
  <si>
    <t>Cor digital composta pelos canais CMY.</t>
  </si>
  <si>
    <t>Quantidade de cor azul entre que pode variar 0 e 255.</t>
  </si>
  <si>
    <t>Quantidade de cor vermelho que pode variar entre 0 e 255.</t>
  </si>
  <si>
    <t>Quantidade de cor amarelo entre que pode variar 0 e 255.</t>
  </si>
  <si>
    <t>Quantidade de cor magenta que pode variar entre 0 e 255.</t>
  </si>
  <si>
    <t>Quantidade de cor ciano que pode variar entre 0 e 255.</t>
  </si>
  <si>
    <t>Quantidade de cor preto entre que pode variar 0 e 255.</t>
  </si>
  <si>
    <t>Quantidade de cor verde entre que pode variar 0 e 255.</t>
  </si>
  <si>
    <t>Quantidade de transparência que pode variar entre 0 e 255.</t>
  </si>
  <si>
    <t>Cores do catálogo Departamento Nacional de Infraestrutura de Transportes do Brasil.</t>
  </si>
  <si>
    <t>CategoriaRvt</t>
  </si>
  <si>
    <t>ClasseIfc</t>
  </si>
  <si>
    <t>ABNT</t>
  </si>
  <si>
    <t>000 Translate Classe 5</t>
  </si>
  <si>
    <t>Explanation</t>
  </si>
  <si>
    <t>Prof. José Luis Menegotto - DEG/POLI/UFRJ</t>
  </si>
  <si>
    <t>Idioma</t>
  </si>
  <si>
    <t>pt</t>
  </si>
  <si>
    <t>es</t>
  </si>
  <si>
    <t>en</t>
  </si>
  <si>
    <t>Aviso</t>
  </si>
  <si>
    <t>Alert</t>
  </si>
  <si>
    <t>Advertência</t>
  </si>
  <si>
    <t xml:space="preserve">Traduções ao espanhol e ao inglês incorporadas - As traduções devem ser constantemente revisadas </t>
  </si>
  <si>
    <t>"Canal Vermelho ( R )"</t>
  </si>
  <si>
    <t>"Canal Verde ( G )"</t>
  </si>
  <si>
    <t>"Canal Azul ( B )"</t>
  </si>
  <si>
    <t>"Canal de transparência Alfa"</t>
  </si>
  <si>
    <t>Contêiner</t>
  </si>
  <si>
    <t>Informação</t>
  </si>
  <si>
    <t>Define um contêiner de informação de acordo à norma NBR 19650-1. Definição do Projeto.</t>
  </si>
  <si>
    <t>Define un contenedor de información de acuerdo con la norma NBR 19650-1.</t>
  </si>
  <si>
    <t>Gestão</t>
  </si>
  <si>
    <t>Requisito.Espacial</t>
  </si>
  <si>
    <t>Define um contêiner de informação de acordo à norma NBR 19650-1. Requerimentos Espaciais para o Projeto.</t>
  </si>
  <si>
    <t>Requisito.Mobiliário</t>
  </si>
  <si>
    <t>Define um contêiner de informação de acordo à norma NBR 19650-1. Requerimentos Mobiliários para o Projeto.</t>
  </si>
  <si>
    <t>Requisito.Equipamento</t>
  </si>
  <si>
    <t>Define um contêiner de informação de acordo à norma NBR 19650-1. Requerimentos Equipamentos para o Projeto.</t>
  </si>
  <si>
    <t>Requisito.Sistemas</t>
  </si>
  <si>
    <t>Define um contêiner de informação de acordo à norma NBR 19650-1. Requerimentos de Sistemas Prediais para o Projeto.</t>
  </si>
  <si>
    <t>"Cor Pantone utilizada no catálogo do DNIT"</t>
  </si>
  <si>
    <t>"Cores padronizadas do sistema Pantone Matching System"</t>
  </si>
  <si>
    <t>"É uma cor formada pelos canais RGB"</t>
  </si>
  <si>
    <t>"É a cor Cinza aditivo claro"</t>
  </si>
  <si>
    <t>"É a cor Cinza aditivo médio"</t>
  </si>
  <si>
    <t>"É a cor Cinza aditivo escuro"</t>
  </si>
  <si>
    <t>"É a cor Vermelha aditiva pura"</t>
  </si>
  <si>
    <t>"É a cor Verde aditiva pura"</t>
  </si>
  <si>
    <t>"É a cor Azul aditiva pura"</t>
  </si>
  <si>
    <t>"É componente de Sistema Munsell - Matiz (HUE) red-purple"</t>
  </si>
  <si>
    <t>"É componente de Sistema Munsell - Matiz (HUE) purple"</t>
  </si>
  <si>
    <t>"É componente de Sistema Munsell - Matiz (HUE) purple-blue"</t>
  </si>
  <si>
    <t>"É componente de Sistema Munsell - Matiz (HUE) blue"</t>
  </si>
  <si>
    <t>"É componente de Sistema Munsell - Matiz (HUE) blue-green"</t>
  </si>
  <si>
    <t>"É componente de Sistema Munsell - Matiz (HUE) green"</t>
  </si>
  <si>
    <t>"É componente de Sistema Munsell - Matiz (HUE) green-yellow"</t>
  </si>
  <si>
    <t>"É componente de Sistema Munsell - Matiz (HUE) yellow"</t>
  </si>
  <si>
    <t>"É componente de Sistema Munsell - Matiz (HUE) yellow-red"</t>
  </si>
  <si>
    <t>"É componente de Sistema Munsell - Matiz (HUE) red"</t>
  </si>
  <si>
    <t>"Nível de luminosidade de Sistema Munsell 9 intermédio superior claros"</t>
  </si>
  <si>
    <t>"Nível de luminosidade de Sistema Munsell 8 intermédio superior claros"</t>
  </si>
  <si>
    <t>"Nível de luminosidade de Sistema Munsell 7 intermédio superior claros"</t>
  </si>
  <si>
    <t>"Nível de luminosidade de Sistema Munsell 6 intermédio superior claros"</t>
  </si>
  <si>
    <t>"Nível de luminosidade de Sistema Munsell 5 intermédio central"</t>
  </si>
  <si>
    <t>"Nível de luminosidade de Sistema Munsell 4 intermédio inferior escuros"</t>
  </si>
  <si>
    <t>"Nível de luminosidade de Sistema Munsell 3 intermédio inferior escuros"</t>
  </si>
  <si>
    <t>"Nível de luminosidade de Sistema Munsell 2 intermédio inferior escuros"</t>
  </si>
  <si>
    <t>"Nível de luminosidade de Sistema Munsell 1 intermédio inferior escuros"</t>
  </si>
  <si>
    <t>"Nível de luminosidade de Sistema Munsell 0 inferior de valor negro"</t>
  </si>
  <si>
    <t>"Nível de cromaticidade de Sistema Munsell 0 é o cinza neutro"</t>
  </si>
  <si>
    <t>"Nível de cromaticidade de Sistema Munsell 1 é uma cor fraca"</t>
  </si>
  <si>
    <t>"Nível de cromaticidade de Sistema Munsell 5 é uma cor fraca"</t>
  </si>
  <si>
    <t>"Nível de cromaticidade de Sistema Munsell 10 é uma cor forte saturada"</t>
  </si>
  <si>
    <t>"Nível de cromaticidade de Sistema Munsell 20 é uma cor altamente saturada"</t>
  </si>
  <si>
    <t>"Cor Laranja ou Red Yellow de segurança"</t>
  </si>
  <si>
    <t>"Cor Amarelo ou Yellow de segurança"</t>
  </si>
  <si>
    <t>"Cor Azul ou Blue de segurança"</t>
  </si>
  <si>
    <t xml:space="preserve">é.cyan min 0   ,  é.cyan max 255  </t>
  </si>
  <si>
    <t xml:space="preserve">é.magenta min 0   ,  é.magenta max 255  </t>
  </si>
  <si>
    <t xml:space="preserve">é.yellow min 0   ,  é.yellow max 255  </t>
  </si>
  <si>
    <t xml:space="preserve">é.black min 0   ,  é.black max 255  </t>
  </si>
  <si>
    <t xml:space="preserve">é.red min 0   ,  é.red max 255  </t>
  </si>
  <si>
    <t xml:space="preserve">é.green min 0   ,  é.green max 255  </t>
  </si>
  <si>
    <t xml:space="preserve">é.blue min 0   ,  é.blue max 255  </t>
  </si>
  <si>
    <t xml:space="preserve">é.alfa min 0   ,  é.alfa max 255  </t>
  </si>
  <si>
    <t xml:space="preserve">cyan exactly 1  , magenta exactly 1  , yellow exactly 1 </t>
  </si>
  <si>
    <t xml:space="preserve">cyan exactly 1  , magenta exactly 1  , yellow exactly 1  , black exactly 1 </t>
  </si>
  <si>
    <t xml:space="preserve">red exactly 1  , green exactly 1  , blue exactly 1 </t>
  </si>
  <si>
    <t xml:space="preserve">red exactly 1  , green exactly 1  , blue exactly 1  , alfa exactly 1 </t>
  </si>
  <si>
    <t>Red and Green and  Blue</t>
  </si>
  <si>
    <t>Red and Green and  Blue and Alfa</t>
  </si>
  <si>
    <t xml:space="preserve">Cyan and Magenta and  Yellow </t>
  </si>
  <si>
    <t>Cyan and Magenta and  Yellow and Black</t>
  </si>
  <si>
    <t>Canal.de.Cor</t>
  </si>
  <si>
    <t>Cor.RGB</t>
  </si>
  <si>
    <t>Cor.CMY</t>
  </si>
  <si>
    <t>Cor.RGBA</t>
  </si>
  <si>
    <t>Cor.CMYB</t>
  </si>
  <si>
    <t>"É uma cor RGB"</t>
  </si>
  <si>
    <t>"É uma cor RGBA"</t>
  </si>
  <si>
    <t>"É uma cor CMY"</t>
  </si>
  <si>
    <t>"É uma cor CMYB"</t>
  </si>
  <si>
    <t>"É uma cor formada pelos canais CMY"</t>
  </si>
  <si>
    <t xml:space="preserve">canal.alfa min 0   ,  canal.alfa max 255  </t>
  </si>
  <si>
    <t xml:space="preserve">canal.green min 0   ,  canal.green max 255  </t>
  </si>
  <si>
    <t xml:space="preserve">canal.black min 0   ,  canal.black max 255  </t>
  </si>
  <si>
    <t xml:space="preserve">canal.red min 0  ,  canal.red max 255  </t>
  </si>
  <si>
    <t xml:space="preserve">canal.cyan min 0 , canal.cyan max 255  </t>
  </si>
  <si>
    <t xml:space="preserve">canal.magenta min 0   ,  canal.magenta max 255  </t>
  </si>
  <si>
    <t xml:space="preserve">canal.yellow min 0 ,  canal.yellow max 255  </t>
  </si>
  <si>
    <t xml:space="preserve">canal.blue min 0   ,  canal.blue max 255  </t>
  </si>
  <si>
    <t>canal.red</t>
  </si>
  <si>
    <t>canal.green</t>
  </si>
  <si>
    <t>canal.blue</t>
  </si>
  <si>
    <t>canal.alfa</t>
  </si>
  <si>
    <t>canal.cyan</t>
  </si>
  <si>
    <t>canal.magenta</t>
  </si>
  <si>
    <t>canal.yellow</t>
  </si>
  <si>
    <t>cor.rgb</t>
  </si>
  <si>
    <t>cor.cmy</t>
  </si>
  <si>
    <t>Contêineres</t>
  </si>
  <si>
    <t>[ 5I ]</t>
  </si>
  <si>
    <t>Conceitos</t>
  </si>
  <si>
    <t>Cromáticos</t>
  </si>
  <si>
    <t>Paletas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</si>
</sst>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name val="Arial Nova Cond"/>
      <family val="2"/>
    </font>
    <font>
      <sz val="6"/>
      <color theme="1"/>
      <name val="Arial Nova Cond"/>
      <family val="2"/>
    </font>
    <font>
      <b/>
      <sz val="6"/>
      <name val="Arial Nova Cond"/>
      <family val="2"/>
    </font>
    <font>
      <i/>
      <sz val="6"/>
      <name val="Arial Nova Cond"/>
      <family val="2"/>
    </font>
    <font>
      <b/>
      <sz val="6"/>
      <color theme="1"/>
      <name val="Arial Nova Cond"/>
      <family val="2"/>
    </font>
    <font>
      <b/>
      <sz val="6"/>
      <color rgb="FFFFC000"/>
      <name val="Arial Nova Cond"/>
      <family val="2"/>
    </font>
    <font>
      <sz val="6"/>
      <color theme="8"/>
      <name val="Arial Nova Cond"/>
      <family val="2"/>
    </font>
    <font>
      <b/>
      <sz val="6"/>
      <color rgb="FFFF99FF"/>
      <name val="Arial Nova Cond"/>
      <family val="2"/>
    </font>
    <font>
      <b/>
      <sz val="6"/>
      <color theme="4"/>
      <name val="Arial Nova Cond"/>
      <family val="2"/>
    </font>
    <font>
      <sz val="6"/>
      <color rgb="FF00B0F0"/>
      <name val="Arial Nova Cond"/>
      <family val="2"/>
    </font>
    <font>
      <b/>
      <sz val="6"/>
      <color theme="8" tint="-0.249977111117893"/>
      <name val="Arial Nova Cond"/>
      <family val="2"/>
    </font>
    <font>
      <sz val="6"/>
      <color rgb="FFFFC000"/>
      <name val="Arial Nova Cond"/>
      <family val="2"/>
    </font>
    <font>
      <b/>
      <sz val="6"/>
      <color theme="4" tint="-0.249977111117893"/>
      <name val="Arial Nova Cond"/>
      <family val="2"/>
    </font>
    <font>
      <b/>
      <sz val="6"/>
      <color rgb="FF00B0F0"/>
      <name val="Arial Nova Cond"/>
      <family val="2"/>
    </font>
    <font>
      <sz val="8"/>
      <color theme="1"/>
      <name val="Arial Nova Cond"/>
      <family val="2"/>
    </font>
    <font>
      <b/>
      <sz val="6"/>
      <color theme="1"/>
      <name val="Arial Nova Cond Light"/>
      <family val="2"/>
    </font>
    <font>
      <sz val="6"/>
      <color theme="1"/>
      <name val="Arial Nova Cond Light"/>
      <family val="2"/>
    </font>
    <font>
      <sz val="6"/>
      <color rgb="FF000000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 Light"/>
      <family val="2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3" borderId="1" xfId="0" applyFont="1" applyFill="1" applyBorder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7" fillId="13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9" fillId="12" borderId="1" xfId="0" applyFont="1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22" fontId="18" fillId="0" borderId="1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vertical="center"/>
    </xf>
    <xf numFmtId="0" fontId="22" fillId="16" borderId="3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left" vertical="center" wrapText="1"/>
    </xf>
    <xf numFmtId="0" fontId="21" fillId="16" borderId="3" xfId="0" applyFont="1" applyFill="1" applyBorder="1" applyAlignment="1">
      <alignment horizontal="left" vertical="center" wrapText="1"/>
    </xf>
    <xf numFmtId="0" fontId="22" fillId="15" borderId="3" xfId="0" applyFont="1" applyFill="1" applyBorder="1" applyAlignment="1">
      <alignment horizontal="left" vertical="center" wrapText="1"/>
    </xf>
    <xf numFmtId="0" fontId="22" fillId="15" borderId="2" xfId="0" applyFont="1" applyFill="1" applyBorder="1" applyAlignment="1">
      <alignment horizontal="left" vertical="center" wrapText="1"/>
    </xf>
    <xf numFmtId="0" fontId="18" fillId="6" borderId="3" xfId="0" applyFont="1" applyFill="1" applyBorder="1" applyAlignment="1">
      <alignment vertical="center"/>
    </xf>
    <xf numFmtId="0" fontId="23" fillId="6" borderId="3" xfId="0" applyFont="1" applyFill="1" applyBorder="1" applyAlignment="1">
      <alignment vertical="center"/>
    </xf>
    <xf numFmtId="0" fontId="23" fillId="6" borderId="3" xfId="0" applyFont="1" applyFill="1" applyBorder="1" applyAlignment="1">
      <alignment horizontal="left" vertical="center"/>
    </xf>
    <xf numFmtId="0" fontId="23" fillId="3" borderId="3" xfId="0" applyFont="1" applyFill="1" applyBorder="1" applyAlignment="1">
      <alignment horizontal="left" vertical="center"/>
    </xf>
    <xf numFmtId="0" fontId="23" fillId="5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left" vertical="center"/>
    </xf>
    <xf numFmtId="0" fontId="23" fillId="10" borderId="1" xfId="0" applyFont="1" applyFill="1" applyBorder="1" applyAlignment="1">
      <alignment horizontal="left" vertical="center"/>
    </xf>
    <xf numFmtId="164" fontId="18" fillId="9" borderId="1" xfId="0" applyNumberFormat="1" applyFont="1" applyFill="1" applyBorder="1" applyAlignment="1">
      <alignment horizontal="left" vertical="center"/>
    </xf>
    <xf numFmtId="0" fontId="17" fillId="8" borderId="1" xfId="0" applyFont="1" applyFill="1" applyBorder="1" applyAlignment="1">
      <alignment vertical="center"/>
    </xf>
    <xf numFmtId="0" fontId="24" fillId="14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left" vertical="center" wrapText="1"/>
    </xf>
    <xf numFmtId="0" fontId="19" fillId="17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3" fillId="6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18" fillId="11" borderId="1" xfId="0" applyFont="1" applyFill="1" applyBorder="1" applyAlignment="1">
      <alignment horizontal="left" vertical="center"/>
    </xf>
    <xf numFmtId="164" fontId="18" fillId="10" borderId="1" xfId="0" applyNumberFormat="1" applyFont="1" applyFill="1" applyBorder="1" applyAlignment="1">
      <alignment horizontal="left" vertical="center"/>
    </xf>
    <xf numFmtId="0" fontId="17" fillId="13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left" vertical="center"/>
    </xf>
    <xf numFmtId="0" fontId="23" fillId="4" borderId="4" xfId="0" applyFont="1" applyFill="1" applyBorder="1" applyAlignment="1">
      <alignment vertical="center"/>
    </xf>
    <xf numFmtId="0" fontId="19" fillId="11" borderId="1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left" vertical="center"/>
    </xf>
    <xf numFmtId="0" fontId="23" fillId="11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5" fillId="15" borderId="1" xfId="0" applyFont="1" applyFill="1" applyBorder="1" applyAlignment="1">
      <alignment horizontal="left" vertical="center" wrapText="1"/>
    </xf>
    <xf numFmtId="0" fontId="19" fillId="18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22" fontId="18" fillId="0" borderId="1" xfId="0" applyNumberFormat="1" applyFont="1" applyBorder="1" applyAlignment="1">
      <alignment vertical="center"/>
    </xf>
    <xf numFmtId="0" fontId="19" fillId="2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left" vertical="center"/>
    </xf>
    <xf numFmtId="0" fontId="18" fillId="18" borderId="3" xfId="0" applyFont="1" applyFill="1" applyBorder="1" applyAlignment="1">
      <alignment vertical="center"/>
    </xf>
    <xf numFmtId="0" fontId="18" fillId="18" borderId="1" xfId="0" applyFont="1" applyFill="1" applyBorder="1" applyAlignment="1">
      <alignment vertical="center"/>
    </xf>
    <xf numFmtId="0" fontId="23" fillId="16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9" fillId="6" borderId="1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 vertical="center" wrapText="1"/>
    </xf>
    <xf numFmtId="0" fontId="21" fillId="16" borderId="3" xfId="0" applyFont="1" applyFill="1" applyBorder="1" applyAlignment="1">
      <alignment vertical="center" wrapText="1"/>
    </xf>
    <xf numFmtId="0" fontId="23" fillId="16" borderId="1" xfId="0" applyFont="1" applyFill="1" applyBorder="1" applyAlignment="1">
      <alignment vertical="center"/>
    </xf>
    <xf numFmtId="0" fontId="18" fillId="3" borderId="1" xfId="0" applyFont="1" applyFill="1" applyBorder="1" applyAlignment="1">
      <alignment vertical="center"/>
    </xf>
    <xf numFmtId="0" fontId="23" fillId="3" borderId="3" xfId="0" applyFont="1" applyFill="1" applyBorder="1" applyAlignment="1">
      <alignment vertical="center"/>
    </xf>
    <xf numFmtId="0" fontId="22" fillId="16" borderId="2" xfId="0" applyFont="1" applyFill="1" applyBorder="1" applyAlignment="1">
      <alignment horizontal="left" vertical="center" wrapText="1"/>
    </xf>
    <xf numFmtId="0" fontId="19" fillId="20" borderId="1" xfId="0" applyFont="1" applyFill="1" applyBorder="1" applyAlignment="1">
      <alignment horizontal="left" vertical="center"/>
    </xf>
  </cellXfs>
  <cellStyles count="1">
    <cellStyle name="Normal" xfId="0" builtinId="0"/>
  </cellStyles>
  <dxfs count="18"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613C-8B96-43A0-BB50-A45AC26373E3}">
  <dimension ref="A1:C26"/>
  <sheetViews>
    <sheetView zoomScale="190" zoomScaleNormal="190" workbookViewId="0">
      <pane ySplit="1" topLeftCell="A2" activePane="bottomLeft" state="frozen"/>
      <selection activeCell="C18" sqref="C18"/>
      <selection pane="bottomLeft" activeCell="F10" sqref="F10"/>
    </sheetView>
  </sheetViews>
  <sheetFormatPr defaultColWidth="3.3046875" defaultRowHeight="9.75" customHeight="1" x14ac:dyDescent="0.4"/>
  <cols>
    <col min="1" max="1" width="9.69140625" style="12" customWidth="1"/>
    <col min="2" max="2" width="51.69140625" style="12" customWidth="1"/>
    <col min="3" max="3" width="3.3828125" style="62" bestFit="1" customWidth="1"/>
    <col min="4" max="16384" width="3.3046875" style="12"/>
  </cols>
  <sheetData>
    <row r="1" spans="1:3" ht="27" customHeight="1" x14ac:dyDescent="0.4">
      <c r="A1" s="13" t="s">
        <v>51</v>
      </c>
      <c r="B1" s="13" t="s">
        <v>50</v>
      </c>
      <c r="C1" s="49" t="s">
        <v>252</v>
      </c>
    </row>
    <row r="2" spans="1:3" ht="7" customHeight="1" x14ac:dyDescent="0.4">
      <c r="A2" s="14" t="s">
        <v>60</v>
      </c>
      <c r="B2" s="14" t="s">
        <v>76</v>
      </c>
      <c r="C2" s="61" t="s">
        <v>253</v>
      </c>
    </row>
    <row r="3" spans="1:3" ht="7" customHeight="1" x14ac:dyDescent="0.4">
      <c r="A3" s="14" t="s">
        <v>61</v>
      </c>
      <c r="B3" s="15" t="s">
        <v>98</v>
      </c>
      <c r="C3" s="61" t="s">
        <v>253</v>
      </c>
    </row>
    <row r="4" spans="1:3" ht="7" customHeight="1" x14ac:dyDescent="0.4">
      <c r="A4" s="14" t="s">
        <v>52</v>
      </c>
      <c r="B4" s="14" t="s">
        <v>62</v>
      </c>
      <c r="C4" s="61" t="s">
        <v>253</v>
      </c>
    </row>
    <row r="5" spans="1:3" ht="7" customHeight="1" x14ac:dyDescent="0.4">
      <c r="A5" s="14" t="s">
        <v>53</v>
      </c>
      <c r="B5" s="14" t="str">
        <f>_xlfn.CONCAT(B4,"Prop")</f>
        <v>BIMProp</v>
      </c>
      <c r="C5" s="61" t="s">
        <v>253</v>
      </c>
    </row>
    <row r="6" spans="1:3" ht="7" customHeight="1" x14ac:dyDescent="0.4">
      <c r="A6" s="14" t="s">
        <v>54</v>
      </c>
      <c r="B6" s="14" t="str">
        <f>_xlfn.CONCAT(B4,"Data")</f>
        <v>BIMData</v>
      </c>
      <c r="C6" s="61" t="s">
        <v>253</v>
      </c>
    </row>
    <row r="7" spans="1:3" ht="7" customHeight="1" x14ac:dyDescent="0.4">
      <c r="A7" s="14" t="s">
        <v>55</v>
      </c>
      <c r="B7" s="14" t="s">
        <v>63</v>
      </c>
      <c r="C7" s="61" t="s">
        <v>253</v>
      </c>
    </row>
    <row r="8" spans="1:3" customFormat="1" ht="7" customHeight="1" x14ac:dyDescent="0.4">
      <c r="A8" s="16" t="s">
        <v>56</v>
      </c>
      <c r="B8" s="16" t="s">
        <v>251</v>
      </c>
      <c r="C8" s="61" t="s">
        <v>253</v>
      </c>
    </row>
    <row r="9" spans="1:3" ht="7" customHeight="1" x14ac:dyDescent="0.4">
      <c r="A9" s="14" t="s">
        <v>64</v>
      </c>
      <c r="B9" s="14" t="s">
        <v>65</v>
      </c>
      <c r="C9" s="61" t="s">
        <v>253</v>
      </c>
    </row>
    <row r="10" spans="1:3" ht="7" customHeight="1" x14ac:dyDescent="0.4">
      <c r="A10" s="14" t="s">
        <v>66</v>
      </c>
      <c r="B10" s="14" t="s">
        <v>38</v>
      </c>
      <c r="C10" s="61" t="s">
        <v>253</v>
      </c>
    </row>
    <row r="11" spans="1:3" ht="7" customHeight="1" x14ac:dyDescent="0.4">
      <c r="A11" s="14" t="s">
        <v>57</v>
      </c>
      <c r="B11" s="14" t="s">
        <v>38</v>
      </c>
      <c r="C11" s="61" t="s">
        <v>253</v>
      </c>
    </row>
    <row r="12" spans="1:3" ht="7" customHeight="1" x14ac:dyDescent="0.4">
      <c r="A12" s="14" t="s">
        <v>58</v>
      </c>
      <c r="B12" s="14" t="s">
        <v>38</v>
      </c>
      <c r="C12" s="61" t="s">
        <v>253</v>
      </c>
    </row>
    <row r="13" spans="1:3" ht="7" customHeight="1" x14ac:dyDescent="0.4">
      <c r="A13" s="14" t="s">
        <v>67</v>
      </c>
      <c r="B13" s="14" t="s">
        <v>38</v>
      </c>
      <c r="C13" s="61" t="s">
        <v>253</v>
      </c>
    </row>
    <row r="14" spans="1:3" ht="7" customHeight="1" x14ac:dyDescent="0.4">
      <c r="A14" s="14" t="s">
        <v>68</v>
      </c>
      <c r="B14" s="14" t="s">
        <v>38</v>
      </c>
      <c r="C14" s="61" t="s">
        <v>253</v>
      </c>
    </row>
    <row r="15" spans="1:3" ht="7" customHeight="1" x14ac:dyDescent="0.4">
      <c r="A15" s="14" t="s">
        <v>69</v>
      </c>
      <c r="B15" s="14" t="s">
        <v>38</v>
      </c>
      <c r="C15" s="61" t="s">
        <v>253</v>
      </c>
    </row>
    <row r="16" spans="1:3" ht="7" customHeight="1" x14ac:dyDescent="0.4">
      <c r="A16" s="14" t="s">
        <v>70</v>
      </c>
      <c r="B16" s="14" t="s">
        <v>38</v>
      </c>
      <c r="C16" s="61" t="s">
        <v>253</v>
      </c>
    </row>
    <row r="17" spans="1:3" ht="7" customHeight="1" x14ac:dyDescent="0.4">
      <c r="A17" s="14" t="s">
        <v>59</v>
      </c>
      <c r="B17" s="16" t="s">
        <v>99</v>
      </c>
      <c r="C17" s="61" t="s">
        <v>253</v>
      </c>
    </row>
    <row r="18" spans="1:3" ht="7" customHeight="1" x14ac:dyDescent="0.4">
      <c r="A18" s="14" t="s">
        <v>71</v>
      </c>
      <c r="B18" s="17">
        <f ca="1">NOW()</f>
        <v>46243.565698148152</v>
      </c>
      <c r="C18" s="61" t="s">
        <v>253</v>
      </c>
    </row>
    <row r="19" spans="1:3" s="41" customFormat="1" ht="7" customHeight="1" x14ac:dyDescent="0.4">
      <c r="A19" s="16" t="s">
        <v>258</v>
      </c>
      <c r="B19" s="63" t="s">
        <v>259</v>
      </c>
      <c r="C19" s="61" t="s">
        <v>253</v>
      </c>
    </row>
    <row r="20" spans="1:3" s="41" customFormat="1" ht="7" customHeight="1" x14ac:dyDescent="0.4">
      <c r="A20" s="16" t="s">
        <v>256</v>
      </c>
      <c r="B20" s="63" t="str">
        <f>_xlfn.TRANSLATE(B19,"pt","es")</f>
        <v>Traducciones integradas al español e inglés - Las traducciones deben revisarse constantemente</v>
      </c>
      <c r="C20" s="61" t="s">
        <v>254</v>
      </c>
    </row>
    <row r="21" spans="1:3" s="41" customFormat="1" ht="7" customHeight="1" x14ac:dyDescent="0.4">
      <c r="A21" s="16" t="s">
        <v>257</v>
      </c>
      <c r="B21" s="63" t="str">
        <f>_xlfn.TRANSLATE(B19,"pt","en")</f>
        <v>Built-in Spanish and English Translations - Translations must be constantly reviewed</v>
      </c>
      <c r="C21" s="61" t="s">
        <v>255</v>
      </c>
    </row>
    <row r="22" spans="1:3" ht="7" customHeight="1" x14ac:dyDescent="0.4">
      <c r="A22" s="14" t="s">
        <v>72</v>
      </c>
      <c r="B22" s="14" t="s">
        <v>38</v>
      </c>
      <c r="C22" s="61" t="s">
        <v>253</v>
      </c>
    </row>
    <row r="23" spans="1:3" ht="7" customHeight="1" x14ac:dyDescent="0.4">
      <c r="A23" s="14" t="s">
        <v>73</v>
      </c>
      <c r="B23" s="14" t="s">
        <v>38</v>
      </c>
      <c r="C23" s="61" t="s">
        <v>253</v>
      </c>
    </row>
    <row r="24" spans="1:3" ht="7" customHeight="1" x14ac:dyDescent="0.4">
      <c r="A24" s="16" t="s">
        <v>74</v>
      </c>
      <c r="B24" s="18" t="s">
        <v>100</v>
      </c>
      <c r="C24" s="61" t="s">
        <v>253</v>
      </c>
    </row>
    <row r="25" spans="1:3" ht="7" customHeight="1" x14ac:dyDescent="0.4">
      <c r="A25" s="16" t="s">
        <v>75</v>
      </c>
      <c r="B25" s="18" t="s">
        <v>101</v>
      </c>
      <c r="C25" s="61" t="s">
        <v>254</v>
      </c>
    </row>
    <row r="26" spans="1:3" customFormat="1" ht="7" customHeight="1" x14ac:dyDescent="0.4">
      <c r="A26" s="16" t="s">
        <v>250</v>
      </c>
      <c r="B26" s="18" t="str">
        <f>_xlfn.TRANSLATE(B24,"pt","en")</f>
        <v>Formalize concepts of chromatic elements</v>
      </c>
      <c r="C26" s="61" t="s">
        <v>255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50FD-D5BA-45CD-9CBD-E4284A1EA77F}">
  <dimension ref="A1:AA24"/>
  <sheetViews>
    <sheetView topLeftCell="A6" zoomScale="250" zoomScaleNormal="250" workbookViewId="0">
      <selection activeCell="D23" sqref="D23"/>
    </sheetView>
  </sheetViews>
  <sheetFormatPr defaultColWidth="9.15234375" defaultRowHeight="14.6" x14ac:dyDescent="0.4"/>
  <cols>
    <col min="1" max="1" width="2.3828125" bestFit="1" customWidth="1"/>
    <col min="2" max="2" width="5.69140625" bestFit="1" customWidth="1"/>
    <col min="3" max="3" width="6.3828125" bestFit="1" customWidth="1"/>
    <col min="4" max="4" width="6.69140625" bestFit="1" customWidth="1"/>
    <col min="5" max="5" width="7.69140625" bestFit="1" customWidth="1"/>
    <col min="6" max="6" width="8.15234375" bestFit="1" customWidth="1"/>
    <col min="7" max="9" width="8" bestFit="1" customWidth="1"/>
    <col min="10" max="10" width="10.15234375" bestFit="1" customWidth="1"/>
    <col min="11" max="11" width="25.53515625" bestFit="1" customWidth="1"/>
    <col min="12" max="13" width="7.3046875" bestFit="1" customWidth="1"/>
    <col min="14" max="14" width="7.69140625" bestFit="1" customWidth="1"/>
    <col min="15" max="15" width="13.15234375" bestFit="1" customWidth="1"/>
    <col min="16" max="16" width="108.15234375" bestFit="1" customWidth="1"/>
    <col min="17" max="17" width="110.84375" bestFit="1" customWidth="1"/>
    <col min="18" max="18" width="5.15234375" style="70" bestFit="1" customWidth="1"/>
    <col min="19" max="19" width="6.3828125" style="70" bestFit="1" customWidth="1"/>
    <col min="20" max="20" width="6.69140625" style="70" bestFit="1" customWidth="1"/>
    <col min="21" max="21" width="7.69140625" style="70" bestFit="1" customWidth="1"/>
    <col min="22" max="22" width="8.53515625" style="70" bestFit="1" customWidth="1"/>
    <col min="23" max="23" width="8.84375" style="70" bestFit="1" customWidth="1"/>
    <col min="24" max="24" width="7" style="70" bestFit="1" customWidth="1"/>
    <col min="25" max="25" width="4.84375" style="70" bestFit="1" customWidth="1"/>
    <col min="26" max="26" width="5.15234375" style="70" bestFit="1" customWidth="1"/>
    <col min="27" max="27" width="109" bestFit="1" customWidth="1"/>
  </cols>
  <sheetData>
    <row r="1" spans="1:27" ht="55.5" customHeight="1" x14ac:dyDescent="0.4">
      <c r="A1" s="21" t="s">
        <v>77</v>
      </c>
      <c r="B1" s="22" t="s">
        <v>81</v>
      </c>
      <c r="C1" s="22" t="s">
        <v>82</v>
      </c>
      <c r="D1" s="22" t="s">
        <v>83</v>
      </c>
      <c r="E1" s="22" t="s">
        <v>84</v>
      </c>
      <c r="F1" s="22" t="s">
        <v>85</v>
      </c>
      <c r="G1" s="73" t="s">
        <v>39</v>
      </c>
      <c r="H1" s="73" t="s">
        <v>40</v>
      </c>
      <c r="I1" s="73" t="s">
        <v>41</v>
      </c>
      <c r="J1" s="73" t="s">
        <v>42</v>
      </c>
      <c r="K1" s="73" t="s">
        <v>43</v>
      </c>
      <c r="L1" s="24" t="s">
        <v>46</v>
      </c>
      <c r="M1" s="24" t="s">
        <v>47</v>
      </c>
      <c r="N1" s="24" t="s">
        <v>45</v>
      </c>
      <c r="O1" s="24" t="s">
        <v>44</v>
      </c>
      <c r="P1" s="24" t="s">
        <v>86</v>
      </c>
      <c r="Q1" s="24" t="s">
        <v>87</v>
      </c>
      <c r="R1" s="24" t="s">
        <v>88</v>
      </c>
      <c r="S1" s="24" t="s">
        <v>78</v>
      </c>
      <c r="T1" s="24" t="s">
        <v>89</v>
      </c>
      <c r="U1" s="25" t="s">
        <v>80</v>
      </c>
      <c r="V1" s="24" t="s">
        <v>79</v>
      </c>
      <c r="W1" s="77" t="s">
        <v>0</v>
      </c>
      <c r="X1" s="24" t="s">
        <v>246</v>
      </c>
      <c r="Y1" s="24" t="s">
        <v>247</v>
      </c>
      <c r="Z1" s="24" t="s">
        <v>248</v>
      </c>
      <c r="AA1" s="59" t="s">
        <v>249</v>
      </c>
    </row>
    <row r="2" spans="1:27" s="70" customFormat="1" ht="6.65" customHeight="1" x14ac:dyDescent="0.4">
      <c r="A2" s="64">
        <v>2</v>
      </c>
      <c r="B2" s="71" t="s">
        <v>359</v>
      </c>
      <c r="C2" s="71" t="s">
        <v>268</v>
      </c>
      <c r="D2" s="71" t="s">
        <v>265</v>
      </c>
      <c r="E2" s="72" t="s">
        <v>357</v>
      </c>
      <c r="F2" s="72" t="s">
        <v>264</v>
      </c>
      <c r="G2" s="74" t="s">
        <v>1</v>
      </c>
      <c r="H2" s="74" t="s">
        <v>1</v>
      </c>
      <c r="I2" s="74" t="s">
        <v>1</v>
      </c>
      <c r="J2" s="74" t="s">
        <v>1</v>
      </c>
      <c r="K2" s="74" t="s">
        <v>1</v>
      </c>
      <c r="L2" s="65" t="str">
        <f t="shared" ref="L2:M6" si="0">CONCATENATE("", C2)</f>
        <v>Gestão</v>
      </c>
      <c r="M2" s="65" t="str">
        <f t="shared" si="0"/>
        <v>Informação</v>
      </c>
      <c r="N2" s="65" t="str">
        <f t="shared" ref="N2:O6" si="1">(SUBSTITUTE(SUBSTITUTE(CONCATENATE("",E2),"."," ")," De "," de "))</f>
        <v>Contêineres</v>
      </c>
      <c r="O2" s="65" t="str">
        <f t="shared" si="1"/>
        <v>Contêiner</v>
      </c>
      <c r="P2" s="60" t="s">
        <v>266</v>
      </c>
      <c r="Q2" s="60" t="s">
        <v>267</v>
      </c>
      <c r="R2" s="60" t="s">
        <v>1</v>
      </c>
      <c r="S2" s="60" t="str">
        <f t="shared" ref="S2:U6" si="2">SUBSTITUTE(C2, ".", " ")</f>
        <v>Gestão</v>
      </c>
      <c r="T2" s="60" t="str">
        <f t="shared" si="2"/>
        <v>Informação</v>
      </c>
      <c r="U2" s="60" t="str">
        <f t="shared" si="2"/>
        <v>Contêineres</v>
      </c>
      <c r="V2" s="60" t="s">
        <v>90</v>
      </c>
      <c r="W2" s="78" t="str">
        <f>CONCATENATE("Key-CROMA-",A2)</f>
        <v>Key-CROMA-2</v>
      </c>
      <c r="X2" s="60" t="s">
        <v>1</v>
      </c>
      <c r="Y2" s="60" t="s">
        <v>1</v>
      </c>
      <c r="Z2" s="60" t="s">
        <v>358</v>
      </c>
      <c r="AA2" s="60" t="str">
        <f t="shared" ref="AA2:AA6" si="3">_xlfn.TRANSLATE(P2,"pt","en")</f>
        <v>Defines an information container in accordance with the NBR 19650-1 standard. Project Definition.</v>
      </c>
    </row>
    <row r="3" spans="1:27" s="70" customFormat="1" ht="6.65" customHeight="1" x14ac:dyDescent="0.4">
      <c r="A3" s="64">
        <v>3</v>
      </c>
      <c r="B3" s="71" t="s">
        <v>359</v>
      </c>
      <c r="C3" s="71" t="s">
        <v>268</v>
      </c>
      <c r="D3" s="71" t="s">
        <v>265</v>
      </c>
      <c r="E3" s="72" t="s">
        <v>357</v>
      </c>
      <c r="F3" s="72" t="s">
        <v>269</v>
      </c>
      <c r="G3" s="74" t="s">
        <v>1</v>
      </c>
      <c r="H3" s="74" t="s">
        <v>1</v>
      </c>
      <c r="I3" s="74" t="s">
        <v>1</v>
      </c>
      <c r="J3" s="74" t="s">
        <v>1</v>
      </c>
      <c r="K3" s="74" t="s">
        <v>1</v>
      </c>
      <c r="L3" s="65" t="str">
        <f t="shared" si="0"/>
        <v>Gestão</v>
      </c>
      <c r="M3" s="65" t="str">
        <f t="shared" si="0"/>
        <v>Informação</v>
      </c>
      <c r="N3" s="65" t="str">
        <f t="shared" si="1"/>
        <v>Contêineres</v>
      </c>
      <c r="O3" s="65" t="str">
        <f t="shared" si="1"/>
        <v>Requisito Espacial</v>
      </c>
      <c r="P3" s="60" t="s">
        <v>270</v>
      </c>
      <c r="Q3" s="60" t="s">
        <v>267</v>
      </c>
      <c r="R3" s="60" t="s">
        <v>1</v>
      </c>
      <c r="S3" s="60" t="str">
        <f t="shared" si="2"/>
        <v>Gestão</v>
      </c>
      <c r="T3" s="60" t="str">
        <f t="shared" si="2"/>
        <v>Informação</v>
      </c>
      <c r="U3" s="60" t="str">
        <f t="shared" si="2"/>
        <v>Contêineres</v>
      </c>
      <c r="V3" s="60" t="s">
        <v>90</v>
      </c>
      <c r="W3" s="78" t="str">
        <f t="shared" ref="W3:W24" si="4">CONCATENATE("Key-CROMA-",A3)</f>
        <v>Key-CROMA-3</v>
      </c>
      <c r="X3" s="60" t="s">
        <v>1</v>
      </c>
      <c r="Y3" s="60" t="s">
        <v>1</v>
      </c>
      <c r="Z3" s="60" t="s">
        <v>1</v>
      </c>
      <c r="AA3" s="60" t="str">
        <f t="shared" si="3"/>
        <v>Defines an information container in accordance with the NBR 19650-1 standard. Spatial Requirements for the Project.</v>
      </c>
    </row>
    <row r="4" spans="1:27" s="70" customFormat="1" ht="6.65" customHeight="1" x14ac:dyDescent="0.4">
      <c r="A4" s="64">
        <v>4</v>
      </c>
      <c r="B4" s="71" t="s">
        <v>359</v>
      </c>
      <c r="C4" s="71" t="s">
        <v>268</v>
      </c>
      <c r="D4" s="71" t="s">
        <v>265</v>
      </c>
      <c r="E4" s="72" t="s">
        <v>357</v>
      </c>
      <c r="F4" s="72" t="s">
        <v>271</v>
      </c>
      <c r="G4" s="74" t="s">
        <v>1</v>
      </c>
      <c r="H4" s="74" t="s">
        <v>1</v>
      </c>
      <c r="I4" s="74" t="s">
        <v>1</v>
      </c>
      <c r="J4" s="74" t="s">
        <v>1</v>
      </c>
      <c r="K4" s="74" t="s">
        <v>1</v>
      </c>
      <c r="L4" s="65" t="str">
        <f t="shared" si="0"/>
        <v>Gestão</v>
      </c>
      <c r="M4" s="65" t="str">
        <f t="shared" si="0"/>
        <v>Informação</v>
      </c>
      <c r="N4" s="65" t="str">
        <f t="shared" si="1"/>
        <v>Contêineres</v>
      </c>
      <c r="O4" s="65" t="str">
        <f t="shared" si="1"/>
        <v>Requisito Mobiliário</v>
      </c>
      <c r="P4" s="60" t="s">
        <v>272</v>
      </c>
      <c r="Q4" s="60" t="s">
        <v>267</v>
      </c>
      <c r="R4" s="60" t="s">
        <v>1</v>
      </c>
      <c r="S4" s="60" t="str">
        <f t="shared" si="2"/>
        <v>Gestão</v>
      </c>
      <c r="T4" s="60" t="str">
        <f t="shared" si="2"/>
        <v>Informação</v>
      </c>
      <c r="U4" s="60" t="str">
        <f t="shared" si="2"/>
        <v>Contêineres</v>
      </c>
      <c r="V4" s="60" t="s">
        <v>90</v>
      </c>
      <c r="W4" s="78" t="str">
        <f t="shared" si="4"/>
        <v>Key-CROMA-4</v>
      </c>
      <c r="X4" s="60" t="s">
        <v>1</v>
      </c>
      <c r="Y4" s="60" t="s">
        <v>1</v>
      </c>
      <c r="Z4" s="60" t="s">
        <v>1</v>
      </c>
      <c r="AA4" s="60" t="str">
        <f t="shared" si="3"/>
        <v>Defines an information container in accordance with the NBR 19650-1 standard. Furniture Requirements for the Project.</v>
      </c>
    </row>
    <row r="5" spans="1:27" s="70" customFormat="1" ht="6.65" customHeight="1" x14ac:dyDescent="0.4">
      <c r="A5" s="64">
        <v>5</v>
      </c>
      <c r="B5" s="71" t="s">
        <v>359</v>
      </c>
      <c r="C5" s="71" t="s">
        <v>268</v>
      </c>
      <c r="D5" s="71" t="s">
        <v>265</v>
      </c>
      <c r="E5" s="72" t="s">
        <v>357</v>
      </c>
      <c r="F5" s="72" t="s">
        <v>273</v>
      </c>
      <c r="G5" s="74" t="s">
        <v>1</v>
      </c>
      <c r="H5" s="74" t="s">
        <v>1</v>
      </c>
      <c r="I5" s="74" t="s">
        <v>1</v>
      </c>
      <c r="J5" s="74" t="s">
        <v>1</v>
      </c>
      <c r="K5" s="74" t="s">
        <v>1</v>
      </c>
      <c r="L5" s="65" t="str">
        <f t="shared" si="0"/>
        <v>Gestão</v>
      </c>
      <c r="M5" s="65" t="str">
        <f t="shared" si="0"/>
        <v>Informação</v>
      </c>
      <c r="N5" s="65" t="str">
        <f t="shared" si="1"/>
        <v>Contêineres</v>
      </c>
      <c r="O5" s="65" t="str">
        <f t="shared" si="1"/>
        <v>Requisito Equipamento</v>
      </c>
      <c r="P5" s="60" t="s">
        <v>274</v>
      </c>
      <c r="Q5" s="60" t="s">
        <v>267</v>
      </c>
      <c r="R5" s="60" t="s">
        <v>1</v>
      </c>
      <c r="S5" s="60" t="str">
        <f t="shared" si="2"/>
        <v>Gestão</v>
      </c>
      <c r="T5" s="60" t="str">
        <f t="shared" si="2"/>
        <v>Informação</v>
      </c>
      <c r="U5" s="60" t="str">
        <f t="shared" si="2"/>
        <v>Contêineres</v>
      </c>
      <c r="V5" s="60" t="s">
        <v>90</v>
      </c>
      <c r="W5" s="78" t="str">
        <f t="shared" si="4"/>
        <v>Key-CROMA-5</v>
      </c>
      <c r="X5" s="60" t="s">
        <v>1</v>
      </c>
      <c r="Y5" s="60" t="s">
        <v>1</v>
      </c>
      <c r="Z5" s="60" t="s">
        <v>1</v>
      </c>
      <c r="AA5" s="60" t="str">
        <f t="shared" si="3"/>
        <v>Defines an information container in accordance with the NBR 19650-1 standard. Equipment Requirements for the Project.</v>
      </c>
    </row>
    <row r="6" spans="1:27" s="70" customFormat="1" ht="6.65" customHeight="1" x14ac:dyDescent="0.4">
      <c r="A6" s="64">
        <v>6</v>
      </c>
      <c r="B6" s="71" t="s">
        <v>359</v>
      </c>
      <c r="C6" s="71" t="s">
        <v>268</v>
      </c>
      <c r="D6" s="71" t="s">
        <v>265</v>
      </c>
      <c r="E6" s="72" t="s">
        <v>357</v>
      </c>
      <c r="F6" s="72" t="s">
        <v>275</v>
      </c>
      <c r="G6" s="74" t="s">
        <v>1</v>
      </c>
      <c r="H6" s="74" t="s">
        <v>1</v>
      </c>
      <c r="I6" s="74" t="s">
        <v>1</v>
      </c>
      <c r="J6" s="74" t="s">
        <v>1</v>
      </c>
      <c r="K6" s="74" t="s">
        <v>1</v>
      </c>
      <c r="L6" s="65" t="str">
        <f t="shared" si="0"/>
        <v>Gestão</v>
      </c>
      <c r="M6" s="65" t="str">
        <f t="shared" si="0"/>
        <v>Informação</v>
      </c>
      <c r="N6" s="65" t="str">
        <f t="shared" si="1"/>
        <v>Contêineres</v>
      </c>
      <c r="O6" s="65" t="str">
        <f t="shared" si="1"/>
        <v>Requisito Sistemas</v>
      </c>
      <c r="P6" s="60" t="s">
        <v>276</v>
      </c>
      <c r="Q6" s="60" t="s">
        <v>267</v>
      </c>
      <c r="R6" s="60" t="s">
        <v>1</v>
      </c>
      <c r="S6" s="60" t="str">
        <f t="shared" si="2"/>
        <v>Gestão</v>
      </c>
      <c r="T6" s="60" t="str">
        <f t="shared" si="2"/>
        <v>Informação</v>
      </c>
      <c r="U6" s="60" t="str">
        <f t="shared" si="2"/>
        <v>Contêineres</v>
      </c>
      <c r="V6" s="60" t="s">
        <v>90</v>
      </c>
      <c r="W6" s="78" t="str">
        <f t="shared" si="4"/>
        <v>Key-CROMA-6</v>
      </c>
      <c r="X6" s="60" t="s">
        <v>1</v>
      </c>
      <c r="Y6" s="60" t="s">
        <v>1</v>
      </c>
      <c r="Z6" s="60" t="s">
        <v>1</v>
      </c>
      <c r="AA6" s="60" t="str">
        <f t="shared" si="3"/>
        <v>Defines an information container in accordance with the NBR 19650-1 standard. Building Systems Requirements for the Project.</v>
      </c>
    </row>
    <row r="7" spans="1:27" ht="6.65" customHeight="1" x14ac:dyDescent="0.4">
      <c r="A7" s="64">
        <v>7</v>
      </c>
      <c r="B7" s="71" t="s">
        <v>359</v>
      </c>
      <c r="C7" s="27" t="s">
        <v>360</v>
      </c>
      <c r="D7" s="28" t="s">
        <v>361</v>
      </c>
      <c r="E7" s="27" t="s">
        <v>330</v>
      </c>
      <c r="F7" s="26" t="s">
        <v>124</v>
      </c>
      <c r="G7" s="74" t="s">
        <v>1</v>
      </c>
      <c r="H7" s="74" t="s">
        <v>1</v>
      </c>
      <c r="I7" s="74" t="s">
        <v>1</v>
      </c>
      <c r="J7" s="74" t="s">
        <v>1</v>
      </c>
      <c r="K7" s="75" t="s">
        <v>344</v>
      </c>
      <c r="L7" s="66" t="str">
        <f>_xlfn.CONCAT(C7)</f>
        <v>Cromáticos</v>
      </c>
      <c r="M7" s="66" t="str">
        <f t="shared" ref="M7:O22" si="5">_xlfn.CONCAT("", D7)</f>
        <v>Paletas</v>
      </c>
      <c r="N7" s="66" t="str">
        <f t="shared" si="5"/>
        <v>Canal.de.Cor</v>
      </c>
      <c r="O7" s="66" t="str">
        <f t="shared" si="5"/>
        <v>Cyan</v>
      </c>
      <c r="P7" s="66" t="s">
        <v>241</v>
      </c>
      <c r="Q7" s="66" t="str">
        <f>_xlfn.TRANSLATE(P7,"pt","es")</f>
        <v>Cantidad de color cian que puede variar entre 0 y 255.</v>
      </c>
      <c r="R7" s="65" t="s">
        <v>1</v>
      </c>
      <c r="S7" s="60" t="str">
        <f t="shared" ref="S7:U22" si="6">SUBSTITUTE(C7, "_", " ")</f>
        <v>Cromáticos</v>
      </c>
      <c r="T7" s="60" t="str">
        <f t="shared" si="6"/>
        <v>Paletas</v>
      </c>
      <c r="U7" s="65" t="str">
        <f t="shared" si="6"/>
        <v>Canal.de.Cor</v>
      </c>
      <c r="V7" s="60" t="s">
        <v>90</v>
      </c>
      <c r="W7" s="78" t="str">
        <f t="shared" si="4"/>
        <v>Key-CROMA-7</v>
      </c>
      <c r="X7" s="60" t="s">
        <v>1</v>
      </c>
      <c r="Y7" s="60" t="s">
        <v>1</v>
      </c>
      <c r="Z7" s="60" t="s">
        <v>1</v>
      </c>
      <c r="AA7" s="60" t="str">
        <f>_xlfn.TRANSLATE(P7,"pt","en")</f>
        <v>Amount of cyan color that can vary between 0 and 255.</v>
      </c>
    </row>
    <row r="8" spans="1:27" ht="6.65" customHeight="1" x14ac:dyDescent="0.4">
      <c r="A8" s="64">
        <v>8</v>
      </c>
      <c r="B8" s="71" t="s">
        <v>359</v>
      </c>
      <c r="C8" s="27" t="s">
        <v>360</v>
      </c>
      <c r="D8" s="28" t="s">
        <v>361</v>
      </c>
      <c r="E8" s="27" t="s">
        <v>330</v>
      </c>
      <c r="F8" s="26" t="s">
        <v>123</v>
      </c>
      <c r="G8" s="74" t="s">
        <v>1</v>
      </c>
      <c r="H8" s="74" t="s">
        <v>1</v>
      </c>
      <c r="I8" s="74" t="s">
        <v>1</v>
      </c>
      <c r="J8" s="74" t="s">
        <v>1</v>
      </c>
      <c r="K8" s="75" t="s">
        <v>345</v>
      </c>
      <c r="L8" s="66" t="str">
        <f>_xlfn.CONCAT(C8)</f>
        <v>Cromáticos</v>
      </c>
      <c r="M8" s="66" t="str">
        <f t="shared" si="5"/>
        <v>Paletas</v>
      </c>
      <c r="N8" s="66" t="str">
        <f t="shared" si="5"/>
        <v>Canal.de.Cor</v>
      </c>
      <c r="O8" s="66" t="str">
        <f t="shared" si="5"/>
        <v>Magenta</v>
      </c>
      <c r="P8" s="66" t="s">
        <v>240</v>
      </c>
      <c r="Q8" s="66" t="str">
        <f t="shared" ref="Q8:Q24" si="7">_xlfn.TRANSLATE(P8,"pt","es")</f>
        <v>Cantidad de color magenta que puede variar entre 0 y 255.</v>
      </c>
      <c r="R8" s="65" t="s">
        <v>1</v>
      </c>
      <c r="S8" s="60" t="str">
        <f t="shared" si="6"/>
        <v>Cromáticos</v>
      </c>
      <c r="T8" s="60" t="str">
        <f t="shared" si="6"/>
        <v>Paletas</v>
      </c>
      <c r="U8" s="65" t="str">
        <f t="shared" si="6"/>
        <v>Canal.de.Cor</v>
      </c>
      <c r="V8" s="60" t="s">
        <v>90</v>
      </c>
      <c r="W8" s="78" t="str">
        <f t="shared" si="4"/>
        <v>Key-CROMA-8</v>
      </c>
      <c r="X8" s="60" t="s">
        <v>1</v>
      </c>
      <c r="Y8" s="60" t="s">
        <v>1</v>
      </c>
      <c r="Z8" s="60" t="s">
        <v>1</v>
      </c>
      <c r="AA8" s="60" t="str">
        <f t="shared" ref="AA8:AA24" si="8">_xlfn.TRANSLATE(P8,"pt","en")</f>
        <v>Amount of magenta color that can vary between 0 and 255.</v>
      </c>
    </row>
    <row r="9" spans="1:27" ht="6.65" customHeight="1" x14ac:dyDescent="0.4">
      <c r="A9" s="64">
        <v>9</v>
      </c>
      <c r="B9" s="71" t="s">
        <v>359</v>
      </c>
      <c r="C9" s="27" t="s">
        <v>360</v>
      </c>
      <c r="D9" s="28" t="s">
        <v>361</v>
      </c>
      <c r="E9" s="27" t="s">
        <v>330</v>
      </c>
      <c r="F9" s="26" t="s">
        <v>125</v>
      </c>
      <c r="G9" s="74" t="s">
        <v>1</v>
      </c>
      <c r="H9" s="74" t="s">
        <v>1</v>
      </c>
      <c r="I9" s="74" t="s">
        <v>1</v>
      </c>
      <c r="J9" s="74" t="s">
        <v>1</v>
      </c>
      <c r="K9" s="75" t="s">
        <v>346</v>
      </c>
      <c r="L9" s="66" t="str">
        <f>_xlfn.CONCAT(C9)</f>
        <v>Cromáticos</v>
      </c>
      <c r="M9" s="66" t="str">
        <f t="shared" si="5"/>
        <v>Paletas</v>
      </c>
      <c r="N9" s="66" t="str">
        <f t="shared" si="5"/>
        <v>Canal.de.Cor</v>
      </c>
      <c r="O9" s="66" t="str">
        <f t="shared" si="5"/>
        <v>Yellow</v>
      </c>
      <c r="P9" s="66" t="s">
        <v>239</v>
      </c>
      <c r="Q9" s="66" t="str">
        <f t="shared" si="7"/>
        <v>La cantidad de color amarillo entre los cuales puede variar de 0 a 255.</v>
      </c>
      <c r="R9" s="65" t="s">
        <v>1</v>
      </c>
      <c r="S9" s="60" t="str">
        <f t="shared" si="6"/>
        <v>Cromáticos</v>
      </c>
      <c r="T9" s="60" t="str">
        <f t="shared" si="6"/>
        <v>Paletas</v>
      </c>
      <c r="U9" s="65" t="str">
        <f t="shared" si="6"/>
        <v>Canal.de.Cor</v>
      </c>
      <c r="V9" s="60" t="s">
        <v>90</v>
      </c>
      <c r="W9" s="78" t="str">
        <f t="shared" si="4"/>
        <v>Key-CROMA-9</v>
      </c>
      <c r="X9" s="60" t="s">
        <v>1</v>
      </c>
      <c r="Y9" s="60" t="s">
        <v>1</v>
      </c>
      <c r="Z9" s="60" t="s">
        <v>1</v>
      </c>
      <c r="AA9" s="60" t="str">
        <f t="shared" si="8"/>
        <v>Amount of yellow color between which can vary from 0 to 255.</v>
      </c>
    </row>
    <row r="10" spans="1:27" ht="6.65" customHeight="1" x14ac:dyDescent="0.4">
      <c r="A10" s="64">
        <v>10</v>
      </c>
      <c r="B10" s="71" t="s">
        <v>359</v>
      </c>
      <c r="C10" s="27" t="s">
        <v>360</v>
      </c>
      <c r="D10" s="28" t="s">
        <v>361</v>
      </c>
      <c r="E10" s="27" t="s">
        <v>330</v>
      </c>
      <c r="F10" s="26" t="s">
        <v>126</v>
      </c>
      <c r="G10" s="74" t="s">
        <v>1</v>
      </c>
      <c r="H10" s="74" t="s">
        <v>1</v>
      </c>
      <c r="I10" s="74" t="s">
        <v>1</v>
      </c>
      <c r="J10" s="74" t="s">
        <v>1</v>
      </c>
      <c r="K10" s="75" t="s">
        <v>342</v>
      </c>
      <c r="L10" s="66" t="str">
        <f t="shared" ref="L10:L24" si="9">_xlfn.CONCAT(C10)</f>
        <v>Cromáticos</v>
      </c>
      <c r="M10" s="66" t="str">
        <f t="shared" si="5"/>
        <v>Paletas</v>
      </c>
      <c r="N10" s="66" t="str">
        <f t="shared" si="5"/>
        <v>Canal.de.Cor</v>
      </c>
      <c r="O10" s="66" t="str">
        <f t="shared" si="5"/>
        <v>Black</v>
      </c>
      <c r="P10" s="66" t="s">
        <v>242</v>
      </c>
      <c r="Q10" s="66" t="str">
        <f t="shared" si="7"/>
        <v>La cantidad de color negro entre ellos puede variar de 0 a 255.</v>
      </c>
      <c r="R10" s="65" t="s">
        <v>1</v>
      </c>
      <c r="S10" s="60" t="str">
        <f t="shared" si="6"/>
        <v>Cromáticos</v>
      </c>
      <c r="T10" s="60" t="str">
        <f t="shared" si="6"/>
        <v>Paletas</v>
      </c>
      <c r="U10" s="65" t="str">
        <f t="shared" si="6"/>
        <v>Canal.de.Cor</v>
      </c>
      <c r="V10" s="60" t="s">
        <v>90</v>
      </c>
      <c r="W10" s="78" t="str">
        <f t="shared" si="4"/>
        <v>Key-CROMA-10</v>
      </c>
      <c r="X10" s="60" t="s">
        <v>1</v>
      </c>
      <c r="Y10" s="60" t="s">
        <v>1</v>
      </c>
      <c r="Z10" s="60" t="s">
        <v>1</v>
      </c>
      <c r="AA10" s="60" t="str">
        <f t="shared" si="8"/>
        <v>Amount of black color between which can vary from 0 to 255.</v>
      </c>
    </row>
    <row r="11" spans="1:27" ht="6.65" customHeight="1" x14ac:dyDescent="0.4">
      <c r="A11" s="64">
        <v>11</v>
      </c>
      <c r="B11" s="71" t="s">
        <v>359</v>
      </c>
      <c r="C11" s="27" t="s">
        <v>360</v>
      </c>
      <c r="D11" s="28" t="s">
        <v>361</v>
      </c>
      <c r="E11" s="27" t="s">
        <v>330</v>
      </c>
      <c r="F11" s="26" t="s">
        <v>93</v>
      </c>
      <c r="G11" s="74" t="s">
        <v>1</v>
      </c>
      <c r="H11" s="74" t="s">
        <v>1</v>
      </c>
      <c r="I11" s="74" t="s">
        <v>1</v>
      </c>
      <c r="J11" s="74" t="s">
        <v>1</v>
      </c>
      <c r="K11" s="75" t="s">
        <v>343</v>
      </c>
      <c r="L11" s="66" t="str">
        <f>_xlfn.CONCAT(C11)</f>
        <v>Cromáticos</v>
      </c>
      <c r="M11" s="66" t="str">
        <f t="shared" si="5"/>
        <v>Paletas</v>
      </c>
      <c r="N11" s="66" t="str">
        <f t="shared" si="5"/>
        <v>Canal.de.Cor</v>
      </c>
      <c r="O11" s="66" t="str">
        <f t="shared" si="5"/>
        <v>Red</v>
      </c>
      <c r="P11" s="66" t="s">
        <v>238</v>
      </c>
      <c r="Q11" s="66" t="str">
        <f t="shared" si="7"/>
        <v>Cantidad de color rojo que puede variar entre 0 y 255.</v>
      </c>
      <c r="R11" s="65" t="s">
        <v>1</v>
      </c>
      <c r="S11" s="60" t="str">
        <f t="shared" si="6"/>
        <v>Cromáticos</v>
      </c>
      <c r="T11" s="60" t="str">
        <f t="shared" si="6"/>
        <v>Paletas</v>
      </c>
      <c r="U11" s="65" t="str">
        <f t="shared" si="6"/>
        <v>Canal.de.Cor</v>
      </c>
      <c r="V11" s="60" t="s">
        <v>90</v>
      </c>
      <c r="W11" s="78" t="str">
        <f t="shared" si="4"/>
        <v>Key-CROMA-11</v>
      </c>
      <c r="X11" s="60" t="s">
        <v>1</v>
      </c>
      <c r="Y11" s="60" t="s">
        <v>1</v>
      </c>
      <c r="Z11" s="60" t="s">
        <v>1</v>
      </c>
      <c r="AA11" s="60" t="str">
        <f t="shared" si="8"/>
        <v>Amount of red color that can vary between 0 and 255.</v>
      </c>
    </row>
    <row r="12" spans="1:27" ht="6.65" customHeight="1" x14ac:dyDescent="0.4">
      <c r="A12" s="64">
        <v>12</v>
      </c>
      <c r="B12" s="71" t="s">
        <v>359</v>
      </c>
      <c r="C12" s="27" t="s">
        <v>360</v>
      </c>
      <c r="D12" s="28" t="s">
        <v>361</v>
      </c>
      <c r="E12" s="27" t="s">
        <v>330</v>
      </c>
      <c r="F12" s="26" t="s">
        <v>94</v>
      </c>
      <c r="G12" s="74" t="s">
        <v>1</v>
      </c>
      <c r="H12" s="74" t="s">
        <v>1</v>
      </c>
      <c r="I12" s="74" t="s">
        <v>1</v>
      </c>
      <c r="J12" s="74" t="s">
        <v>1</v>
      </c>
      <c r="K12" s="75" t="s">
        <v>341</v>
      </c>
      <c r="L12" s="66" t="str">
        <f>_xlfn.CONCAT(C12)</f>
        <v>Cromáticos</v>
      </c>
      <c r="M12" s="66" t="str">
        <f t="shared" si="5"/>
        <v>Paletas</v>
      </c>
      <c r="N12" s="66" t="str">
        <f t="shared" si="5"/>
        <v>Canal.de.Cor</v>
      </c>
      <c r="O12" s="66" t="str">
        <f t="shared" si="5"/>
        <v>Green</v>
      </c>
      <c r="P12" s="66" t="s">
        <v>243</v>
      </c>
      <c r="Q12" s="66" t="str">
        <f t="shared" si="7"/>
        <v>La cantidad de color verde entre eso puede variar de 0 a 255.</v>
      </c>
      <c r="R12" s="65" t="s">
        <v>1</v>
      </c>
      <c r="S12" s="60" t="str">
        <f t="shared" si="6"/>
        <v>Cromáticos</v>
      </c>
      <c r="T12" s="60" t="str">
        <f t="shared" si="6"/>
        <v>Paletas</v>
      </c>
      <c r="U12" s="65" t="str">
        <f t="shared" si="6"/>
        <v>Canal.de.Cor</v>
      </c>
      <c r="V12" s="60" t="s">
        <v>90</v>
      </c>
      <c r="W12" s="78" t="str">
        <f t="shared" si="4"/>
        <v>Key-CROMA-12</v>
      </c>
      <c r="X12" s="60" t="s">
        <v>1</v>
      </c>
      <c r="Y12" s="60" t="s">
        <v>1</v>
      </c>
      <c r="Z12" s="60" t="s">
        <v>1</v>
      </c>
      <c r="AA12" s="60" t="str">
        <f t="shared" si="8"/>
        <v>Amount of green color between that can vary from 0 to 255.</v>
      </c>
    </row>
    <row r="13" spans="1:27" ht="6.65" customHeight="1" x14ac:dyDescent="0.4">
      <c r="A13" s="64">
        <v>13</v>
      </c>
      <c r="B13" s="71" t="s">
        <v>359</v>
      </c>
      <c r="C13" s="27" t="s">
        <v>360</v>
      </c>
      <c r="D13" s="28" t="s">
        <v>361</v>
      </c>
      <c r="E13" s="27" t="s">
        <v>330</v>
      </c>
      <c r="F13" s="26" t="s">
        <v>95</v>
      </c>
      <c r="G13" s="74" t="s">
        <v>1</v>
      </c>
      <c r="H13" s="74" t="s">
        <v>1</v>
      </c>
      <c r="I13" s="74" t="s">
        <v>1</v>
      </c>
      <c r="J13" s="74" t="s">
        <v>1</v>
      </c>
      <c r="K13" s="75" t="s">
        <v>347</v>
      </c>
      <c r="L13" s="66" t="str">
        <f>_xlfn.CONCAT(C13)</f>
        <v>Cromáticos</v>
      </c>
      <c r="M13" s="66" t="str">
        <f t="shared" si="5"/>
        <v>Paletas</v>
      </c>
      <c r="N13" s="66" t="str">
        <f t="shared" si="5"/>
        <v>Canal.de.Cor</v>
      </c>
      <c r="O13" s="66" t="str">
        <f t="shared" si="5"/>
        <v>Blue</v>
      </c>
      <c r="P13" s="66" t="s">
        <v>237</v>
      </c>
      <c r="Q13" s="66" t="str">
        <f t="shared" si="7"/>
        <v>La cantidad de color azul entre eso puede variar de 0 a 255.</v>
      </c>
      <c r="R13" s="65" t="s">
        <v>1</v>
      </c>
      <c r="S13" s="60" t="str">
        <f t="shared" si="6"/>
        <v>Cromáticos</v>
      </c>
      <c r="T13" s="60" t="str">
        <f t="shared" si="6"/>
        <v>Paletas</v>
      </c>
      <c r="U13" s="65" t="str">
        <f t="shared" si="6"/>
        <v>Canal.de.Cor</v>
      </c>
      <c r="V13" s="60" t="s">
        <v>90</v>
      </c>
      <c r="W13" s="78" t="str">
        <f t="shared" si="4"/>
        <v>Key-CROMA-13</v>
      </c>
      <c r="X13" s="60" t="s">
        <v>1</v>
      </c>
      <c r="Y13" s="60" t="s">
        <v>1</v>
      </c>
      <c r="Z13" s="60" t="s">
        <v>1</v>
      </c>
      <c r="AA13" s="60" t="str">
        <f t="shared" si="8"/>
        <v>Amount of blue color between that can vary from 0 to 255.</v>
      </c>
    </row>
    <row r="14" spans="1:27" ht="6.65" customHeight="1" x14ac:dyDescent="0.4">
      <c r="A14" s="64">
        <v>14</v>
      </c>
      <c r="B14" s="71" t="s">
        <v>359</v>
      </c>
      <c r="C14" s="27" t="s">
        <v>360</v>
      </c>
      <c r="D14" s="28" t="s">
        <v>361</v>
      </c>
      <c r="E14" s="27" t="s">
        <v>330</v>
      </c>
      <c r="F14" s="26" t="s">
        <v>96</v>
      </c>
      <c r="G14" s="74" t="s">
        <v>1</v>
      </c>
      <c r="H14" s="74" t="s">
        <v>1</v>
      </c>
      <c r="I14" s="74" t="s">
        <v>1</v>
      </c>
      <c r="J14" s="74" t="s">
        <v>1</v>
      </c>
      <c r="K14" s="75" t="s">
        <v>340</v>
      </c>
      <c r="L14" s="66" t="str">
        <f t="shared" ref="L14:L16" si="10">_xlfn.CONCAT(C14)</f>
        <v>Cromáticos</v>
      </c>
      <c r="M14" s="66" t="str">
        <f t="shared" si="5"/>
        <v>Paletas</v>
      </c>
      <c r="N14" s="66" t="str">
        <f t="shared" si="5"/>
        <v>Canal.de.Cor</v>
      </c>
      <c r="O14" s="66" t="str">
        <f t="shared" si="5"/>
        <v>Alfa</v>
      </c>
      <c r="P14" s="66" t="s">
        <v>244</v>
      </c>
      <c r="Q14" s="66" t="str">
        <f t="shared" si="7"/>
        <v>Cantidad de transparencia que puede variar entre 0 y 255.</v>
      </c>
      <c r="R14" s="65" t="s">
        <v>1</v>
      </c>
      <c r="S14" s="60" t="str">
        <f t="shared" si="6"/>
        <v>Cromáticos</v>
      </c>
      <c r="T14" s="60" t="str">
        <f t="shared" si="6"/>
        <v>Paletas</v>
      </c>
      <c r="U14" s="65" t="str">
        <f t="shared" si="6"/>
        <v>Canal.de.Cor</v>
      </c>
      <c r="V14" s="60" t="s">
        <v>90</v>
      </c>
      <c r="W14" s="78" t="str">
        <f t="shared" si="4"/>
        <v>Key-CROMA-14</v>
      </c>
      <c r="X14" s="60" t="s">
        <v>1</v>
      </c>
      <c r="Y14" s="60" t="s">
        <v>1</v>
      </c>
      <c r="Z14" s="60" t="s">
        <v>1</v>
      </c>
      <c r="AA14" s="60" t="str">
        <f t="shared" si="8"/>
        <v>Amount of transparency that can vary between 0 and 255.</v>
      </c>
    </row>
    <row r="15" spans="1:27" ht="6.65" customHeight="1" x14ac:dyDescent="0.4">
      <c r="A15" s="64">
        <v>15</v>
      </c>
      <c r="B15" s="71" t="s">
        <v>359</v>
      </c>
      <c r="C15" s="27" t="s">
        <v>360</v>
      </c>
      <c r="D15" s="28" t="s">
        <v>361</v>
      </c>
      <c r="E15" s="43" t="s">
        <v>97</v>
      </c>
      <c r="F15" s="20" t="s">
        <v>127</v>
      </c>
      <c r="G15" s="74" t="s">
        <v>1</v>
      </c>
      <c r="H15" s="74" t="s">
        <v>1</v>
      </c>
      <c r="I15" s="74" t="s">
        <v>1</v>
      </c>
      <c r="J15" s="74" t="s">
        <v>1</v>
      </c>
      <c r="K15" s="76" t="s">
        <v>328</v>
      </c>
      <c r="L15" s="67" t="str">
        <f t="shared" si="10"/>
        <v>Cromáticos</v>
      </c>
      <c r="M15" s="67" t="str">
        <f t="shared" si="5"/>
        <v>Paletas</v>
      </c>
      <c r="N15" s="67" t="str">
        <f t="shared" si="5"/>
        <v>Cor.Digital</v>
      </c>
      <c r="O15" s="67" t="str">
        <f t="shared" si="5"/>
        <v>CMY</v>
      </c>
      <c r="P15" s="67" t="s">
        <v>236</v>
      </c>
      <c r="Q15" s="66" t="str">
        <f t="shared" si="7"/>
        <v>Color digital compuesto por canales CMY.</v>
      </c>
      <c r="R15" s="65" t="s">
        <v>1</v>
      </c>
      <c r="S15" s="60" t="str">
        <f t="shared" si="6"/>
        <v>Cromáticos</v>
      </c>
      <c r="T15" s="60" t="str">
        <f t="shared" si="6"/>
        <v>Paletas</v>
      </c>
      <c r="U15" s="65" t="str">
        <f t="shared" si="6"/>
        <v>Cor.Digital</v>
      </c>
      <c r="V15" s="60" t="s">
        <v>90</v>
      </c>
      <c r="W15" s="78" t="str">
        <f t="shared" si="4"/>
        <v>Key-CROMA-15</v>
      </c>
      <c r="X15" s="60" t="s">
        <v>1</v>
      </c>
      <c r="Y15" s="60" t="s">
        <v>1</v>
      </c>
      <c r="Z15" s="60" t="s">
        <v>1</v>
      </c>
      <c r="AA15" s="60" t="str">
        <f t="shared" si="8"/>
        <v>Digital color composed of CMY channels.</v>
      </c>
    </row>
    <row r="16" spans="1:27" ht="6.65" customHeight="1" x14ac:dyDescent="0.4">
      <c r="A16" s="64">
        <v>16</v>
      </c>
      <c r="B16" s="71" t="s">
        <v>359</v>
      </c>
      <c r="C16" s="27" t="s">
        <v>360</v>
      </c>
      <c r="D16" s="28" t="s">
        <v>361</v>
      </c>
      <c r="E16" s="43" t="s">
        <v>97</v>
      </c>
      <c r="F16" s="20" t="s">
        <v>128</v>
      </c>
      <c r="G16" s="74" t="s">
        <v>1</v>
      </c>
      <c r="H16" s="74" t="s">
        <v>1</v>
      </c>
      <c r="I16" s="74" t="s">
        <v>1</v>
      </c>
      <c r="J16" s="74" t="s">
        <v>1</v>
      </c>
      <c r="K16" s="76" t="s">
        <v>329</v>
      </c>
      <c r="L16" s="67" t="str">
        <f t="shared" si="10"/>
        <v>Cromáticos</v>
      </c>
      <c r="M16" s="67" t="str">
        <f t="shared" si="5"/>
        <v>Paletas</v>
      </c>
      <c r="N16" s="67" t="str">
        <f t="shared" si="5"/>
        <v>Cor.Digital</v>
      </c>
      <c r="O16" s="67" t="str">
        <f t="shared" si="5"/>
        <v>CMYB</v>
      </c>
      <c r="P16" s="67" t="s">
        <v>235</v>
      </c>
      <c r="Q16" s="66" t="str">
        <f t="shared" si="7"/>
        <v>Color digital compuesto por canales CMYB.</v>
      </c>
      <c r="R16" s="65" t="s">
        <v>1</v>
      </c>
      <c r="S16" s="60" t="str">
        <f t="shared" si="6"/>
        <v>Cromáticos</v>
      </c>
      <c r="T16" s="60" t="str">
        <f t="shared" si="6"/>
        <v>Paletas</v>
      </c>
      <c r="U16" s="65" t="str">
        <f t="shared" si="6"/>
        <v>Cor.Digital</v>
      </c>
      <c r="V16" s="60" t="s">
        <v>90</v>
      </c>
      <c r="W16" s="78" t="str">
        <f t="shared" si="4"/>
        <v>Key-CROMA-16</v>
      </c>
      <c r="X16" s="60" t="s">
        <v>1</v>
      </c>
      <c r="Y16" s="60" t="s">
        <v>1</v>
      </c>
      <c r="Z16" s="60" t="s">
        <v>1</v>
      </c>
      <c r="AA16" s="60" t="str">
        <f t="shared" si="8"/>
        <v>Digital color composed of CMYB channels.</v>
      </c>
    </row>
    <row r="17" spans="1:27" ht="6.65" customHeight="1" x14ac:dyDescent="0.4">
      <c r="A17" s="64">
        <v>17</v>
      </c>
      <c r="B17" s="71" t="s">
        <v>359</v>
      </c>
      <c r="C17" s="27" t="s">
        <v>360</v>
      </c>
      <c r="D17" s="28" t="s">
        <v>361</v>
      </c>
      <c r="E17" s="43" t="s">
        <v>97</v>
      </c>
      <c r="F17" s="20" t="s">
        <v>129</v>
      </c>
      <c r="G17" s="74" t="s">
        <v>1</v>
      </c>
      <c r="H17" s="74" t="s">
        <v>1</v>
      </c>
      <c r="I17" s="74" t="s">
        <v>1</v>
      </c>
      <c r="J17" s="74" t="s">
        <v>1</v>
      </c>
      <c r="K17" s="76" t="s">
        <v>326</v>
      </c>
      <c r="L17" s="67" t="str">
        <f t="shared" si="9"/>
        <v>Cromáticos</v>
      </c>
      <c r="M17" s="67" t="str">
        <f t="shared" si="5"/>
        <v>Paletas</v>
      </c>
      <c r="N17" s="67" t="str">
        <f t="shared" si="5"/>
        <v>Cor.Digital</v>
      </c>
      <c r="O17" s="67" t="str">
        <f t="shared" si="5"/>
        <v>RGB</v>
      </c>
      <c r="P17" s="67" t="s">
        <v>234</v>
      </c>
      <c r="Q17" s="66" t="str">
        <f t="shared" si="7"/>
        <v>Color digital compuesto por canales RGB.</v>
      </c>
      <c r="R17" s="65" t="s">
        <v>1</v>
      </c>
      <c r="S17" s="60" t="str">
        <f t="shared" si="6"/>
        <v>Cromáticos</v>
      </c>
      <c r="T17" s="60" t="str">
        <f t="shared" si="6"/>
        <v>Paletas</v>
      </c>
      <c r="U17" s="65" t="str">
        <f t="shared" si="6"/>
        <v>Cor.Digital</v>
      </c>
      <c r="V17" s="60" t="s">
        <v>90</v>
      </c>
      <c r="W17" s="78" t="str">
        <f t="shared" si="4"/>
        <v>Key-CROMA-17</v>
      </c>
      <c r="X17" s="60" t="s">
        <v>1</v>
      </c>
      <c r="Y17" s="60" t="s">
        <v>1</v>
      </c>
      <c r="Z17" s="60" t="s">
        <v>1</v>
      </c>
      <c r="AA17" s="60" t="str">
        <f t="shared" si="8"/>
        <v>Digital color composed of RGB channels.</v>
      </c>
    </row>
    <row r="18" spans="1:27" ht="6.65" customHeight="1" x14ac:dyDescent="0.4">
      <c r="A18" s="64">
        <v>18</v>
      </c>
      <c r="B18" s="71" t="s">
        <v>359</v>
      </c>
      <c r="C18" s="27" t="s">
        <v>360</v>
      </c>
      <c r="D18" s="28" t="s">
        <v>361</v>
      </c>
      <c r="E18" s="43" t="s">
        <v>97</v>
      </c>
      <c r="F18" s="20" t="s">
        <v>130</v>
      </c>
      <c r="G18" s="74" t="s">
        <v>1</v>
      </c>
      <c r="H18" s="74" t="s">
        <v>1</v>
      </c>
      <c r="I18" s="74" t="s">
        <v>1</v>
      </c>
      <c r="J18" s="74" t="s">
        <v>1</v>
      </c>
      <c r="K18" s="76" t="s">
        <v>327</v>
      </c>
      <c r="L18" s="67" t="str">
        <f t="shared" si="9"/>
        <v>Cromáticos</v>
      </c>
      <c r="M18" s="67" t="str">
        <f t="shared" si="5"/>
        <v>Paletas</v>
      </c>
      <c r="N18" s="67" t="str">
        <f t="shared" si="5"/>
        <v>Cor.Digital</v>
      </c>
      <c r="O18" s="67" t="str">
        <f t="shared" si="5"/>
        <v>RGBA</v>
      </c>
      <c r="P18" s="67" t="s">
        <v>230</v>
      </c>
      <c r="Q18" s="66" t="str">
        <f t="shared" si="7"/>
        <v>Color digital compuesto por canales RGBA. El canal A define transparencia.</v>
      </c>
      <c r="R18" s="65" t="s">
        <v>1</v>
      </c>
      <c r="S18" s="60" t="str">
        <f t="shared" si="6"/>
        <v>Cromáticos</v>
      </c>
      <c r="T18" s="60" t="str">
        <f t="shared" si="6"/>
        <v>Paletas</v>
      </c>
      <c r="U18" s="65" t="str">
        <f t="shared" si="6"/>
        <v>Cor.Digital</v>
      </c>
      <c r="V18" s="60" t="s">
        <v>90</v>
      </c>
      <c r="W18" s="78" t="str">
        <f t="shared" si="4"/>
        <v>Key-CROMA-18</v>
      </c>
      <c r="X18" s="60" t="s">
        <v>1</v>
      </c>
      <c r="Y18" s="60" t="s">
        <v>1</v>
      </c>
      <c r="Z18" s="60" t="s">
        <v>1</v>
      </c>
      <c r="AA18" s="60" t="str">
        <f t="shared" si="8"/>
        <v>Digital color composed of RGBA channels. Channel A defines transparency.</v>
      </c>
    </row>
    <row r="19" spans="1:27" ht="6.65" customHeight="1" x14ac:dyDescent="0.4">
      <c r="A19" s="64">
        <v>19</v>
      </c>
      <c r="B19" s="71" t="s">
        <v>359</v>
      </c>
      <c r="C19" s="27" t="s">
        <v>360</v>
      </c>
      <c r="D19" s="28" t="s">
        <v>361</v>
      </c>
      <c r="E19" s="43" t="s">
        <v>149</v>
      </c>
      <c r="F19" s="20" t="s">
        <v>174</v>
      </c>
      <c r="G19" s="74" t="s">
        <v>1</v>
      </c>
      <c r="H19" s="74" t="s">
        <v>1</v>
      </c>
      <c r="I19" s="74" t="s">
        <v>1</v>
      </c>
      <c r="J19" s="74" t="s">
        <v>1</v>
      </c>
      <c r="K19" s="74" t="s">
        <v>1</v>
      </c>
      <c r="L19" s="67" t="str">
        <f t="shared" si="9"/>
        <v>Cromáticos</v>
      </c>
      <c r="M19" s="67" t="str">
        <f t="shared" si="5"/>
        <v>Paletas</v>
      </c>
      <c r="N19" s="67" t="str">
        <f t="shared" si="5"/>
        <v>Munsell</v>
      </c>
      <c r="O19" s="67" t="str">
        <f t="shared" si="5"/>
        <v>Hue</v>
      </c>
      <c r="P19" s="67" t="s">
        <v>233</v>
      </c>
      <c r="Q19" s="66" t="str">
        <f t="shared" si="7"/>
        <v>Sistema de color Munsell: Parámetro de tono.</v>
      </c>
      <c r="R19" s="65" t="s">
        <v>1</v>
      </c>
      <c r="S19" s="60" t="str">
        <f t="shared" si="6"/>
        <v>Cromáticos</v>
      </c>
      <c r="T19" s="60" t="str">
        <f t="shared" si="6"/>
        <v>Paletas</v>
      </c>
      <c r="U19" s="65" t="str">
        <f t="shared" si="6"/>
        <v>Munsell</v>
      </c>
      <c r="V19" s="60" t="s">
        <v>90</v>
      </c>
      <c r="W19" s="78" t="str">
        <f t="shared" si="4"/>
        <v>Key-CROMA-19</v>
      </c>
      <c r="X19" s="60" t="s">
        <v>1</v>
      </c>
      <c r="Y19" s="60" t="s">
        <v>1</v>
      </c>
      <c r="Z19" s="60" t="s">
        <v>1</v>
      </c>
      <c r="AA19" s="60" t="str">
        <f t="shared" si="8"/>
        <v>Munsell Color System: Hue Parameter.</v>
      </c>
    </row>
    <row r="20" spans="1:27" ht="6.65" customHeight="1" x14ac:dyDescent="0.4">
      <c r="A20" s="64">
        <v>20</v>
      </c>
      <c r="B20" s="71" t="s">
        <v>359</v>
      </c>
      <c r="C20" s="27" t="s">
        <v>360</v>
      </c>
      <c r="D20" s="28" t="s">
        <v>361</v>
      </c>
      <c r="E20" s="43" t="s">
        <v>149</v>
      </c>
      <c r="F20" s="20" t="s">
        <v>175</v>
      </c>
      <c r="G20" s="74" t="s">
        <v>1</v>
      </c>
      <c r="H20" s="74" t="s">
        <v>1</v>
      </c>
      <c r="I20" s="74" t="s">
        <v>1</v>
      </c>
      <c r="J20" s="74" t="s">
        <v>1</v>
      </c>
      <c r="K20" s="74" t="s">
        <v>1</v>
      </c>
      <c r="L20" s="67" t="str">
        <f t="shared" si="9"/>
        <v>Cromáticos</v>
      </c>
      <c r="M20" s="67" t="str">
        <f t="shared" si="5"/>
        <v>Paletas</v>
      </c>
      <c r="N20" s="67" t="str">
        <f t="shared" si="5"/>
        <v>Munsell</v>
      </c>
      <c r="O20" s="67" t="str">
        <f t="shared" si="5"/>
        <v>Luminosidade</v>
      </c>
      <c r="P20" s="67" t="s">
        <v>232</v>
      </c>
      <c r="Q20" s="66" t="str">
        <f t="shared" si="7"/>
        <v>Sistema de color Munsell: Parámetro de luminosidad.</v>
      </c>
      <c r="R20" s="65" t="s">
        <v>1</v>
      </c>
      <c r="S20" s="60" t="str">
        <f t="shared" si="6"/>
        <v>Cromáticos</v>
      </c>
      <c r="T20" s="60" t="str">
        <f t="shared" si="6"/>
        <v>Paletas</v>
      </c>
      <c r="U20" s="65" t="str">
        <f t="shared" si="6"/>
        <v>Munsell</v>
      </c>
      <c r="V20" s="60" t="s">
        <v>90</v>
      </c>
      <c r="W20" s="78" t="str">
        <f t="shared" si="4"/>
        <v>Key-CROMA-20</v>
      </c>
      <c r="X20" s="60" t="s">
        <v>1</v>
      </c>
      <c r="Y20" s="60" t="s">
        <v>1</v>
      </c>
      <c r="Z20" s="60" t="s">
        <v>1</v>
      </c>
      <c r="AA20" s="60" t="str">
        <f t="shared" si="8"/>
        <v>Munsell color system: Luminosity parameter.</v>
      </c>
    </row>
    <row r="21" spans="1:27" ht="6.65" customHeight="1" x14ac:dyDescent="0.4">
      <c r="A21" s="64">
        <v>21</v>
      </c>
      <c r="B21" s="71" t="s">
        <v>359</v>
      </c>
      <c r="C21" s="27" t="s">
        <v>360</v>
      </c>
      <c r="D21" s="28" t="s">
        <v>361</v>
      </c>
      <c r="E21" s="43" t="s">
        <v>149</v>
      </c>
      <c r="F21" s="20" t="s">
        <v>176</v>
      </c>
      <c r="G21" s="74" t="s">
        <v>1</v>
      </c>
      <c r="H21" s="74" t="s">
        <v>1</v>
      </c>
      <c r="I21" s="74" t="s">
        <v>1</v>
      </c>
      <c r="J21" s="74" t="s">
        <v>1</v>
      </c>
      <c r="K21" s="74" t="s">
        <v>1</v>
      </c>
      <c r="L21" s="67" t="str">
        <f t="shared" si="9"/>
        <v>Cromáticos</v>
      </c>
      <c r="M21" s="67" t="str">
        <f t="shared" si="5"/>
        <v>Paletas</v>
      </c>
      <c r="N21" s="67" t="str">
        <f t="shared" si="5"/>
        <v>Munsell</v>
      </c>
      <c r="O21" s="67" t="str">
        <f t="shared" si="5"/>
        <v>Croma</v>
      </c>
      <c r="P21" s="67" t="s">
        <v>231</v>
      </c>
      <c r="Q21" s="66" t="str">
        <f t="shared" si="7"/>
        <v>Sistema de color Munsell: Cromina de parámetros. Es el grado de distancia de un color al color neutro del mismo valor. Una cromina baja debilita el color. Una cromancia alta para color saturado, intenso o vivo.</v>
      </c>
      <c r="R21" s="65" t="s">
        <v>1</v>
      </c>
      <c r="S21" s="60" t="str">
        <f t="shared" si="6"/>
        <v>Cromáticos</v>
      </c>
      <c r="T21" s="60" t="str">
        <f t="shared" si="6"/>
        <v>Paletas</v>
      </c>
      <c r="U21" s="65" t="str">
        <f t="shared" si="6"/>
        <v>Munsell</v>
      </c>
      <c r="V21" s="60" t="s">
        <v>90</v>
      </c>
      <c r="W21" s="78" t="str">
        <f t="shared" si="4"/>
        <v>Key-CROMA-21</v>
      </c>
      <c r="X21" s="60" t="s">
        <v>1</v>
      </c>
      <c r="Y21" s="60" t="s">
        <v>1</v>
      </c>
      <c r="Z21" s="60" t="s">
        <v>1</v>
      </c>
      <c r="AA21" s="60" t="str">
        <f t="shared" si="8"/>
        <v>Munsell Color System: Parameter Chroma. It is the degree of distance of a color from the neutral color of the same value. A low chroma weakens the color. A high chroma for saturated, strong, or vivid color.</v>
      </c>
    </row>
    <row r="22" spans="1:27" ht="6.65" customHeight="1" x14ac:dyDescent="0.4">
      <c r="A22" s="64">
        <v>22</v>
      </c>
      <c r="B22" s="71" t="s">
        <v>359</v>
      </c>
      <c r="C22" s="27" t="s">
        <v>360</v>
      </c>
      <c r="D22" s="28" t="s">
        <v>361</v>
      </c>
      <c r="E22" s="43" t="s">
        <v>149</v>
      </c>
      <c r="F22" s="20" t="s">
        <v>227</v>
      </c>
      <c r="G22" s="74" t="s">
        <v>1</v>
      </c>
      <c r="H22" s="74" t="s">
        <v>1</v>
      </c>
      <c r="I22" s="74" t="s">
        <v>1</v>
      </c>
      <c r="J22" s="74" t="s">
        <v>1</v>
      </c>
      <c r="K22" s="74" t="s">
        <v>1</v>
      </c>
      <c r="L22" s="67" t="str">
        <f t="shared" si="9"/>
        <v>Cromáticos</v>
      </c>
      <c r="M22" s="67" t="str">
        <f t="shared" si="5"/>
        <v>Paletas</v>
      </c>
      <c r="N22" s="67" t="str">
        <f t="shared" si="5"/>
        <v>Munsell</v>
      </c>
      <c r="O22" s="67" t="str">
        <f t="shared" si="5"/>
        <v>Cor.Munsell</v>
      </c>
      <c r="P22" s="67" t="s">
        <v>228</v>
      </c>
      <c r="Q22" s="66" t="str">
        <f t="shared" si="7"/>
        <v>Color específico del sistema Munsell.</v>
      </c>
      <c r="R22" s="65" t="s">
        <v>1</v>
      </c>
      <c r="S22" s="60" t="str">
        <f t="shared" si="6"/>
        <v>Cromáticos</v>
      </c>
      <c r="T22" s="60" t="str">
        <f t="shared" si="6"/>
        <v>Paletas</v>
      </c>
      <c r="U22" s="65" t="str">
        <f t="shared" si="6"/>
        <v>Munsell</v>
      </c>
      <c r="V22" s="60" t="s">
        <v>90</v>
      </c>
      <c r="W22" s="78" t="str">
        <f t="shared" si="4"/>
        <v>Key-CROMA-22</v>
      </c>
      <c r="X22" s="60" t="s">
        <v>1</v>
      </c>
      <c r="Y22" s="60" t="s">
        <v>1</v>
      </c>
      <c r="Z22" s="60" t="s">
        <v>1</v>
      </c>
      <c r="AA22" s="60" t="str">
        <f t="shared" si="8"/>
        <v>Munsell system-specific color.</v>
      </c>
    </row>
    <row r="23" spans="1:27" ht="6.65" customHeight="1" x14ac:dyDescent="0.4">
      <c r="A23" s="64">
        <v>23</v>
      </c>
      <c r="B23" s="71" t="s">
        <v>359</v>
      </c>
      <c r="C23" s="27" t="s">
        <v>360</v>
      </c>
      <c r="D23" s="43" t="s">
        <v>119</v>
      </c>
      <c r="E23" s="43" t="s">
        <v>114</v>
      </c>
      <c r="F23" s="20" t="s">
        <v>115</v>
      </c>
      <c r="G23" s="74" t="s">
        <v>1</v>
      </c>
      <c r="H23" s="74" t="s">
        <v>1</v>
      </c>
      <c r="I23" s="74" t="s">
        <v>1</v>
      </c>
      <c r="J23" s="74" t="s">
        <v>1</v>
      </c>
      <c r="K23" s="74" t="s">
        <v>1</v>
      </c>
      <c r="L23" s="67" t="str">
        <f t="shared" si="9"/>
        <v>Cromáticos</v>
      </c>
      <c r="M23" s="67" t="str">
        <f t="shared" ref="M23:O24" si="11">_xlfn.CONCAT("", D23)</f>
        <v>Catálogo</v>
      </c>
      <c r="N23" s="67" t="str">
        <f t="shared" si="11"/>
        <v>Pantone</v>
      </c>
      <c r="O23" s="67" t="str">
        <f t="shared" si="11"/>
        <v xml:space="preserve">Cor.Pantone </v>
      </c>
      <c r="P23" s="67" t="s">
        <v>229</v>
      </c>
      <c r="Q23" s="66" t="str">
        <f t="shared" si="7"/>
        <v>Color específico del catálogo de Pantone.</v>
      </c>
      <c r="R23" s="65" t="s">
        <v>1</v>
      </c>
      <c r="S23" s="60" t="str">
        <f t="shared" ref="S23:U24" si="12">SUBSTITUTE(C23, "_", " ")</f>
        <v>Cromáticos</v>
      </c>
      <c r="T23" s="60" t="str">
        <f t="shared" si="12"/>
        <v>Catálogo</v>
      </c>
      <c r="U23" s="65" t="str">
        <f t="shared" si="12"/>
        <v>Pantone</v>
      </c>
      <c r="V23" s="60" t="s">
        <v>90</v>
      </c>
      <c r="W23" s="78" t="str">
        <f t="shared" si="4"/>
        <v>Key-CROMA-23</v>
      </c>
      <c r="X23" s="60" t="s">
        <v>1</v>
      </c>
      <c r="Y23" s="60" t="s">
        <v>1</v>
      </c>
      <c r="Z23" s="60" t="s">
        <v>1</v>
      </c>
      <c r="AA23" s="60" t="str">
        <f t="shared" si="8"/>
        <v>Specific color from the Pantone catalog.</v>
      </c>
    </row>
    <row r="24" spans="1:27" ht="6.65" customHeight="1" x14ac:dyDescent="0.4">
      <c r="A24" s="64">
        <v>24</v>
      </c>
      <c r="B24" s="71" t="s">
        <v>359</v>
      </c>
      <c r="C24" s="27" t="s">
        <v>360</v>
      </c>
      <c r="D24" s="43" t="s">
        <v>119</v>
      </c>
      <c r="E24" s="43" t="s">
        <v>116</v>
      </c>
      <c r="F24" s="20" t="s">
        <v>117</v>
      </c>
      <c r="G24" s="74" t="s">
        <v>1</v>
      </c>
      <c r="H24" s="74" t="s">
        <v>1</v>
      </c>
      <c r="I24" s="74" t="s">
        <v>1</v>
      </c>
      <c r="J24" s="74" t="s">
        <v>1</v>
      </c>
      <c r="K24" s="74" t="s">
        <v>1</v>
      </c>
      <c r="L24" s="67" t="str">
        <f t="shared" si="9"/>
        <v>Cromáticos</v>
      </c>
      <c r="M24" s="67" t="str">
        <f t="shared" si="11"/>
        <v>Catálogo</v>
      </c>
      <c r="N24" s="67" t="str">
        <f t="shared" si="11"/>
        <v>DNIT</v>
      </c>
      <c r="O24" s="67" t="str">
        <f t="shared" si="11"/>
        <v xml:space="preserve">Cor.Dnit </v>
      </c>
      <c r="P24" s="67" t="s">
        <v>245</v>
      </c>
      <c r="Q24" s="66" t="str">
        <f t="shared" si="7"/>
        <v>Colores del catálogo del Departamento Nacional de Infraestructuras de Transporte de Brasil.</v>
      </c>
      <c r="R24" s="65" t="s">
        <v>1</v>
      </c>
      <c r="S24" s="60" t="str">
        <f t="shared" si="12"/>
        <v>Cromáticos</v>
      </c>
      <c r="T24" s="60" t="str">
        <f t="shared" si="12"/>
        <v>Catálogo</v>
      </c>
      <c r="U24" s="65" t="str">
        <f t="shared" si="12"/>
        <v>DNIT</v>
      </c>
      <c r="V24" s="60" t="s">
        <v>90</v>
      </c>
      <c r="W24" s="78" t="str">
        <f t="shared" si="4"/>
        <v>Key-CROMA-24</v>
      </c>
      <c r="X24" s="60" t="s">
        <v>1</v>
      </c>
      <c r="Y24" s="60" t="s">
        <v>1</v>
      </c>
      <c r="Z24" s="60" t="s">
        <v>1</v>
      </c>
      <c r="AA24" s="60" t="str">
        <f t="shared" si="8"/>
        <v>Colors from the catalog of the National Department of Transport Infrastructure of Brazil.</v>
      </c>
    </row>
  </sheetData>
  <phoneticPr fontId="1" type="noConversion"/>
  <conditionalFormatting sqref="A2:B24">
    <cfRule type="cellIs" dxfId="17" priority="6" operator="equal">
      <formula>"null"</formula>
    </cfRule>
  </conditionalFormatting>
  <conditionalFormatting sqref="A1:J1 C7:F24 S1:Z1 V2:V6 L7:Q24 S7:V24">
    <cfRule type="cellIs" dxfId="16" priority="22" operator="equal">
      <formula>"null"</formula>
    </cfRule>
  </conditionalFormatting>
  <conditionalFormatting sqref="F3:F6">
    <cfRule type="duplicateValues" dxfId="15" priority="1"/>
    <cfRule type="duplicateValues" dxfId="14" priority="2"/>
    <cfRule type="duplicateValues" dxfId="13" priority="3"/>
    <cfRule type="duplicateValues" dxfId="12" priority="4"/>
  </conditionalFormatting>
  <conditionalFormatting sqref="F7:F1048576 F1">
    <cfRule type="duplicateValues" dxfId="11" priority="21"/>
  </conditionalFormatting>
  <conditionalFormatting sqref="K1:Q1 K7:K18">
    <cfRule type="cellIs" dxfId="10" priority="7" operator="equal">
      <formula>"null"</formula>
    </cfRule>
  </conditionalFormatting>
  <conditionalFormatting sqref="AA1:AA24">
    <cfRule type="cellIs" dxfId="9" priority="5" operator="equal">
      <formula>"null"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D1C2-A59C-4020-8FC9-E5402FE7B33F}">
  <dimension ref="A1:U3"/>
  <sheetViews>
    <sheetView zoomScale="205" zoomScaleNormal="205" workbookViewId="0">
      <pane ySplit="1" topLeftCell="A2" activePane="bottomLeft" state="frozen"/>
      <selection activeCell="C18" sqref="C18"/>
      <selection pane="bottomLeft" activeCell="I8" sqref="I8"/>
    </sheetView>
  </sheetViews>
  <sheetFormatPr defaultColWidth="11.15234375" defaultRowHeight="7.95" customHeight="1" x14ac:dyDescent="0.2"/>
  <cols>
    <col min="1" max="1" width="2.84375" style="1" bestFit="1" customWidth="1"/>
    <col min="2" max="10" width="5.84375" style="2" customWidth="1"/>
    <col min="11" max="21" width="5.84375" style="5" customWidth="1"/>
    <col min="22" max="16384" width="11.15234375" style="5"/>
  </cols>
  <sheetData>
    <row r="1" spans="1:21" s="3" customFormat="1" ht="49.5" customHeight="1" x14ac:dyDescent="0.2">
      <c r="A1" s="39" t="s">
        <v>22</v>
      </c>
      <c r="B1" s="40" t="s">
        <v>2</v>
      </c>
      <c r="C1" s="40" t="s">
        <v>3</v>
      </c>
      <c r="D1" s="40" t="s">
        <v>4</v>
      </c>
      <c r="E1" s="40" t="s">
        <v>5</v>
      </c>
      <c r="F1" s="40" t="s">
        <v>6</v>
      </c>
      <c r="G1" s="40" t="s">
        <v>7</v>
      </c>
      <c r="H1" s="40" t="s">
        <v>8</v>
      </c>
      <c r="I1" s="40" t="s">
        <v>9</v>
      </c>
      <c r="J1" s="40" t="s">
        <v>10</v>
      </c>
      <c r="K1" s="40" t="s">
        <v>11</v>
      </c>
      <c r="L1" s="40" t="s">
        <v>12</v>
      </c>
      <c r="M1" s="40" t="s">
        <v>13</v>
      </c>
      <c r="N1" s="40" t="s">
        <v>14</v>
      </c>
      <c r="O1" s="40" t="s">
        <v>15</v>
      </c>
      <c r="P1" s="40" t="s">
        <v>16</v>
      </c>
      <c r="Q1" s="40" t="s">
        <v>17</v>
      </c>
      <c r="R1" s="40" t="s">
        <v>18</v>
      </c>
      <c r="S1" s="40" t="s">
        <v>19</v>
      </c>
      <c r="T1" s="40" t="s">
        <v>20</v>
      </c>
      <c r="U1" s="40" t="s">
        <v>21</v>
      </c>
    </row>
    <row r="2" spans="1:21" ht="9" customHeight="1" x14ac:dyDescent="0.2">
      <c r="A2" s="39">
        <v>2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  <c r="N2" s="4" t="s">
        <v>1</v>
      </c>
      <c r="O2" s="4" t="s">
        <v>1</v>
      </c>
      <c r="P2" s="4" t="s">
        <v>1</v>
      </c>
      <c r="Q2" s="4" t="s">
        <v>1</v>
      </c>
      <c r="R2" s="4" t="s">
        <v>1</v>
      </c>
      <c r="S2" s="4" t="s">
        <v>1</v>
      </c>
      <c r="T2" s="4" t="s">
        <v>1</v>
      </c>
      <c r="U2" s="4" t="s">
        <v>1</v>
      </c>
    </row>
    <row r="3" spans="1:21" ht="9" customHeight="1" x14ac:dyDescent="0.2">
      <c r="A3" s="39">
        <v>3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4" t="s">
        <v>1</v>
      </c>
      <c r="O3" s="4" t="s">
        <v>1</v>
      </c>
      <c r="P3" s="4" t="s">
        <v>1</v>
      </c>
      <c r="Q3" s="4" t="s">
        <v>1</v>
      </c>
      <c r="R3" s="4" t="s">
        <v>1</v>
      </c>
      <c r="S3" s="4" t="s">
        <v>1</v>
      </c>
      <c r="T3" s="4" t="s">
        <v>1</v>
      </c>
      <c r="U3" s="4" t="s">
        <v>1</v>
      </c>
    </row>
  </sheetData>
  <phoneticPr fontId="1" type="noConversion"/>
  <conditionalFormatting sqref="A1:XFD1048576">
    <cfRule type="cellIs" dxfId="8" priority="1" operator="equal">
      <formula>"null"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FE13-E93E-488C-9C8F-4E4982DFBAE7}">
  <dimension ref="A1:C2"/>
  <sheetViews>
    <sheetView zoomScale="175" zoomScaleNormal="175" workbookViewId="0">
      <pane ySplit="1" topLeftCell="A2" activePane="bottomLeft" state="frozen"/>
      <selection activeCell="C18" sqref="C18"/>
      <selection pane="bottomLeft" activeCell="C14" sqref="C14"/>
    </sheetView>
  </sheetViews>
  <sheetFormatPr defaultColWidth="9.15234375" defaultRowHeight="14.6" x14ac:dyDescent="0.4"/>
  <cols>
    <col min="1" max="1" width="3.3046875" customWidth="1"/>
    <col min="2" max="2" width="10.3046875" customWidth="1"/>
    <col min="3" max="3" width="14.84375" customWidth="1"/>
  </cols>
  <sheetData>
    <row r="1" spans="1:3" ht="49.5" customHeight="1" x14ac:dyDescent="0.4">
      <c r="A1" s="36">
        <v>1</v>
      </c>
      <c r="B1" s="37" t="s">
        <v>102</v>
      </c>
      <c r="C1" s="37" t="s">
        <v>103</v>
      </c>
    </row>
    <row r="2" spans="1:3" ht="14.5" customHeight="1" x14ac:dyDescent="0.4">
      <c r="A2" s="19">
        <v>2</v>
      </c>
      <c r="B2" s="38" t="s">
        <v>1</v>
      </c>
      <c r="C2" s="38" t="s">
        <v>1</v>
      </c>
    </row>
  </sheetData>
  <conditionalFormatting sqref="A1:A2">
    <cfRule type="cellIs" dxfId="7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52033-0BF0-4BCC-B911-A6BC1CA10036}">
  <dimension ref="A1:W62"/>
  <sheetViews>
    <sheetView tabSelected="1" zoomScale="235" zoomScaleNormal="235" workbookViewId="0">
      <pane ySplit="1" topLeftCell="A8" activePane="bottomLeft" state="frozen"/>
      <selection pane="bottomLeft" activeCell="C17" sqref="C17"/>
    </sheetView>
  </sheetViews>
  <sheetFormatPr defaultColWidth="9.15234375" defaultRowHeight="6.75" customHeight="1" x14ac:dyDescent="0.4"/>
  <cols>
    <col min="1" max="1" width="2.53515625" bestFit="1" customWidth="1"/>
    <col min="2" max="2" width="9.3046875" bestFit="1" customWidth="1"/>
    <col min="3" max="3" width="8" bestFit="1" customWidth="1"/>
    <col min="4" max="4" width="8.69140625" bestFit="1" customWidth="1"/>
    <col min="5" max="5" width="9.3046875" bestFit="1" customWidth="1"/>
    <col min="6" max="7" width="7.15234375" bestFit="1" customWidth="1"/>
    <col min="8" max="8" width="7.15234375" style="46" bestFit="1" customWidth="1"/>
    <col min="9" max="9" width="6.69140625" style="46" bestFit="1" customWidth="1"/>
    <col min="10" max="10" width="4.3046875" style="46" bestFit="1" customWidth="1"/>
    <col min="11" max="11" width="3.84375" style="46" bestFit="1" customWidth="1"/>
    <col min="12" max="12" width="6" bestFit="1" customWidth="1"/>
    <col min="13" max="13" width="41.84375" bestFit="1" customWidth="1"/>
    <col min="14" max="14" width="6.69140625" style="41" bestFit="1" customWidth="1"/>
    <col min="15" max="15" width="15.3828125" style="42" bestFit="1" customWidth="1"/>
    <col min="16" max="16" width="8.15234375" style="41" bestFit="1" customWidth="1"/>
    <col min="17" max="17" width="15.3828125" style="42" bestFit="1" customWidth="1"/>
    <col min="18" max="18" width="7.15234375" style="42" bestFit="1" customWidth="1"/>
    <col min="19" max="19" width="7.84375" style="42" bestFit="1" customWidth="1"/>
    <col min="20" max="20" width="6.3046875" style="42" bestFit="1" customWidth="1"/>
    <col min="21" max="21" width="91.3828125" style="42" bestFit="1" customWidth="1"/>
    <col min="22" max="22" width="5" style="42" bestFit="1" customWidth="1"/>
    <col min="23" max="23" width="9.15234375" style="42" bestFit="1" customWidth="1"/>
  </cols>
  <sheetData>
    <row r="1" spans="1:23" ht="45.75" customHeight="1" x14ac:dyDescent="0.4">
      <c r="A1" s="49" t="s">
        <v>91</v>
      </c>
      <c r="B1" s="32" t="s">
        <v>49</v>
      </c>
      <c r="C1" s="35" t="s">
        <v>49</v>
      </c>
      <c r="D1" s="32" t="s">
        <v>48</v>
      </c>
      <c r="E1" s="32" t="s">
        <v>92</v>
      </c>
      <c r="F1" s="32" t="s">
        <v>48</v>
      </c>
      <c r="G1" s="32" t="s">
        <v>92</v>
      </c>
      <c r="H1" s="56" t="s">
        <v>48</v>
      </c>
      <c r="I1" s="56" t="s">
        <v>92</v>
      </c>
      <c r="J1" s="56" t="s">
        <v>48</v>
      </c>
      <c r="K1" s="56" t="s">
        <v>92</v>
      </c>
      <c r="L1" s="32" t="s">
        <v>48</v>
      </c>
      <c r="M1" s="32" t="s">
        <v>92</v>
      </c>
      <c r="N1" s="35" t="s">
        <v>48</v>
      </c>
      <c r="O1" s="32" t="s">
        <v>92</v>
      </c>
      <c r="P1" s="35" t="s">
        <v>48</v>
      </c>
      <c r="Q1" s="32" t="s">
        <v>92</v>
      </c>
      <c r="R1" s="32" t="s">
        <v>48</v>
      </c>
      <c r="S1" s="32" t="s">
        <v>92</v>
      </c>
      <c r="T1" s="32" t="s">
        <v>48</v>
      </c>
      <c r="U1" s="32" t="s">
        <v>92</v>
      </c>
      <c r="V1" s="32" t="s">
        <v>48</v>
      </c>
      <c r="W1" s="32" t="s">
        <v>92</v>
      </c>
    </row>
    <row r="2" spans="1:23" s="41" customFormat="1" ht="6.75" customHeight="1" x14ac:dyDescent="0.4">
      <c r="A2" s="31">
        <v>2</v>
      </c>
      <c r="B2" s="34" t="s">
        <v>107</v>
      </c>
      <c r="C2" s="20" t="s">
        <v>93</v>
      </c>
      <c r="D2" s="30" t="s">
        <v>1</v>
      </c>
      <c r="E2" s="33" t="s">
        <v>1</v>
      </c>
      <c r="F2" s="30" t="s">
        <v>122</v>
      </c>
      <c r="G2" s="33" t="s">
        <v>331</v>
      </c>
      <c r="H2" s="30" t="s">
        <v>122</v>
      </c>
      <c r="I2" s="33" t="s">
        <v>333</v>
      </c>
      <c r="J2" s="57" t="s">
        <v>1</v>
      </c>
      <c r="K2" s="58" t="s">
        <v>1</v>
      </c>
      <c r="L2" s="44" t="s">
        <v>140</v>
      </c>
      <c r="M2" s="47" t="s">
        <v>260</v>
      </c>
      <c r="N2" s="45" t="s">
        <v>348</v>
      </c>
      <c r="O2" s="47">
        <v>255</v>
      </c>
      <c r="P2" s="45" t="s">
        <v>1</v>
      </c>
      <c r="Q2" s="47" t="s">
        <v>1</v>
      </c>
      <c r="R2" s="44" t="s">
        <v>1</v>
      </c>
      <c r="S2" s="47" t="s">
        <v>1</v>
      </c>
      <c r="T2" s="44" t="s">
        <v>1</v>
      </c>
      <c r="U2" s="47" t="s">
        <v>1</v>
      </c>
      <c r="V2" s="44" t="s">
        <v>1</v>
      </c>
      <c r="W2" s="47" t="str">
        <f>IF(OR(V2="rgb",V2="cmy",V2="rgba",V2="cmyb"),  SUBSTITUTE(_xlfn.CONCAT("""",O2,".",Q2,".",S2,".",U2,""""), ".null",""), V2)</f>
        <v>null</v>
      </c>
    </row>
    <row r="3" spans="1:23" s="41" customFormat="1" ht="6.75" customHeight="1" x14ac:dyDescent="0.4">
      <c r="A3" s="31">
        <v>3</v>
      </c>
      <c r="B3" s="34" t="s">
        <v>108</v>
      </c>
      <c r="C3" s="20" t="s">
        <v>94</v>
      </c>
      <c r="D3" s="30" t="s">
        <v>1</v>
      </c>
      <c r="E3" s="33" t="s">
        <v>1</v>
      </c>
      <c r="F3" s="30" t="s">
        <v>122</v>
      </c>
      <c r="G3" s="33" t="s">
        <v>331</v>
      </c>
      <c r="H3" s="30" t="s">
        <v>122</v>
      </c>
      <c r="I3" s="33" t="s">
        <v>333</v>
      </c>
      <c r="J3" s="57" t="s">
        <v>1</v>
      </c>
      <c r="K3" s="58" t="s">
        <v>1</v>
      </c>
      <c r="L3" s="44" t="s">
        <v>140</v>
      </c>
      <c r="M3" s="47" t="s">
        <v>261</v>
      </c>
      <c r="N3" s="45" t="s">
        <v>349</v>
      </c>
      <c r="O3" s="47">
        <v>255</v>
      </c>
      <c r="P3" s="45" t="s">
        <v>1</v>
      </c>
      <c r="Q3" s="47" t="s">
        <v>1</v>
      </c>
      <c r="R3" s="44" t="s">
        <v>1</v>
      </c>
      <c r="S3" s="47" t="s">
        <v>1</v>
      </c>
      <c r="T3" s="44" t="s">
        <v>1</v>
      </c>
      <c r="U3" s="47" t="s">
        <v>1</v>
      </c>
      <c r="V3" s="44" t="s">
        <v>1</v>
      </c>
      <c r="W3" s="47" t="str">
        <f t="shared" ref="W3:W17" si="0">IF(OR(V3="rgb",V3="cmy",V3="rgba",V3="cmyb"),  SUBSTITUTE(_xlfn.CONCAT("""",O3,".",Q3,".",S3,".",U3,""""), ".null",""), V3)</f>
        <v>null</v>
      </c>
    </row>
    <row r="4" spans="1:23" s="41" customFormat="1" ht="6.75" customHeight="1" x14ac:dyDescent="0.4">
      <c r="A4" s="31">
        <v>4</v>
      </c>
      <c r="B4" s="34" t="s">
        <v>109</v>
      </c>
      <c r="C4" s="20" t="s">
        <v>95</v>
      </c>
      <c r="D4" s="30" t="s">
        <v>1</v>
      </c>
      <c r="E4" s="33" t="s">
        <v>1</v>
      </c>
      <c r="F4" s="30" t="s">
        <v>122</v>
      </c>
      <c r="G4" s="33" t="s">
        <v>331</v>
      </c>
      <c r="H4" s="30" t="s">
        <v>122</v>
      </c>
      <c r="I4" s="33" t="s">
        <v>333</v>
      </c>
      <c r="J4" s="57" t="s">
        <v>1</v>
      </c>
      <c r="K4" s="58" t="s">
        <v>1</v>
      </c>
      <c r="L4" s="44" t="s">
        <v>140</v>
      </c>
      <c r="M4" s="47" t="s">
        <v>262</v>
      </c>
      <c r="N4" s="45" t="s">
        <v>350</v>
      </c>
      <c r="O4" s="47">
        <v>255</v>
      </c>
      <c r="P4" s="45" t="s">
        <v>1</v>
      </c>
      <c r="Q4" s="47" t="s">
        <v>1</v>
      </c>
      <c r="R4" s="44" t="s">
        <v>1</v>
      </c>
      <c r="S4" s="47" t="s">
        <v>1</v>
      </c>
      <c r="T4" s="44" t="s">
        <v>1</v>
      </c>
      <c r="U4" s="47" t="s">
        <v>1</v>
      </c>
      <c r="V4" s="44" t="s">
        <v>1</v>
      </c>
      <c r="W4" s="47" t="str">
        <f t="shared" si="0"/>
        <v>null</v>
      </c>
    </row>
    <row r="5" spans="1:23" s="41" customFormat="1" ht="6.75" customHeight="1" x14ac:dyDescent="0.4">
      <c r="A5" s="31">
        <v>5</v>
      </c>
      <c r="B5" s="34" t="s">
        <v>110</v>
      </c>
      <c r="C5" s="20" t="s">
        <v>96</v>
      </c>
      <c r="D5" s="30" t="s">
        <v>1</v>
      </c>
      <c r="E5" s="33" t="s">
        <v>1</v>
      </c>
      <c r="F5" s="30" t="s">
        <v>1</v>
      </c>
      <c r="G5" s="33" t="s">
        <v>1</v>
      </c>
      <c r="H5" s="30" t="s">
        <v>122</v>
      </c>
      <c r="I5" s="33" t="s">
        <v>333</v>
      </c>
      <c r="J5" s="57" t="s">
        <v>1</v>
      </c>
      <c r="K5" s="58" t="s">
        <v>1</v>
      </c>
      <c r="L5" s="44" t="s">
        <v>140</v>
      </c>
      <c r="M5" s="47" t="s">
        <v>263</v>
      </c>
      <c r="N5" s="45" t="s">
        <v>351</v>
      </c>
      <c r="O5" s="47">
        <v>255</v>
      </c>
      <c r="P5" s="45" t="s">
        <v>1</v>
      </c>
      <c r="Q5" s="47" t="s">
        <v>1</v>
      </c>
      <c r="R5" s="44" t="s">
        <v>1</v>
      </c>
      <c r="S5" s="47" t="s">
        <v>1</v>
      </c>
      <c r="T5" s="44" t="s">
        <v>1</v>
      </c>
      <c r="U5" s="47" t="s">
        <v>1</v>
      </c>
      <c r="V5" s="44" t="s">
        <v>1</v>
      </c>
      <c r="W5" s="47" t="str">
        <f t="shared" si="0"/>
        <v>null</v>
      </c>
    </row>
    <row r="6" spans="1:23" s="41" customFormat="1" ht="6.75" customHeight="1" x14ac:dyDescent="0.4">
      <c r="A6" s="31">
        <v>6</v>
      </c>
      <c r="B6" s="34" t="s">
        <v>111</v>
      </c>
      <c r="C6" s="20" t="s">
        <v>129</v>
      </c>
      <c r="D6" s="30" t="s">
        <v>1</v>
      </c>
      <c r="E6" s="33" t="s">
        <v>1</v>
      </c>
      <c r="F6" s="30" t="s">
        <v>122</v>
      </c>
      <c r="G6" s="33" t="s">
        <v>331</v>
      </c>
      <c r="H6" s="57" t="s">
        <v>1</v>
      </c>
      <c r="I6" s="58" t="s">
        <v>1</v>
      </c>
      <c r="J6" s="57" t="s">
        <v>1</v>
      </c>
      <c r="K6" s="58" t="s">
        <v>1</v>
      </c>
      <c r="L6" s="44" t="s">
        <v>140</v>
      </c>
      <c r="M6" s="47" t="s">
        <v>283</v>
      </c>
      <c r="N6" s="45" t="s">
        <v>348</v>
      </c>
      <c r="O6" s="47">
        <v>255</v>
      </c>
      <c r="P6" s="45" t="s">
        <v>349</v>
      </c>
      <c r="Q6" s="47">
        <v>0</v>
      </c>
      <c r="R6" s="44" t="s">
        <v>350</v>
      </c>
      <c r="S6" s="47">
        <v>0</v>
      </c>
      <c r="T6" s="44" t="s">
        <v>1</v>
      </c>
      <c r="U6" s="47" t="s">
        <v>1</v>
      </c>
      <c r="V6" s="44" t="s">
        <v>355</v>
      </c>
      <c r="W6" s="47" t="str">
        <f t="shared" ref="W6:W10" si="1">IF(OR(V6="cor.rgb",V6="cor.cmy",V6="cor.rgba",V6="cor.cmyb"),  SUBSTITUTE(_xlfn.CONCAT("""",O6,".",Q6,".",S6,".",U6,""""), ".null",""), V6)</f>
        <v>"255.0.0"</v>
      </c>
    </row>
    <row r="7" spans="1:23" s="41" customFormat="1" ht="6.75" customHeight="1" x14ac:dyDescent="0.4">
      <c r="A7" s="31">
        <v>7</v>
      </c>
      <c r="B7" s="34" t="s">
        <v>112</v>
      </c>
      <c r="C7" s="20" t="s">
        <v>129</v>
      </c>
      <c r="D7" s="30" t="s">
        <v>1</v>
      </c>
      <c r="E7" s="33" t="s">
        <v>1</v>
      </c>
      <c r="F7" s="30" t="s">
        <v>122</v>
      </c>
      <c r="G7" s="33" t="s">
        <v>331</v>
      </c>
      <c r="H7" s="57" t="s">
        <v>1</v>
      </c>
      <c r="I7" s="58" t="s">
        <v>1</v>
      </c>
      <c r="J7" s="57" t="s">
        <v>1</v>
      </c>
      <c r="K7" s="58" t="s">
        <v>1</v>
      </c>
      <c r="L7" s="44" t="s">
        <v>140</v>
      </c>
      <c r="M7" s="47" t="s">
        <v>284</v>
      </c>
      <c r="N7" s="45" t="s">
        <v>348</v>
      </c>
      <c r="O7" s="47">
        <v>0</v>
      </c>
      <c r="P7" s="45" t="s">
        <v>349</v>
      </c>
      <c r="Q7" s="47">
        <v>255</v>
      </c>
      <c r="R7" s="44" t="s">
        <v>350</v>
      </c>
      <c r="S7" s="47">
        <v>0</v>
      </c>
      <c r="T7" s="44" t="s">
        <v>1</v>
      </c>
      <c r="U7" s="47" t="s">
        <v>1</v>
      </c>
      <c r="V7" s="44" t="s">
        <v>355</v>
      </c>
      <c r="W7" s="47" t="str">
        <f t="shared" si="1"/>
        <v>"0.255.0"</v>
      </c>
    </row>
    <row r="8" spans="1:23" s="41" customFormat="1" ht="6.75" customHeight="1" x14ac:dyDescent="0.4">
      <c r="A8" s="31">
        <v>8</v>
      </c>
      <c r="B8" s="34" t="s">
        <v>113</v>
      </c>
      <c r="C8" s="20" t="s">
        <v>129</v>
      </c>
      <c r="D8" s="30" t="s">
        <v>1</v>
      </c>
      <c r="E8" s="33" t="s">
        <v>1</v>
      </c>
      <c r="F8" s="30" t="s">
        <v>122</v>
      </c>
      <c r="G8" s="33" t="s">
        <v>331</v>
      </c>
      <c r="H8" s="57" t="s">
        <v>1</v>
      </c>
      <c r="I8" s="58" t="s">
        <v>1</v>
      </c>
      <c r="J8" s="57" t="s">
        <v>1</v>
      </c>
      <c r="K8" s="58" t="s">
        <v>1</v>
      </c>
      <c r="L8" s="44" t="s">
        <v>140</v>
      </c>
      <c r="M8" s="47" t="s">
        <v>285</v>
      </c>
      <c r="N8" s="45" t="s">
        <v>348</v>
      </c>
      <c r="O8" s="47">
        <v>0</v>
      </c>
      <c r="P8" s="45" t="s">
        <v>349</v>
      </c>
      <c r="Q8" s="47">
        <v>0</v>
      </c>
      <c r="R8" s="44" t="s">
        <v>350</v>
      </c>
      <c r="S8" s="47">
        <v>255</v>
      </c>
      <c r="T8" s="44" t="s">
        <v>1</v>
      </c>
      <c r="U8" s="47" t="s">
        <v>1</v>
      </c>
      <c r="V8" s="44" t="s">
        <v>355</v>
      </c>
      <c r="W8" s="47" t="str">
        <f t="shared" si="1"/>
        <v>"0.0.255"</v>
      </c>
    </row>
    <row r="9" spans="1:23" s="41" customFormat="1" ht="6.75" customHeight="1" x14ac:dyDescent="0.4">
      <c r="A9" s="31">
        <v>9</v>
      </c>
      <c r="B9" s="34" t="s">
        <v>104</v>
      </c>
      <c r="C9" s="20" t="s">
        <v>129</v>
      </c>
      <c r="D9" s="30" t="s">
        <v>1</v>
      </c>
      <c r="E9" s="33" t="s">
        <v>1</v>
      </c>
      <c r="F9" s="30" t="s">
        <v>122</v>
      </c>
      <c r="G9" s="33" t="s">
        <v>331</v>
      </c>
      <c r="H9" s="57" t="s">
        <v>1</v>
      </c>
      <c r="I9" s="58" t="s">
        <v>1</v>
      </c>
      <c r="J9" s="57" t="s">
        <v>1</v>
      </c>
      <c r="K9" s="58" t="s">
        <v>1</v>
      </c>
      <c r="L9" s="44" t="s">
        <v>140</v>
      </c>
      <c r="M9" s="47" t="s">
        <v>280</v>
      </c>
      <c r="N9" s="45" t="s">
        <v>348</v>
      </c>
      <c r="O9" s="47">
        <v>200</v>
      </c>
      <c r="P9" s="45" t="s">
        <v>349</v>
      </c>
      <c r="Q9" s="47">
        <v>200</v>
      </c>
      <c r="R9" s="44" t="s">
        <v>350</v>
      </c>
      <c r="S9" s="47">
        <v>200</v>
      </c>
      <c r="T9" s="44" t="s">
        <v>1</v>
      </c>
      <c r="U9" s="47" t="s">
        <v>1</v>
      </c>
      <c r="V9" s="44" t="s">
        <v>355</v>
      </c>
      <c r="W9" s="47" t="str">
        <f t="shared" si="1"/>
        <v>"200.200.200"</v>
      </c>
    </row>
    <row r="10" spans="1:23" s="41" customFormat="1" ht="6.75" customHeight="1" x14ac:dyDescent="0.4">
      <c r="A10" s="31">
        <v>10</v>
      </c>
      <c r="B10" s="34" t="s">
        <v>105</v>
      </c>
      <c r="C10" s="20" t="s">
        <v>129</v>
      </c>
      <c r="D10" s="30" t="s">
        <v>1</v>
      </c>
      <c r="E10" s="33" t="s">
        <v>1</v>
      </c>
      <c r="F10" s="30" t="s">
        <v>122</v>
      </c>
      <c r="G10" s="33" t="s">
        <v>331</v>
      </c>
      <c r="H10" s="57" t="s">
        <v>1</v>
      </c>
      <c r="I10" s="58" t="s">
        <v>1</v>
      </c>
      <c r="J10" s="57" t="s">
        <v>1</v>
      </c>
      <c r="K10" s="58" t="s">
        <v>1</v>
      </c>
      <c r="L10" s="44" t="s">
        <v>140</v>
      </c>
      <c r="M10" s="47" t="s">
        <v>281</v>
      </c>
      <c r="N10" s="45" t="s">
        <v>348</v>
      </c>
      <c r="O10" s="47">
        <v>120</v>
      </c>
      <c r="P10" s="45" t="s">
        <v>349</v>
      </c>
      <c r="Q10" s="47">
        <v>120</v>
      </c>
      <c r="R10" s="44" t="s">
        <v>350</v>
      </c>
      <c r="S10" s="47">
        <v>120</v>
      </c>
      <c r="T10" s="44" t="s">
        <v>1</v>
      </c>
      <c r="U10" s="47" t="s">
        <v>1</v>
      </c>
      <c r="V10" s="44" t="s">
        <v>355</v>
      </c>
      <c r="W10" s="47" t="str">
        <f t="shared" si="1"/>
        <v>"120.120.120"</v>
      </c>
    </row>
    <row r="11" spans="1:23" s="41" customFormat="1" ht="6.75" customHeight="1" x14ac:dyDescent="0.4">
      <c r="A11" s="31">
        <v>11</v>
      </c>
      <c r="B11" s="34" t="s">
        <v>106</v>
      </c>
      <c r="C11" s="20" t="s">
        <v>129</v>
      </c>
      <c r="D11" s="30" t="s">
        <v>1</v>
      </c>
      <c r="E11" s="33" t="s">
        <v>1</v>
      </c>
      <c r="F11" s="30" t="s">
        <v>122</v>
      </c>
      <c r="G11" s="33" t="s">
        <v>331</v>
      </c>
      <c r="H11" s="57" t="s">
        <v>1</v>
      </c>
      <c r="I11" s="58" t="s">
        <v>1</v>
      </c>
      <c r="J11" s="57" t="s">
        <v>1</v>
      </c>
      <c r="K11" s="58" t="s">
        <v>1</v>
      </c>
      <c r="L11" s="44" t="s">
        <v>140</v>
      </c>
      <c r="M11" s="47" t="s">
        <v>282</v>
      </c>
      <c r="N11" s="45" t="s">
        <v>348</v>
      </c>
      <c r="O11" s="47">
        <v>20</v>
      </c>
      <c r="P11" s="45" t="s">
        <v>349</v>
      </c>
      <c r="Q11" s="47">
        <v>20</v>
      </c>
      <c r="R11" s="44" t="s">
        <v>350</v>
      </c>
      <c r="S11" s="47">
        <v>20</v>
      </c>
      <c r="T11" s="44" t="s">
        <v>1</v>
      </c>
      <c r="U11" s="47" t="s">
        <v>1</v>
      </c>
      <c r="V11" s="44" t="s">
        <v>355</v>
      </c>
      <c r="W11" s="47" t="str">
        <f>IF(OR(V11="cor.rgb",V11="cor.cmy",V11="cor.rgba",V11="cor.cmyb"),  SUBSTITUTE(_xlfn.CONCAT("""",O11,".",Q11,".",S11,".",U11,""""), ".null",""), V11)</f>
        <v>"20.20.20"</v>
      </c>
    </row>
    <row r="12" spans="1:23" s="41" customFormat="1" ht="6.75" customHeight="1" x14ac:dyDescent="0.4">
      <c r="A12" s="31">
        <v>12</v>
      </c>
      <c r="B12" s="34" t="s">
        <v>147</v>
      </c>
      <c r="C12" s="20" t="s">
        <v>129</v>
      </c>
      <c r="D12" s="30" t="s">
        <v>1</v>
      </c>
      <c r="E12" s="33" t="s">
        <v>1</v>
      </c>
      <c r="F12" s="30" t="s">
        <v>122</v>
      </c>
      <c r="G12" s="33" t="s">
        <v>331</v>
      </c>
      <c r="H12" s="57" t="s">
        <v>1</v>
      </c>
      <c r="I12" s="58" t="s">
        <v>1</v>
      </c>
      <c r="J12" s="57" t="s">
        <v>1</v>
      </c>
      <c r="K12" s="58" t="s">
        <v>1</v>
      </c>
      <c r="L12" s="44" t="s">
        <v>140</v>
      </c>
      <c r="M12" s="47" t="s">
        <v>279</v>
      </c>
      <c r="N12" s="45" t="s">
        <v>348</v>
      </c>
      <c r="O12" s="47">
        <v>150</v>
      </c>
      <c r="P12" s="45" t="s">
        <v>349</v>
      </c>
      <c r="Q12" s="47">
        <v>30</v>
      </c>
      <c r="R12" s="44" t="s">
        <v>350</v>
      </c>
      <c r="S12" s="47">
        <v>10</v>
      </c>
      <c r="T12" s="44" t="s">
        <v>1</v>
      </c>
      <c r="U12" s="47" t="s">
        <v>1</v>
      </c>
      <c r="V12" s="44" t="s">
        <v>355</v>
      </c>
      <c r="W12" s="47" t="str">
        <f>IF(OR(V12="cor.rgb",V12="cor.cmy",V12="cor.rgba",V12="cor.cmyb"),  SUBSTITUTE(_xlfn.CONCAT("""",O12,".",Q12,".",S12,".",U12,""""), ".null",""), V12)</f>
        <v>"150.30.10"</v>
      </c>
    </row>
    <row r="13" spans="1:23" s="41" customFormat="1" ht="6.75" customHeight="1" x14ac:dyDescent="0.4">
      <c r="A13" s="31">
        <v>13</v>
      </c>
      <c r="B13" s="34" t="s">
        <v>148</v>
      </c>
      <c r="C13" s="20" t="s">
        <v>129</v>
      </c>
      <c r="D13" s="30" t="s">
        <v>1</v>
      </c>
      <c r="E13" s="33" t="s">
        <v>1</v>
      </c>
      <c r="F13" s="30" t="s">
        <v>122</v>
      </c>
      <c r="G13" s="33" t="s">
        <v>331</v>
      </c>
      <c r="H13" s="57" t="s">
        <v>1</v>
      </c>
      <c r="I13" s="58" t="s">
        <v>1</v>
      </c>
      <c r="J13" s="57" t="s">
        <v>1</v>
      </c>
      <c r="K13" s="58" t="s">
        <v>1</v>
      </c>
      <c r="L13" s="44" t="s">
        <v>140</v>
      </c>
      <c r="M13" s="47" t="s">
        <v>279</v>
      </c>
      <c r="N13" s="45" t="s">
        <v>348</v>
      </c>
      <c r="O13" s="47">
        <v>150</v>
      </c>
      <c r="P13" s="45" t="s">
        <v>349</v>
      </c>
      <c r="Q13" s="47">
        <v>40</v>
      </c>
      <c r="R13" s="44" t="s">
        <v>350</v>
      </c>
      <c r="S13" s="47">
        <v>10</v>
      </c>
      <c r="T13" s="44" t="s">
        <v>1</v>
      </c>
      <c r="U13" s="47" t="s">
        <v>1</v>
      </c>
      <c r="V13" s="44" t="s">
        <v>355</v>
      </c>
      <c r="W13" s="47" t="str">
        <f t="shared" ref="W13:W15" si="2">IF(OR(V13="cor.rgb",V13="cor.cmy",V13="cor.rgba",V13="cor.cmyb"),  SUBSTITUTE(_xlfn.CONCAT("""",O13,".",Q13,".",S13,".",U13,""""), ".null",""), V13)</f>
        <v>"150.40.10"</v>
      </c>
    </row>
    <row r="14" spans="1:23" s="41" customFormat="1" ht="6.75" customHeight="1" x14ac:dyDescent="0.4">
      <c r="A14" s="31">
        <v>14</v>
      </c>
      <c r="B14" s="34" t="s">
        <v>145</v>
      </c>
      <c r="C14" s="20" t="s">
        <v>127</v>
      </c>
      <c r="D14" s="30" t="s">
        <v>1</v>
      </c>
      <c r="E14" s="33" t="s">
        <v>1</v>
      </c>
      <c r="F14" s="30" t="s">
        <v>122</v>
      </c>
      <c r="G14" s="33" t="s">
        <v>332</v>
      </c>
      <c r="H14" s="57" t="s">
        <v>1</v>
      </c>
      <c r="I14" s="58" t="s">
        <v>1</v>
      </c>
      <c r="J14" s="57" t="s">
        <v>1</v>
      </c>
      <c r="K14" s="58" t="s">
        <v>1</v>
      </c>
      <c r="L14" s="44" t="s">
        <v>140</v>
      </c>
      <c r="M14" s="47" t="s">
        <v>339</v>
      </c>
      <c r="N14" s="45" t="s">
        <v>352</v>
      </c>
      <c r="O14" s="47">
        <v>150</v>
      </c>
      <c r="P14" s="45" t="s">
        <v>353</v>
      </c>
      <c r="Q14" s="47">
        <v>50</v>
      </c>
      <c r="R14" s="44" t="s">
        <v>354</v>
      </c>
      <c r="S14" s="47">
        <v>10</v>
      </c>
      <c r="T14" s="44" t="s">
        <v>1</v>
      </c>
      <c r="U14" s="47" t="s">
        <v>1</v>
      </c>
      <c r="V14" s="44" t="s">
        <v>356</v>
      </c>
      <c r="W14" s="47" t="str">
        <f t="shared" si="2"/>
        <v>"150.50.10"</v>
      </c>
    </row>
    <row r="15" spans="1:23" s="41" customFormat="1" ht="6.75" customHeight="1" x14ac:dyDescent="0.4">
      <c r="A15" s="31">
        <v>15</v>
      </c>
      <c r="B15" s="34" t="s">
        <v>146</v>
      </c>
      <c r="C15" s="20" t="s">
        <v>127</v>
      </c>
      <c r="D15" s="30" t="s">
        <v>1</v>
      </c>
      <c r="E15" s="33" t="s">
        <v>1</v>
      </c>
      <c r="F15" s="30" t="s">
        <v>122</v>
      </c>
      <c r="G15" s="33" t="s">
        <v>332</v>
      </c>
      <c r="H15" s="57" t="s">
        <v>1</v>
      </c>
      <c r="I15" s="58" t="s">
        <v>1</v>
      </c>
      <c r="J15" s="57" t="s">
        <v>1</v>
      </c>
      <c r="K15" s="58" t="s">
        <v>1</v>
      </c>
      <c r="L15" s="44" t="s">
        <v>140</v>
      </c>
      <c r="M15" s="47" t="s">
        <v>339</v>
      </c>
      <c r="N15" s="45" t="s">
        <v>352</v>
      </c>
      <c r="O15" s="47">
        <v>150</v>
      </c>
      <c r="P15" s="45" t="s">
        <v>353</v>
      </c>
      <c r="Q15" s="47">
        <v>60</v>
      </c>
      <c r="R15" s="44" t="s">
        <v>354</v>
      </c>
      <c r="S15" s="47">
        <v>10</v>
      </c>
      <c r="T15" s="44" t="s">
        <v>1</v>
      </c>
      <c r="U15" s="47" t="s">
        <v>1</v>
      </c>
      <c r="V15" s="44" t="s">
        <v>356</v>
      </c>
      <c r="W15" s="47" t="str">
        <f t="shared" si="2"/>
        <v>"150.60.10"</v>
      </c>
    </row>
    <row r="16" spans="1:23" s="41" customFormat="1" ht="6.75" customHeight="1" x14ac:dyDescent="0.4">
      <c r="A16" s="31">
        <v>16</v>
      </c>
      <c r="B16" s="34" t="s">
        <v>131</v>
      </c>
      <c r="C16" s="20" t="s">
        <v>119</v>
      </c>
      <c r="D16" s="30" t="s">
        <v>1</v>
      </c>
      <c r="E16" s="33" t="s">
        <v>1</v>
      </c>
      <c r="F16" s="30" t="s">
        <v>1</v>
      </c>
      <c r="G16" s="33" t="s">
        <v>1</v>
      </c>
      <c r="H16" s="57" t="s">
        <v>1</v>
      </c>
      <c r="I16" s="58" t="s">
        <v>1</v>
      </c>
      <c r="J16" s="57" t="s">
        <v>1</v>
      </c>
      <c r="K16" s="58" t="s">
        <v>1</v>
      </c>
      <c r="L16" s="44" t="s">
        <v>140</v>
      </c>
      <c r="M16" s="47" t="s">
        <v>141</v>
      </c>
      <c r="N16" s="44" t="s">
        <v>133</v>
      </c>
      <c r="O16" s="47" t="s">
        <v>134</v>
      </c>
      <c r="P16" s="44" t="s">
        <v>136</v>
      </c>
      <c r="Q16" s="47" t="s">
        <v>135</v>
      </c>
      <c r="R16" s="45" t="s">
        <v>1</v>
      </c>
      <c r="S16" s="47" t="s">
        <v>1</v>
      </c>
      <c r="T16" s="44" t="s">
        <v>1</v>
      </c>
      <c r="U16" s="47" t="s">
        <v>1</v>
      </c>
      <c r="V16" s="44" t="s">
        <v>1</v>
      </c>
      <c r="W16" s="47" t="str">
        <f t="shared" si="0"/>
        <v>null</v>
      </c>
    </row>
    <row r="17" spans="1:23" s="41" customFormat="1" ht="6.75" customHeight="1" x14ac:dyDescent="0.4">
      <c r="A17" s="31">
        <v>17</v>
      </c>
      <c r="B17" s="34" t="s">
        <v>132</v>
      </c>
      <c r="C17" s="20" t="s">
        <v>119</v>
      </c>
      <c r="D17" s="30" t="s">
        <v>1</v>
      </c>
      <c r="E17" s="33" t="s">
        <v>1</v>
      </c>
      <c r="F17" s="30" t="s">
        <v>1</v>
      </c>
      <c r="G17" s="33" t="s">
        <v>1</v>
      </c>
      <c r="H17" s="57" t="s">
        <v>1</v>
      </c>
      <c r="I17" s="58" t="s">
        <v>1</v>
      </c>
      <c r="J17" s="57" t="s">
        <v>1</v>
      </c>
      <c r="K17" s="58" t="s">
        <v>1</v>
      </c>
      <c r="L17" s="44" t="s">
        <v>140</v>
      </c>
      <c r="M17" s="47" t="s">
        <v>278</v>
      </c>
      <c r="N17" s="44" t="s">
        <v>133</v>
      </c>
      <c r="O17" s="47" t="s">
        <v>137</v>
      </c>
      <c r="P17" s="44" t="s">
        <v>139</v>
      </c>
      <c r="Q17" s="47" t="s">
        <v>138</v>
      </c>
      <c r="R17" s="45" t="s">
        <v>1</v>
      </c>
      <c r="S17" s="47" t="s">
        <v>1</v>
      </c>
      <c r="T17" s="44" t="s">
        <v>143</v>
      </c>
      <c r="U17" s="47" t="s">
        <v>144</v>
      </c>
      <c r="V17" s="44" t="s">
        <v>1</v>
      </c>
      <c r="W17" s="47" t="str">
        <f t="shared" si="0"/>
        <v>null</v>
      </c>
    </row>
    <row r="18" spans="1:23" s="41" customFormat="1" ht="6.75" customHeight="1" x14ac:dyDescent="0.4">
      <c r="A18" s="31">
        <v>18</v>
      </c>
      <c r="B18" s="34" t="s">
        <v>333</v>
      </c>
      <c r="C18" s="20" t="s">
        <v>130</v>
      </c>
      <c r="D18" s="30" t="s">
        <v>1</v>
      </c>
      <c r="E18" s="33" t="s">
        <v>1</v>
      </c>
      <c r="F18" s="30" t="s">
        <v>1</v>
      </c>
      <c r="G18" s="33" t="s">
        <v>1</v>
      </c>
      <c r="H18" s="57" t="s">
        <v>1</v>
      </c>
      <c r="I18" s="58" t="s">
        <v>1</v>
      </c>
      <c r="J18" s="57" t="s">
        <v>1</v>
      </c>
      <c r="K18" s="58" t="s">
        <v>1</v>
      </c>
      <c r="L18" s="44" t="s">
        <v>140</v>
      </c>
      <c r="M18" s="47" t="s">
        <v>335</v>
      </c>
      <c r="N18" s="52" t="s">
        <v>1</v>
      </c>
      <c r="O18" s="47" t="s">
        <v>1</v>
      </c>
      <c r="P18" s="45" t="s">
        <v>1</v>
      </c>
      <c r="Q18" s="47" t="s">
        <v>1</v>
      </c>
      <c r="R18" s="44" t="s">
        <v>1</v>
      </c>
      <c r="S18" s="47" t="s">
        <v>1</v>
      </c>
      <c r="T18" s="44" t="s">
        <v>1</v>
      </c>
      <c r="U18" s="47" t="s">
        <v>1</v>
      </c>
      <c r="V18" s="44" t="s">
        <v>1</v>
      </c>
      <c r="W18" s="47" t="str">
        <f>IF(OR(V18="rgb",V18="cmy",V18="rgba",V18="cmyb"),  SUBSTITUTE(_xlfn.CONCAT("""",O18,".",Q18,".",S18,".",U18,""""), ".null",""), V18)</f>
        <v>null</v>
      </c>
    </row>
    <row r="19" spans="1:23" s="41" customFormat="1" ht="6.75" customHeight="1" x14ac:dyDescent="0.4">
      <c r="A19" s="31">
        <v>19</v>
      </c>
      <c r="B19" s="34" t="s">
        <v>334</v>
      </c>
      <c r="C19" s="20" t="s">
        <v>128</v>
      </c>
      <c r="D19" s="30" t="s">
        <v>1</v>
      </c>
      <c r="E19" s="33" t="s">
        <v>1</v>
      </c>
      <c r="F19" s="30" t="s">
        <v>1</v>
      </c>
      <c r="G19" s="33" t="s">
        <v>1</v>
      </c>
      <c r="H19" s="57" t="s">
        <v>1</v>
      </c>
      <c r="I19" s="58" t="s">
        <v>1</v>
      </c>
      <c r="J19" s="57" t="s">
        <v>1</v>
      </c>
      <c r="K19" s="58" t="s">
        <v>1</v>
      </c>
      <c r="L19" s="44" t="s">
        <v>140</v>
      </c>
      <c r="M19" s="47" t="s">
        <v>336</v>
      </c>
      <c r="N19" s="52" t="s">
        <v>1</v>
      </c>
      <c r="O19" s="47" t="s">
        <v>1</v>
      </c>
      <c r="P19" s="45" t="s">
        <v>1</v>
      </c>
      <c r="Q19" s="47" t="s">
        <v>1</v>
      </c>
      <c r="R19" s="44" t="s">
        <v>1</v>
      </c>
      <c r="S19" s="47" t="s">
        <v>1</v>
      </c>
      <c r="T19" s="44" t="s">
        <v>1</v>
      </c>
      <c r="U19" s="47" t="s">
        <v>1</v>
      </c>
      <c r="V19" s="44" t="s">
        <v>1</v>
      </c>
      <c r="W19" s="47" t="str">
        <f>IF(OR(V19="rgb",V19="cmy",V19="rgba",V19="cmyb"),  SUBSTITUTE(_xlfn.CONCAT("""",O19,".",Q19,".",S19,".",U19,""""), ".null",""), V19)</f>
        <v>null</v>
      </c>
    </row>
    <row r="20" spans="1:23" s="41" customFormat="1" ht="6.75" customHeight="1" x14ac:dyDescent="0.4">
      <c r="A20" s="31">
        <v>20</v>
      </c>
      <c r="B20" s="34" t="s">
        <v>331</v>
      </c>
      <c r="C20" s="20" t="s">
        <v>129</v>
      </c>
      <c r="D20" s="30" t="s">
        <v>1</v>
      </c>
      <c r="E20" s="33" t="s">
        <v>1</v>
      </c>
      <c r="F20" s="30" t="s">
        <v>1</v>
      </c>
      <c r="G20" s="33" t="s">
        <v>1</v>
      </c>
      <c r="H20" s="57" t="s">
        <v>1</v>
      </c>
      <c r="I20" s="58" t="s">
        <v>1</v>
      </c>
      <c r="J20" s="57" t="s">
        <v>1</v>
      </c>
      <c r="K20" s="58" t="s">
        <v>1</v>
      </c>
      <c r="L20" s="44" t="s">
        <v>140</v>
      </c>
      <c r="M20" s="47" t="s">
        <v>337</v>
      </c>
      <c r="N20" s="52" t="s">
        <v>1</v>
      </c>
      <c r="O20" s="47" t="s">
        <v>1</v>
      </c>
      <c r="P20" s="45" t="s">
        <v>1</v>
      </c>
      <c r="Q20" s="47" t="s">
        <v>1</v>
      </c>
      <c r="R20" s="44" t="s">
        <v>1</v>
      </c>
      <c r="S20" s="47" t="s">
        <v>1</v>
      </c>
      <c r="T20" s="44" t="s">
        <v>1</v>
      </c>
      <c r="U20" s="47" t="s">
        <v>1</v>
      </c>
      <c r="V20" s="44" t="s">
        <v>1</v>
      </c>
      <c r="W20" s="47" t="str">
        <f>IF(OR(V20="rgb",V20="cmy",V20="rgba",V20="cmyb"),  SUBSTITUTE(_xlfn.CONCAT("""",O20,".",Q20,".",S20,".",U20,""""), ".null",""), V20)</f>
        <v>null</v>
      </c>
    </row>
    <row r="21" spans="1:23" s="41" customFormat="1" ht="6.75" customHeight="1" x14ac:dyDescent="0.4">
      <c r="A21" s="31">
        <v>21</v>
      </c>
      <c r="B21" s="34" t="s">
        <v>332</v>
      </c>
      <c r="C21" s="20" t="s">
        <v>127</v>
      </c>
      <c r="D21" s="30" t="s">
        <v>1</v>
      </c>
      <c r="E21" s="33" t="s">
        <v>1</v>
      </c>
      <c r="F21" s="30" t="s">
        <v>1</v>
      </c>
      <c r="G21" s="33" t="s">
        <v>1</v>
      </c>
      <c r="H21" s="57" t="s">
        <v>1</v>
      </c>
      <c r="I21" s="58" t="s">
        <v>1</v>
      </c>
      <c r="J21" s="57" t="s">
        <v>1</v>
      </c>
      <c r="K21" s="58" t="s">
        <v>1</v>
      </c>
      <c r="L21" s="44" t="s">
        <v>140</v>
      </c>
      <c r="M21" s="47" t="s">
        <v>338</v>
      </c>
      <c r="N21" s="52" t="s">
        <v>1</v>
      </c>
      <c r="O21" s="47" t="s">
        <v>1</v>
      </c>
      <c r="P21" s="45" t="s">
        <v>1</v>
      </c>
      <c r="Q21" s="47" t="s">
        <v>1</v>
      </c>
      <c r="R21" s="44" t="s">
        <v>1</v>
      </c>
      <c r="S21" s="47" t="s">
        <v>1</v>
      </c>
      <c r="T21" s="44" t="s">
        <v>1</v>
      </c>
      <c r="U21" s="47" t="s">
        <v>1</v>
      </c>
      <c r="V21" s="44" t="s">
        <v>1</v>
      </c>
      <c r="W21" s="47" t="str">
        <f>IF(OR(V21="rgb",V21="cmy",V21="rgba",V21="cmyb"),  SUBSTITUTE(_xlfn.CONCAT("""",O21,".",Q21,".",S21,".",U21,""""), ".null",""), V21)</f>
        <v>null</v>
      </c>
    </row>
    <row r="22" spans="1:23" s="41" customFormat="1" ht="6.75" customHeight="1" x14ac:dyDescent="0.4">
      <c r="A22" s="31">
        <v>22</v>
      </c>
      <c r="B22" s="34" t="s">
        <v>118</v>
      </c>
      <c r="C22" s="20" t="s">
        <v>115</v>
      </c>
      <c r="D22" s="30" t="s">
        <v>142</v>
      </c>
      <c r="E22" s="48" t="s">
        <v>132</v>
      </c>
      <c r="F22" s="30" t="s">
        <v>122</v>
      </c>
      <c r="G22" s="48" t="s">
        <v>131</v>
      </c>
      <c r="H22" s="57" t="s">
        <v>1</v>
      </c>
      <c r="I22" s="58" t="s">
        <v>1</v>
      </c>
      <c r="J22" s="57" t="s">
        <v>1</v>
      </c>
      <c r="K22" s="58" t="s">
        <v>1</v>
      </c>
      <c r="L22" s="44" t="s">
        <v>140</v>
      </c>
      <c r="M22" s="47" t="s">
        <v>277</v>
      </c>
      <c r="N22" s="45" t="s">
        <v>352</v>
      </c>
      <c r="O22" s="47">
        <v>0</v>
      </c>
      <c r="P22" s="45" t="s">
        <v>353</v>
      </c>
      <c r="Q22" s="47">
        <v>0</v>
      </c>
      <c r="R22" s="44" t="s">
        <v>354</v>
      </c>
      <c r="S22" s="47">
        <v>100</v>
      </c>
      <c r="T22" s="44" t="s">
        <v>1</v>
      </c>
      <c r="U22" s="47" t="s">
        <v>1</v>
      </c>
      <c r="V22" s="44" t="s">
        <v>356</v>
      </c>
      <c r="W22" s="47" t="str">
        <f t="shared" ref="W22:W24" si="3">IF(OR(V22="cor.rgb",V22="cor.cmy",V22="cor.rgba",V22="cor.cmyb"),  SUBSTITUTE(_xlfn.CONCAT("""",O22,".",Q22,".",S22,".",U22,""""), ".null",""), V22)</f>
        <v>"0.0.100"</v>
      </c>
    </row>
    <row r="23" spans="1:23" ht="6.75" customHeight="1" x14ac:dyDescent="0.4">
      <c r="A23" s="31">
        <v>23</v>
      </c>
      <c r="B23" s="34" t="s">
        <v>120</v>
      </c>
      <c r="C23" s="20" t="s">
        <v>115</v>
      </c>
      <c r="D23" s="30" t="s">
        <v>142</v>
      </c>
      <c r="E23" s="48" t="s">
        <v>132</v>
      </c>
      <c r="F23" s="30" t="s">
        <v>122</v>
      </c>
      <c r="G23" s="48" t="s">
        <v>131</v>
      </c>
      <c r="H23" s="57" t="s">
        <v>1</v>
      </c>
      <c r="I23" s="58" t="s">
        <v>1</v>
      </c>
      <c r="J23" s="57" t="s">
        <v>1</v>
      </c>
      <c r="K23" s="58" t="s">
        <v>1</v>
      </c>
      <c r="L23" s="44" t="s">
        <v>140</v>
      </c>
      <c r="M23" s="47" t="s">
        <v>277</v>
      </c>
      <c r="N23" s="45" t="s">
        <v>352</v>
      </c>
      <c r="O23" s="47">
        <v>63</v>
      </c>
      <c r="P23" s="45" t="s">
        <v>353</v>
      </c>
      <c r="Q23" s="47">
        <v>23</v>
      </c>
      <c r="R23" s="44" t="s">
        <v>354</v>
      </c>
      <c r="S23" s="47">
        <v>100</v>
      </c>
      <c r="T23" s="44" t="s">
        <v>1</v>
      </c>
      <c r="U23" s="47" t="s">
        <v>1</v>
      </c>
      <c r="V23" s="44" t="s">
        <v>356</v>
      </c>
      <c r="W23" s="47" t="str">
        <f t="shared" si="3"/>
        <v>"63.23.100"</v>
      </c>
    </row>
    <row r="24" spans="1:23" ht="6.75" customHeight="1" x14ac:dyDescent="0.4">
      <c r="A24" s="31">
        <v>24</v>
      </c>
      <c r="B24" s="34" t="s">
        <v>121</v>
      </c>
      <c r="C24" s="20" t="s">
        <v>115</v>
      </c>
      <c r="D24" s="30" t="s">
        <v>142</v>
      </c>
      <c r="E24" s="48" t="s">
        <v>132</v>
      </c>
      <c r="F24" s="30" t="s">
        <v>122</v>
      </c>
      <c r="G24" s="48" t="s">
        <v>131</v>
      </c>
      <c r="H24" s="57" t="s">
        <v>1</v>
      </c>
      <c r="I24" s="58" t="s">
        <v>1</v>
      </c>
      <c r="J24" s="57" t="s">
        <v>1</v>
      </c>
      <c r="K24" s="58" t="s">
        <v>1</v>
      </c>
      <c r="L24" s="44" t="s">
        <v>140</v>
      </c>
      <c r="M24" s="47" t="s">
        <v>277</v>
      </c>
      <c r="N24" s="45" t="s">
        <v>352</v>
      </c>
      <c r="O24" s="47">
        <v>100</v>
      </c>
      <c r="P24" s="45" t="s">
        <v>353</v>
      </c>
      <c r="Q24" s="47">
        <v>0</v>
      </c>
      <c r="R24" s="44" t="s">
        <v>354</v>
      </c>
      <c r="S24" s="47">
        <v>100</v>
      </c>
      <c r="T24" s="44" t="s">
        <v>1</v>
      </c>
      <c r="U24" s="47" t="s">
        <v>1</v>
      </c>
      <c r="V24" s="44" t="s">
        <v>356</v>
      </c>
      <c r="W24" s="47" t="str">
        <f t="shared" si="3"/>
        <v>"100.0.100"</v>
      </c>
    </row>
    <row r="25" spans="1:23" ht="6.75" customHeight="1" x14ac:dyDescent="0.4">
      <c r="A25" s="31">
        <v>25</v>
      </c>
      <c r="B25" s="50" t="s">
        <v>160</v>
      </c>
      <c r="C25" s="20" t="s">
        <v>149</v>
      </c>
      <c r="D25" s="30" t="s">
        <v>1</v>
      </c>
      <c r="E25" s="33" t="s">
        <v>1</v>
      </c>
      <c r="F25" s="30" t="s">
        <v>1</v>
      </c>
      <c r="G25" s="33" t="s">
        <v>1</v>
      </c>
      <c r="H25" s="57" t="s">
        <v>1</v>
      </c>
      <c r="I25" s="58" t="s">
        <v>1</v>
      </c>
      <c r="J25" s="57" t="s">
        <v>1</v>
      </c>
      <c r="K25" s="58" t="s">
        <v>1</v>
      </c>
      <c r="L25" s="44" t="s">
        <v>140</v>
      </c>
      <c r="M25" s="47" t="s">
        <v>161</v>
      </c>
      <c r="N25" s="52" t="s">
        <v>1</v>
      </c>
      <c r="O25" s="47" t="s">
        <v>1</v>
      </c>
      <c r="P25" s="45" t="s">
        <v>1</v>
      </c>
      <c r="Q25" s="47" t="s">
        <v>1</v>
      </c>
      <c r="R25" s="45" t="s">
        <v>1</v>
      </c>
      <c r="S25" s="47" t="s">
        <v>1</v>
      </c>
      <c r="T25" s="45" t="s">
        <v>1</v>
      </c>
      <c r="U25" s="47" t="s">
        <v>1</v>
      </c>
      <c r="V25" s="45" t="s">
        <v>1</v>
      </c>
      <c r="W25" s="47" t="s">
        <v>1</v>
      </c>
    </row>
    <row r="26" spans="1:23" ht="6.75" customHeight="1" x14ac:dyDescent="0.4">
      <c r="A26" s="31">
        <v>26</v>
      </c>
      <c r="B26" s="50" t="s">
        <v>150</v>
      </c>
      <c r="C26" s="20" t="s">
        <v>174</v>
      </c>
      <c r="D26" s="30" t="s">
        <v>142</v>
      </c>
      <c r="E26" s="51" t="s">
        <v>160</v>
      </c>
      <c r="F26" s="30" t="s">
        <v>1</v>
      </c>
      <c r="G26" s="33" t="s">
        <v>1</v>
      </c>
      <c r="H26" s="57" t="s">
        <v>1</v>
      </c>
      <c r="I26" s="58" t="s">
        <v>1</v>
      </c>
      <c r="J26" s="57" t="s">
        <v>1</v>
      </c>
      <c r="K26" s="58" t="s">
        <v>1</v>
      </c>
      <c r="L26" s="44" t="s">
        <v>140</v>
      </c>
      <c r="M26" s="47" t="s">
        <v>286</v>
      </c>
      <c r="N26" s="52" t="s">
        <v>1</v>
      </c>
      <c r="O26" s="47" t="s">
        <v>1</v>
      </c>
      <c r="P26" s="45" t="s">
        <v>1</v>
      </c>
      <c r="Q26" s="47" t="s">
        <v>1</v>
      </c>
      <c r="R26" s="45" t="s">
        <v>1</v>
      </c>
      <c r="S26" s="47" t="s">
        <v>1</v>
      </c>
      <c r="T26" s="45" t="s">
        <v>1</v>
      </c>
      <c r="U26" s="47" t="s">
        <v>1</v>
      </c>
      <c r="V26" s="45" t="s">
        <v>1</v>
      </c>
      <c r="W26" s="47" t="s">
        <v>1</v>
      </c>
    </row>
    <row r="27" spans="1:23" ht="6.75" customHeight="1" x14ac:dyDescent="0.4">
      <c r="A27" s="31">
        <v>27</v>
      </c>
      <c r="B27" s="50" t="s">
        <v>151</v>
      </c>
      <c r="C27" s="20" t="s">
        <v>174</v>
      </c>
      <c r="D27" s="30" t="s">
        <v>142</v>
      </c>
      <c r="E27" s="51" t="s">
        <v>160</v>
      </c>
      <c r="F27" s="30" t="s">
        <v>1</v>
      </c>
      <c r="G27" s="33" t="s">
        <v>1</v>
      </c>
      <c r="H27" s="57" t="s">
        <v>1</v>
      </c>
      <c r="I27" s="58" t="s">
        <v>1</v>
      </c>
      <c r="J27" s="57" t="s">
        <v>1</v>
      </c>
      <c r="K27" s="58" t="s">
        <v>1</v>
      </c>
      <c r="L27" s="44" t="s">
        <v>140</v>
      </c>
      <c r="M27" s="47" t="s">
        <v>287</v>
      </c>
      <c r="N27" s="52" t="s">
        <v>1</v>
      </c>
      <c r="O27" s="47" t="s">
        <v>1</v>
      </c>
      <c r="P27" s="45" t="s">
        <v>1</v>
      </c>
      <c r="Q27" s="47" t="s">
        <v>1</v>
      </c>
      <c r="R27" s="45" t="s">
        <v>1</v>
      </c>
      <c r="S27" s="47" t="s">
        <v>1</v>
      </c>
      <c r="T27" s="45" t="s">
        <v>1</v>
      </c>
      <c r="U27" s="47" t="s">
        <v>1</v>
      </c>
      <c r="V27" s="45" t="s">
        <v>1</v>
      </c>
      <c r="W27" s="47" t="s">
        <v>1</v>
      </c>
    </row>
    <row r="28" spans="1:23" ht="6.75" customHeight="1" x14ac:dyDescent="0.4">
      <c r="A28" s="31">
        <v>28</v>
      </c>
      <c r="B28" s="50" t="s">
        <v>152</v>
      </c>
      <c r="C28" s="20" t="s">
        <v>174</v>
      </c>
      <c r="D28" s="30" t="s">
        <v>142</v>
      </c>
      <c r="E28" s="51" t="s">
        <v>160</v>
      </c>
      <c r="F28" s="30" t="s">
        <v>1</v>
      </c>
      <c r="G28" s="33" t="s">
        <v>1</v>
      </c>
      <c r="H28" s="57" t="s">
        <v>1</v>
      </c>
      <c r="I28" s="58" t="s">
        <v>1</v>
      </c>
      <c r="J28" s="57" t="s">
        <v>1</v>
      </c>
      <c r="K28" s="58" t="s">
        <v>1</v>
      </c>
      <c r="L28" s="44" t="s">
        <v>140</v>
      </c>
      <c r="M28" s="47" t="s">
        <v>288</v>
      </c>
      <c r="N28" s="52" t="s">
        <v>1</v>
      </c>
      <c r="O28" s="47" t="s">
        <v>1</v>
      </c>
      <c r="P28" s="45" t="s">
        <v>1</v>
      </c>
      <c r="Q28" s="47" t="s">
        <v>1</v>
      </c>
      <c r="R28" s="45" t="s">
        <v>1</v>
      </c>
      <c r="S28" s="47" t="s">
        <v>1</v>
      </c>
      <c r="T28" s="45" t="s">
        <v>1</v>
      </c>
      <c r="U28" s="47" t="s">
        <v>1</v>
      </c>
      <c r="V28" s="45" t="s">
        <v>1</v>
      </c>
      <c r="W28" s="47" t="s">
        <v>1</v>
      </c>
    </row>
    <row r="29" spans="1:23" ht="6.75" customHeight="1" x14ac:dyDescent="0.4">
      <c r="A29" s="31">
        <v>29</v>
      </c>
      <c r="B29" s="50" t="s">
        <v>153</v>
      </c>
      <c r="C29" s="20" t="s">
        <v>174</v>
      </c>
      <c r="D29" s="30" t="s">
        <v>142</v>
      </c>
      <c r="E29" s="51" t="s">
        <v>160</v>
      </c>
      <c r="F29" s="30" t="s">
        <v>1</v>
      </c>
      <c r="G29" s="33" t="s">
        <v>1</v>
      </c>
      <c r="H29" s="57" t="s">
        <v>1</v>
      </c>
      <c r="I29" s="58" t="s">
        <v>1</v>
      </c>
      <c r="J29" s="57" t="s">
        <v>1</v>
      </c>
      <c r="K29" s="58" t="s">
        <v>1</v>
      </c>
      <c r="L29" s="44" t="s">
        <v>140</v>
      </c>
      <c r="M29" s="47" t="s">
        <v>289</v>
      </c>
      <c r="N29" s="52" t="s">
        <v>1</v>
      </c>
      <c r="O29" s="47" t="s">
        <v>1</v>
      </c>
      <c r="P29" s="45" t="s">
        <v>1</v>
      </c>
      <c r="Q29" s="47" t="s">
        <v>1</v>
      </c>
      <c r="R29" s="45" t="s">
        <v>1</v>
      </c>
      <c r="S29" s="47" t="s">
        <v>1</v>
      </c>
      <c r="T29" s="45" t="s">
        <v>1</v>
      </c>
      <c r="U29" s="47" t="s">
        <v>1</v>
      </c>
      <c r="V29" s="45" t="s">
        <v>1</v>
      </c>
      <c r="W29" s="47" t="s">
        <v>1</v>
      </c>
    </row>
    <row r="30" spans="1:23" ht="6.75" customHeight="1" x14ac:dyDescent="0.4">
      <c r="A30" s="31">
        <v>30</v>
      </c>
      <c r="B30" s="50" t="s">
        <v>154</v>
      </c>
      <c r="C30" s="20" t="s">
        <v>174</v>
      </c>
      <c r="D30" s="30" t="s">
        <v>142</v>
      </c>
      <c r="E30" s="51" t="s">
        <v>160</v>
      </c>
      <c r="F30" s="30" t="s">
        <v>1</v>
      </c>
      <c r="G30" s="33" t="s">
        <v>1</v>
      </c>
      <c r="H30" s="57" t="s">
        <v>1</v>
      </c>
      <c r="I30" s="58" t="s">
        <v>1</v>
      </c>
      <c r="J30" s="57" t="s">
        <v>1</v>
      </c>
      <c r="K30" s="58" t="s">
        <v>1</v>
      </c>
      <c r="L30" s="44" t="s">
        <v>140</v>
      </c>
      <c r="M30" s="47" t="s">
        <v>290</v>
      </c>
      <c r="N30" s="52" t="s">
        <v>1</v>
      </c>
      <c r="O30" s="47" t="s">
        <v>1</v>
      </c>
      <c r="P30" s="45" t="s">
        <v>1</v>
      </c>
      <c r="Q30" s="47" t="s">
        <v>1</v>
      </c>
      <c r="R30" s="45" t="s">
        <v>1</v>
      </c>
      <c r="S30" s="47" t="s">
        <v>1</v>
      </c>
      <c r="T30" s="45" t="s">
        <v>1</v>
      </c>
      <c r="U30" s="47" t="s">
        <v>1</v>
      </c>
      <c r="V30" s="45" t="s">
        <v>1</v>
      </c>
      <c r="W30" s="47" t="s">
        <v>1</v>
      </c>
    </row>
    <row r="31" spans="1:23" ht="6.75" customHeight="1" x14ac:dyDescent="0.4">
      <c r="A31" s="31">
        <v>31</v>
      </c>
      <c r="B31" s="50" t="s">
        <v>155</v>
      </c>
      <c r="C31" s="20" t="s">
        <v>174</v>
      </c>
      <c r="D31" s="30" t="s">
        <v>142</v>
      </c>
      <c r="E31" s="51" t="s">
        <v>160</v>
      </c>
      <c r="F31" s="30" t="s">
        <v>1</v>
      </c>
      <c r="G31" s="33" t="s">
        <v>1</v>
      </c>
      <c r="H31" s="57" t="s">
        <v>1</v>
      </c>
      <c r="I31" s="58" t="s">
        <v>1</v>
      </c>
      <c r="J31" s="57" t="s">
        <v>1</v>
      </c>
      <c r="K31" s="58" t="s">
        <v>1</v>
      </c>
      <c r="L31" s="44" t="s">
        <v>140</v>
      </c>
      <c r="M31" s="47" t="s">
        <v>291</v>
      </c>
      <c r="N31" s="52" t="s">
        <v>1</v>
      </c>
      <c r="O31" s="47" t="s">
        <v>1</v>
      </c>
      <c r="P31" s="45" t="s">
        <v>1</v>
      </c>
      <c r="Q31" s="47" t="s">
        <v>1</v>
      </c>
      <c r="R31" s="45" t="s">
        <v>1</v>
      </c>
      <c r="S31" s="47" t="s">
        <v>1</v>
      </c>
      <c r="T31" s="45" t="s">
        <v>1</v>
      </c>
      <c r="U31" s="47" t="s">
        <v>1</v>
      </c>
      <c r="V31" s="45" t="s">
        <v>1</v>
      </c>
      <c r="W31" s="47" t="s">
        <v>1</v>
      </c>
    </row>
    <row r="32" spans="1:23" ht="6.75" customHeight="1" x14ac:dyDescent="0.4">
      <c r="A32" s="31">
        <v>32</v>
      </c>
      <c r="B32" s="50" t="s">
        <v>156</v>
      </c>
      <c r="C32" s="20" t="s">
        <v>174</v>
      </c>
      <c r="D32" s="30" t="s">
        <v>142</v>
      </c>
      <c r="E32" s="51" t="s">
        <v>160</v>
      </c>
      <c r="F32" s="30" t="s">
        <v>1</v>
      </c>
      <c r="G32" s="33" t="s">
        <v>1</v>
      </c>
      <c r="H32" s="57" t="s">
        <v>1</v>
      </c>
      <c r="I32" s="58" t="s">
        <v>1</v>
      </c>
      <c r="J32" s="57" t="s">
        <v>1</v>
      </c>
      <c r="K32" s="58" t="s">
        <v>1</v>
      </c>
      <c r="L32" s="44" t="s">
        <v>140</v>
      </c>
      <c r="M32" s="47" t="s">
        <v>292</v>
      </c>
      <c r="N32" s="52" t="s">
        <v>1</v>
      </c>
      <c r="O32" s="47" t="s">
        <v>1</v>
      </c>
      <c r="P32" s="45" t="s">
        <v>1</v>
      </c>
      <c r="Q32" s="47" t="s">
        <v>1</v>
      </c>
      <c r="R32" s="45" t="s">
        <v>1</v>
      </c>
      <c r="S32" s="47" t="s">
        <v>1</v>
      </c>
      <c r="T32" s="45" t="s">
        <v>1</v>
      </c>
      <c r="U32" s="47" t="s">
        <v>1</v>
      </c>
      <c r="V32" s="45" t="s">
        <v>1</v>
      </c>
      <c r="W32" s="47" t="s">
        <v>1</v>
      </c>
    </row>
    <row r="33" spans="1:23" ht="6.75" customHeight="1" x14ac:dyDescent="0.4">
      <c r="A33" s="31">
        <v>33</v>
      </c>
      <c r="B33" s="50" t="s">
        <v>157</v>
      </c>
      <c r="C33" s="20" t="s">
        <v>174</v>
      </c>
      <c r="D33" s="30" t="s">
        <v>142</v>
      </c>
      <c r="E33" s="51" t="s">
        <v>160</v>
      </c>
      <c r="F33" s="30" t="s">
        <v>1</v>
      </c>
      <c r="G33" s="33" t="s">
        <v>1</v>
      </c>
      <c r="H33" s="57" t="s">
        <v>1</v>
      </c>
      <c r="I33" s="58" t="s">
        <v>1</v>
      </c>
      <c r="J33" s="57" t="s">
        <v>1</v>
      </c>
      <c r="K33" s="58" t="s">
        <v>1</v>
      </c>
      <c r="L33" s="44" t="s">
        <v>140</v>
      </c>
      <c r="M33" s="47" t="s">
        <v>293</v>
      </c>
      <c r="N33" s="52" t="s">
        <v>1</v>
      </c>
      <c r="O33" s="47" t="s">
        <v>1</v>
      </c>
      <c r="P33" s="45" t="s">
        <v>1</v>
      </c>
      <c r="Q33" s="47" t="s">
        <v>1</v>
      </c>
      <c r="R33" s="45" t="s">
        <v>1</v>
      </c>
      <c r="S33" s="47" t="s">
        <v>1</v>
      </c>
      <c r="T33" s="45" t="s">
        <v>1</v>
      </c>
      <c r="U33" s="47" t="s">
        <v>1</v>
      </c>
      <c r="V33" s="45" t="s">
        <v>1</v>
      </c>
      <c r="W33" s="47" t="s">
        <v>1</v>
      </c>
    </row>
    <row r="34" spans="1:23" ht="6.75" customHeight="1" x14ac:dyDescent="0.4">
      <c r="A34" s="31">
        <v>34</v>
      </c>
      <c r="B34" s="50" t="s">
        <v>158</v>
      </c>
      <c r="C34" s="20" t="s">
        <v>174</v>
      </c>
      <c r="D34" s="30" t="s">
        <v>142</v>
      </c>
      <c r="E34" s="51" t="s">
        <v>160</v>
      </c>
      <c r="F34" s="30" t="s">
        <v>1</v>
      </c>
      <c r="G34" s="33" t="s">
        <v>1</v>
      </c>
      <c r="H34" s="57" t="s">
        <v>1</v>
      </c>
      <c r="I34" s="58" t="s">
        <v>1</v>
      </c>
      <c r="J34" s="57" t="s">
        <v>1</v>
      </c>
      <c r="K34" s="58" t="s">
        <v>1</v>
      </c>
      <c r="L34" s="44" t="s">
        <v>140</v>
      </c>
      <c r="M34" s="47" t="s">
        <v>294</v>
      </c>
      <c r="N34" s="52" t="s">
        <v>1</v>
      </c>
      <c r="O34" s="47" t="s">
        <v>1</v>
      </c>
      <c r="P34" s="45" t="s">
        <v>1</v>
      </c>
      <c r="Q34" s="47" t="s">
        <v>1</v>
      </c>
      <c r="R34" s="45" t="s">
        <v>1</v>
      </c>
      <c r="S34" s="47" t="s">
        <v>1</v>
      </c>
      <c r="T34" s="45" t="s">
        <v>1</v>
      </c>
      <c r="U34" s="47" t="s">
        <v>1</v>
      </c>
      <c r="V34" s="45" t="s">
        <v>1</v>
      </c>
      <c r="W34" s="47" t="s">
        <v>1</v>
      </c>
    </row>
    <row r="35" spans="1:23" ht="6.75" customHeight="1" x14ac:dyDescent="0.4">
      <c r="A35" s="31">
        <v>35</v>
      </c>
      <c r="B35" s="50" t="s">
        <v>159</v>
      </c>
      <c r="C35" s="20" t="s">
        <v>174</v>
      </c>
      <c r="D35" s="30" t="s">
        <v>142</v>
      </c>
      <c r="E35" s="51" t="s">
        <v>160</v>
      </c>
      <c r="F35" s="30" t="s">
        <v>1</v>
      </c>
      <c r="G35" s="33" t="s">
        <v>1</v>
      </c>
      <c r="H35" s="57" t="s">
        <v>1</v>
      </c>
      <c r="I35" s="58" t="s">
        <v>1</v>
      </c>
      <c r="J35" s="57" t="s">
        <v>1</v>
      </c>
      <c r="K35" s="58" t="s">
        <v>1</v>
      </c>
      <c r="L35" s="44" t="s">
        <v>140</v>
      </c>
      <c r="M35" s="47" t="s">
        <v>295</v>
      </c>
      <c r="N35" s="52" t="s">
        <v>1</v>
      </c>
      <c r="O35" s="47" t="s">
        <v>1</v>
      </c>
      <c r="P35" s="45" t="s">
        <v>1</v>
      </c>
      <c r="Q35" s="47" t="s">
        <v>1</v>
      </c>
      <c r="R35" s="45" t="s">
        <v>1</v>
      </c>
      <c r="S35" s="47" t="s">
        <v>1</v>
      </c>
      <c r="T35" s="45" t="s">
        <v>1</v>
      </c>
      <c r="U35" s="47" t="s">
        <v>1</v>
      </c>
      <c r="V35" s="45" t="s">
        <v>1</v>
      </c>
      <c r="W35" s="47" t="s">
        <v>1</v>
      </c>
    </row>
    <row r="36" spans="1:23" ht="6.75" customHeight="1" x14ac:dyDescent="0.4">
      <c r="A36" s="31">
        <v>36</v>
      </c>
      <c r="B36" s="50" t="s">
        <v>162</v>
      </c>
      <c r="C36" s="20" t="s">
        <v>175</v>
      </c>
      <c r="D36" s="30" t="s">
        <v>142</v>
      </c>
      <c r="E36" s="51" t="s">
        <v>160</v>
      </c>
      <c r="F36" s="30" t="s">
        <v>1</v>
      </c>
      <c r="G36" s="33" t="s">
        <v>1</v>
      </c>
      <c r="H36" s="57" t="s">
        <v>1</v>
      </c>
      <c r="I36" s="58" t="s">
        <v>1</v>
      </c>
      <c r="J36" s="57" t="s">
        <v>1</v>
      </c>
      <c r="K36" s="58" t="s">
        <v>1</v>
      </c>
      <c r="L36" s="44" t="s">
        <v>140</v>
      </c>
      <c r="M36" s="47" t="s">
        <v>173</v>
      </c>
      <c r="N36" s="52" t="s">
        <v>1</v>
      </c>
      <c r="O36" s="47" t="s">
        <v>1</v>
      </c>
      <c r="P36" s="45" t="s">
        <v>1</v>
      </c>
      <c r="Q36" s="47" t="s">
        <v>1</v>
      </c>
      <c r="R36" s="45" t="s">
        <v>1</v>
      </c>
      <c r="S36" s="47" t="s">
        <v>1</v>
      </c>
      <c r="T36" s="45" t="s">
        <v>1</v>
      </c>
      <c r="U36" s="47" t="s">
        <v>1</v>
      </c>
      <c r="V36" s="45" t="s">
        <v>1</v>
      </c>
      <c r="W36" s="47" t="s">
        <v>1</v>
      </c>
    </row>
    <row r="37" spans="1:23" ht="6.75" customHeight="1" x14ac:dyDescent="0.4">
      <c r="A37" s="31">
        <v>37</v>
      </c>
      <c r="B37" s="50" t="s">
        <v>172</v>
      </c>
      <c r="C37" s="20" t="s">
        <v>175</v>
      </c>
      <c r="D37" s="30" t="s">
        <v>142</v>
      </c>
      <c r="E37" s="51" t="s">
        <v>160</v>
      </c>
      <c r="F37" s="30" t="s">
        <v>1</v>
      </c>
      <c r="G37" s="33" t="s">
        <v>1</v>
      </c>
      <c r="H37" s="57" t="s">
        <v>1</v>
      </c>
      <c r="I37" s="58" t="s">
        <v>1</v>
      </c>
      <c r="J37" s="57" t="s">
        <v>1</v>
      </c>
      <c r="K37" s="58" t="s">
        <v>1</v>
      </c>
      <c r="L37" s="44" t="s">
        <v>140</v>
      </c>
      <c r="M37" s="47" t="s">
        <v>296</v>
      </c>
      <c r="N37" s="52" t="s">
        <v>1</v>
      </c>
      <c r="O37" s="47" t="s">
        <v>1</v>
      </c>
      <c r="P37" s="45" t="s">
        <v>1</v>
      </c>
      <c r="Q37" s="47" t="s">
        <v>1</v>
      </c>
      <c r="R37" s="45" t="s">
        <v>1</v>
      </c>
      <c r="S37" s="47" t="s">
        <v>1</v>
      </c>
      <c r="T37" s="45" t="s">
        <v>1</v>
      </c>
      <c r="U37" s="47" t="s">
        <v>1</v>
      </c>
      <c r="V37" s="45" t="s">
        <v>1</v>
      </c>
      <c r="W37" s="47" t="s">
        <v>1</v>
      </c>
    </row>
    <row r="38" spans="1:23" ht="6.75" customHeight="1" x14ac:dyDescent="0.4">
      <c r="A38" s="31">
        <v>38</v>
      </c>
      <c r="B38" s="50" t="s">
        <v>171</v>
      </c>
      <c r="C38" s="20" t="s">
        <v>175</v>
      </c>
      <c r="D38" s="30" t="s">
        <v>142</v>
      </c>
      <c r="E38" s="51" t="s">
        <v>160</v>
      </c>
      <c r="F38" s="30" t="s">
        <v>1</v>
      </c>
      <c r="G38" s="33" t="s">
        <v>1</v>
      </c>
      <c r="H38" s="57" t="s">
        <v>1</v>
      </c>
      <c r="I38" s="58" t="s">
        <v>1</v>
      </c>
      <c r="J38" s="57" t="s">
        <v>1</v>
      </c>
      <c r="K38" s="58" t="s">
        <v>1</v>
      </c>
      <c r="L38" s="44" t="s">
        <v>140</v>
      </c>
      <c r="M38" s="47" t="s">
        <v>297</v>
      </c>
      <c r="N38" s="52" t="s">
        <v>1</v>
      </c>
      <c r="O38" s="47" t="s">
        <v>1</v>
      </c>
      <c r="P38" s="45" t="s">
        <v>1</v>
      </c>
      <c r="Q38" s="47" t="s">
        <v>1</v>
      </c>
      <c r="R38" s="45" t="s">
        <v>1</v>
      </c>
      <c r="S38" s="47" t="s">
        <v>1</v>
      </c>
      <c r="T38" s="45" t="s">
        <v>1</v>
      </c>
      <c r="U38" s="47" t="s">
        <v>1</v>
      </c>
      <c r="V38" s="45" t="s">
        <v>1</v>
      </c>
      <c r="W38" s="47" t="s">
        <v>1</v>
      </c>
    </row>
    <row r="39" spans="1:23" ht="6.75" customHeight="1" x14ac:dyDescent="0.4">
      <c r="A39" s="31">
        <v>39</v>
      </c>
      <c r="B39" s="50" t="s">
        <v>170</v>
      </c>
      <c r="C39" s="20" t="s">
        <v>175</v>
      </c>
      <c r="D39" s="30" t="s">
        <v>142</v>
      </c>
      <c r="E39" s="51" t="s">
        <v>160</v>
      </c>
      <c r="F39" s="30" t="s">
        <v>1</v>
      </c>
      <c r="G39" s="33" t="s">
        <v>1</v>
      </c>
      <c r="H39" s="57" t="s">
        <v>1</v>
      </c>
      <c r="I39" s="58" t="s">
        <v>1</v>
      </c>
      <c r="J39" s="57" t="s">
        <v>1</v>
      </c>
      <c r="K39" s="58" t="s">
        <v>1</v>
      </c>
      <c r="L39" s="44" t="s">
        <v>140</v>
      </c>
      <c r="M39" s="47" t="s">
        <v>298</v>
      </c>
      <c r="N39" s="52" t="s">
        <v>1</v>
      </c>
      <c r="O39" s="47" t="s">
        <v>1</v>
      </c>
      <c r="P39" s="45" t="s">
        <v>1</v>
      </c>
      <c r="Q39" s="47" t="s">
        <v>1</v>
      </c>
      <c r="R39" s="45" t="s">
        <v>1</v>
      </c>
      <c r="S39" s="47" t="s">
        <v>1</v>
      </c>
      <c r="T39" s="45" t="s">
        <v>1</v>
      </c>
      <c r="U39" s="47" t="s">
        <v>1</v>
      </c>
      <c r="V39" s="45" t="s">
        <v>1</v>
      </c>
      <c r="W39" s="47" t="s">
        <v>1</v>
      </c>
    </row>
    <row r="40" spans="1:23" ht="6.75" customHeight="1" x14ac:dyDescent="0.4">
      <c r="A40" s="31">
        <v>40</v>
      </c>
      <c r="B40" s="50" t="s">
        <v>169</v>
      </c>
      <c r="C40" s="20" t="s">
        <v>175</v>
      </c>
      <c r="D40" s="30" t="s">
        <v>142</v>
      </c>
      <c r="E40" s="51" t="s">
        <v>160</v>
      </c>
      <c r="F40" s="30" t="s">
        <v>1</v>
      </c>
      <c r="G40" s="33" t="s">
        <v>1</v>
      </c>
      <c r="H40" s="57" t="s">
        <v>1</v>
      </c>
      <c r="I40" s="58" t="s">
        <v>1</v>
      </c>
      <c r="J40" s="57" t="s">
        <v>1</v>
      </c>
      <c r="K40" s="58" t="s">
        <v>1</v>
      </c>
      <c r="L40" s="44" t="s">
        <v>140</v>
      </c>
      <c r="M40" s="47" t="s">
        <v>299</v>
      </c>
      <c r="N40" s="52" t="s">
        <v>1</v>
      </c>
      <c r="O40" s="47" t="s">
        <v>1</v>
      </c>
      <c r="P40" s="45" t="s">
        <v>1</v>
      </c>
      <c r="Q40" s="47" t="s">
        <v>1</v>
      </c>
      <c r="R40" s="45" t="s">
        <v>1</v>
      </c>
      <c r="S40" s="47" t="s">
        <v>1</v>
      </c>
      <c r="T40" s="45" t="s">
        <v>1</v>
      </c>
      <c r="U40" s="47" t="s">
        <v>1</v>
      </c>
      <c r="V40" s="45" t="s">
        <v>1</v>
      </c>
      <c r="W40" s="47" t="s">
        <v>1</v>
      </c>
    </row>
    <row r="41" spans="1:23" ht="6.75" customHeight="1" x14ac:dyDescent="0.4">
      <c r="A41" s="31">
        <v>41</v>
      </c>
      <c r="B41" s="50" t="s">
        <v>168</v>
      </c>
      <c r="C41" s="20" t="s">
        <v>175</v>
      </c>
      <c r="D41" s="30" t="s">
        <v>142</v>
      </c>
      <c r="E41" s="51" t="s">
        <v>160</v>
      </c>
      <c r="F41" s="30" t="s">
        <v>1</v>
      </c>
      <c r="G41" s="33" t="s">
        <v>1</v>
      </c>
      <c r="H41" s="57" t="s">
        <v>1</v>
      </c>
      <c r="I41" s="58" t="s">
        <v>1</v>
      </c>
      <c r="J41" s="57" t="s">
        <v>1</v>
      </c>
      <c r="K41" s="58" t="s">
        <v>1</v>
      </c>
      <c r="L41" s="44" t="s">
        <v>140</v>
      </c>
      <c r="M41" s="47" t="s">
        <v>300</v>
      </c>
      <c r="N41" s="52" t="s">
        <v>1</v>
      </c>
      <c r="O41" s="47" t="s">
        <v>1</v>
      </c>
      <c r="P41" s="45" t="s">
        <v>1</v>
      </c>
      <c r="Q41" s="47" t="s">
        <v>1</v>
      </c>
      <c r="R41" s="45" t="s">
        <v>1</v>
      </c>
      <c r="S41" s="47" t="s">
        <v>1</v>
      </c>
      <c r="T41" s="45" t="s">
        <v>1</v>
      </c>
      <c r="U41" s="47" t="s">
        <v>1</v>
      </c>
      <c r="V41" s="45" t="s">
        <v>1</v>
      </c>
      <c r="W41" s="47" t="s">
        <v>1</v>
      </c>
    </row>
    <row r="42" spans="1:23" ht="6.75" customHeight="1" x14ac:dyDescent="0.4">
      <c r="A42" s="31">
        <v>42</v>
      </c>
      <c r="B42" s="50" t="s">
        <v>167</v>
      </c>
      <c r="C42" s="20" t="s">
        <v>175</v>
      </c>
      <c r="D42" s="30" t="s">
        <v>142</v>
      </c>
      <c r="E42" s="51" t="s">
        <v>160</v>
      </c>
      <c r="F42" s="30" t="s">
        <v>1</v>
      </c>
      <c r="G42" s="33" t="s">
        <v>1</v>
      </c>
      <c r="H42" s="57" t="s">
        <v>1</v>
      </c>
      <c r="I42" s="58" t="s">
        <v>1</v>
      </c>
      <c r="J42" s="57" t="s">
        <v>1</v>
      </c>
      <c r="K42" s="58" t="s">
        <v>1</v>
      </c>
      <c r="L42" s="44" t="s">
        <v>140</v>
      </c>
      <c r="M42" s="47" t="s">
        <v>301</v>
      </c>
      <c r="N42" s="52" t="s">
        <v>1</v>
      </c>
      <c r="O42" s="47" t="s">
        <v>1</v>
      </c>
      <c r="P42" s="45" t="s">
        <v>1</v>
      </c>
      <c r="Q42" s="47" t="s">
        <v>1</v>
      </c>
      <c r="R42" s="45" t="s">
        <v>1</v>
      </c>
      <c r="S42" s="47" t="s">
        <v>1</v>
      </c>
      <c r="T42" s="45" t="s">
        <v>1</v>
      </c>
      <c r="U42" s="47" t="s">
        <v>1</v>
      </c>
      <c r="V42" s="45" t="s">
        <v>1</v>
      </c>
      <c r="W42" s="47" t="s">
        <v>1</v>
      </c>
    </row>
    <row r="43" spans="1:23" ht="6.75" customHeight="1" x14ac:dyDescent="0.4">
      <c r="A43" s="31">
        <v>43</v>
      </c>
      <c r="B43" s="50" t="s">
        <v>166</v>
      </c>
      <c r="C43" s="20" t="s">
        <v>175</v>
      </c>
      <c r="D43" s="30" t="s">
        <v>142</v>
      </c>
      <c r="E43" s="51" t="s">
        <v>160</v>
      </c>
      <c r="F43" s="30" t="s">
        <v>1</v>
      </c>
      <c r="G43" s="33" t="s">
        <v>1</v>
      </c>
      <c r="H43" s="57" t="s">
        <v>1</v>
      </c>
      <c r="I43" s="58" t="s">
        <v>1</v>
      </c>
      <c r="J43" s="57" t="s">
        <v>1</v>
      </c>
      <c r="K43" s="58" t="s">
        <v>1</v>
      </c>
      <c r="L43" s="44" t="s">
        <v>140</v>
      </c>
      <c r="M43" s="47" t="s">
        <v>302</v>
      </c>
      <c r="N43" s="52" t="s">
        <v>1</v>
      </c>
      <c r="O43" s="47" t="s">
        <v>1</v>
      </c>
      <c r="P43" s="45" t="s">
        <v>1</v>
      </c>
      <c r="Q43" s="47" t="s">
        <v>1</v>
      </c>
      <c r="R43" s="45" t="s">
        <v>1</v>
      </c>
      <c r="S43" s="47" t="s">
        <v>1</v>
      </c>
      <c r="T43" s="45" t="s">
        <v>1</v>
      </c>
      <c r="U43" s="47" t="s">
        <v>1</v>
      </c>
      <c r="V43" s="45" t="s">
        <v>1</v>
      </c>
      <c r="W43" s="47" t="s">
        <v>1</v>
      </c>
    </row>
    <row r="44" spans="1:23" ht="6.75" customHeight="1" x14ac:dyDescent="0.4">
      <c r="A44" s="31">
        <v>44</v>
      </c>
      <c r="B44" s="50" t="s">
        <v>165</v>
      </c>
      <c r="C44" s="20" t="s">
        <v>175</v>
      </c>
      <c r="D44" s="30" t="s">
        <v>142</v>
      </c>
      <c r="E44" s="51" t="s">
        <v>160</v>
      </c>
      <c r="F44" s="30" t="s">
        <v>1</v>
      </c>
      <c r="G44" s="33" t="s">
        <v>1</v>
      </c>
      <c r="H44" s="57" t="s">
        <v>1</v>
      </c>
      <c r="I44" s="58" t="s">
        <v>1</v>
      </c>
      <c r="J44" s="57" t="s">
        <v>1</v>
      </c>
      <c r="K44" s="58" t="s">
        <v>1</v>
      </c>
      <c r="L44" s="44" t="s">
        <v>140</v>
      </c>
      <c r="M44" s="47" t="s">
        <v>303</v>
      </c>
      <c r="N44" s="52" t="s">
        <v>1</v>
      </c>
      <c r="O44" s="47" t="s">
        <v>1</v>
      </c>
      <c r="P44" s="45" t="s">
        <v>1</v>
      </c>
      <c r="Q44" s="47" t="s">
        <v>1</v>
      </c>
      <c r="R44" s="45" t="s">
        <v>1</v>
      </c>
      <c r="S44" s="47" t="s">
        <v>1</v>
      </c>
      <c r="T44" s="45" t="s">
        <v>1</v>
      </c>
      <c r="U44" s="47" t="s">
        <v>1</v>
      </c>
      <c r="V44" s="45" t="s">
        <v>1</v>
      </c>
      <c r="W44" s="47" t="s">
        <v>1</v>
      </c>
    </row>
    <row r="45" spans="1:23" ht="6.75" customHeight="1" x14ac:dyDescent="0.4">
      <c r="A45" s="31">
        <v>45</v>
      </c>
      <c r="B45" s="50" t="s">
        <v>164</v>
      </c>
      <c r="C45" s="20" t="s">
        <v>175</v>
      </c>
      <c r="D45" s="30" t="s">
        <v>142</v>
      </c>
      <c r="E45" s="51" t="s">
        <v>160</v>
      </c>
      <c r="F45" s="30" t="s">
        <v>1</v>
      </c>
      <c r="G45" s="33" t="s">
        <v>1</v>
      </c>
      <c r="H45" s="57" t="s">
        <v>1</v>
      </c>
      <c r="I45" s="58" t="s">
        <v>1</v>
      </c>
      <c r="J45" s="57" t="s">
        <v>1</v>
      </c>
      <c r="K45" s="58" t="s">
        <v>1</v>
      </c>
      <c r="L45" s="44" t="s">
        <v>140</v>
      </c>
      <c r="M45" s="47" t="s">
        <v>304</v>
      </c>
      <c r="N45" s="52" t="s">
        <v>1</v>
      </c>
      <c r="O45" s="47" t="s">
        <v>1</v>
      </c>
      <c r="P45" s="45" t="s">
        <v>1</v>
      </c>
      <c r="Q45" s="47" t="s">
        <v>1</v>
      </c>
      <c r="R45" s="45" t="s">
        <v>1</v>
      </c>
      <c r="S45" s="47" t="s">
        <v>1</v>
      </c>
      <c r="T45" s="45" t="s">
        <v>1</v>
      </c>
      <c r="U45" s="47" t="s">
        <v>1</v>
      </c>
      <c r="V45" s="45" t="s">
        <v>1</v>
      </c>
      <c r="W45" s="47" t="s">
        <v>1</v>
      </c>
    </row>
    <row r="46" spans="1:23" ht="6.75" customHeight="1" x14ac:dyDescent="0.4">
      <c r="A46" s="31">
        <v>46</v>
      </c>
      <c r="B46" s="50" t="s">
        <v>163</v>
      </c>
      <c r="C46" s="20" t="s">
        <v>175</v>
      </c>
      <c r="D46" s="30" t="s">
        <v>142</v>
      </c>
      <c r="E46" s="51" t="s">
        <v>160</v>
      </c>
      <c r="F46" s="30" t="s">
        <v>1</v>
      </c>
      <c r="G46" s="33" t="s">
        <v>1</v>
      </c>
      <c r="H46" s="57" t="s">
        <v>1</v>
      </c>
      <c r="I46" s="58" t="s">
        <v>1</v>
      </c>
      <c r="J46" s="57" t="s">
        <v>1</v>
      </c>
      <c r="K46" s="58" t="s">
        <v>1</v>
      </c>
      <c r="L46" s="44" t="s">
        <v>140</v>
      </c>
      <c r="M46" s="47" t="s">
        <v>305</v>
      </c>
      <c r="N46" s="52" t="s">
        <v>1</v>
      </c>
      <c r="O46" s="47" t="s">
        <v>1</v>
      </c>
      <c r="P46" s="45" t="s">
        <v>1</v>
      </c>
      <c r="Q46" s="47" t="s">
        <v>1</v>
      </c>
      <c r="R46" s="45" t="s">
        <v>1</v>
      </c>
      <c r="S46" s="47" t="s">
        <v>1</v>
      </c>
      <c r="T46" s="45" t="s">
        <v>1</v>
      </c>
      <c r="U46" s="47" t="s">
        <v>1</v>
      </c>
      <c r="V46" s="45" t="s">
        <v>1</v>
      </c>
      <c r="W46" s="47" t="s">
        <v>1</v>
      </c>
    </row>
    <row r="47" spans="1:23" ht="6.75" customHeight="1" x14ac:dyDescent="0.4">
      <c r="A47" s="31">
        <v>47</v>
      </c>
      <c r="B47" s="50" t="s">
        <v>177</v>
      </c>
      <c r="C47" s="20" t="s">
        <v>176</v>
      </c>
      <c r="D47" s="30" t="s">
        <v>142</v>
      </c>
      <c r="E47" s="51" t="s">
        <v>160</v>
      </c>
      <c r="F47" s="30" t="s">
        <v>1</v>
      </c>
      <c r="G47" s="33" t="s">
        <v>1</v>
      </c>
      <c r="H47" s="57" t="s">
        <v>1</v>
      </c>
      <c r="I47" s="58" t="s">
        <v>1</v>
      </c>
      <c r="J47" s="57" t="s">
        <v>1</v>
      </c>
      <c r="K47" s="58" t="s">
        <v>1</v>
      </c>
      <c r="L47" s="44" t="s">
        <v>140</v>
      </c>
      <c r="M47" s="47" t="s">
        <v>306</v>
      </c>
      <c r="N47" s="52" t="s">
        <v>1</v>
      </c>
      <c r="O47" s="47" t="s">
        <v>1</v>
      </c>
      <c r="P47" s="45" t="s">
        <v>1</v>
      </c>
      <c r="Q47" s="47" t="s">
        <v>1</v>
      </c>
      <c r="R47" s="45" t="s">
        <v>1</v>
      </c>
      <c r="S47" s="47" t="s">
        <v>1</v>
      </c>
      <c r="T47" s="45" t="s">
        <v>1</v>
      </c>
      <c r="U47" s="47" t="s">
        <v>1</v>
      </c>
      <c r="V47" s="45" t="s">
        <v>1</v>
      </c>
      <c r="W47" s="47" t="s">
        <v>1</v>
      </c>
    </row>
    <row r="48" spans="1:23" ht="6.75" customHeight="1" x14ac:dyDescent="0.4">
      <c r="A48" s="31">
        <v>48</v>
      </c>
      <c r="B48" s="50" t="s">
        <v>178</v>
      </c>
      <c r="C48" s="20" t="s">
        <v>176</v>
      </c>
      <c r="D48" s="30" t="s">
        <v>142</v>
      </c>
      <c r="E48" s="51" t="s">
        <v>160</v>
      </c>
      <c r="F48" s="30" t="s">
        <v>1</v>
      </c>
      <c r="G48" s="33" t="s">
        <v>1</v>
      </c>
      <c r="H48" s="57" t="s">
        <v>1</v>
      </c>
      <c r="I48" s="58" t="s">
        <v>1</v>
      </c>
      <c r="J48" s="57" t="s">
        <v>1</v>
      </c>
      <c r="K48" s="58" t="s">
        <v>1</v>
      </c>
      <c r="L48" s="44" t="s">
        <v>140</v>
      </c>
      <c r="M48" s="47" t="s">
        <v>307</v>
      </c>
      <c r="N48" s="52" t="s">
        <v>1</v>
      </c>
      <c r="O48" s="47" t="s">
        <v>1</v>
      </c>
      <c r="P48" s="45" t="s">
        <v>1</v>
      </c>
      <c r="Q48" s="47" t="s">
        <v>1</v>
      </c>
      <c r="R48" s="45" t="s">
        <v>1</v>
      </c>
      <c r="S48" s="47" t="s">
        <v>1</v>
      </c>
      <c r="T48" s="45" t="s">
        <v>1</v>
      </c>
      <c r="U48" s="47" t="s">
        <v>1</v>
      </c>
      <c r="V48" s="45" t="s">
        <v>1</v>
      </c>
      <c r="W48" s="47" t="s">
        <v>1</v>
      </c>
    </row>
    <row r="49" spans="1:23" ht="6.75" customHeight="1" x14ac:dyDescent="0.4">
      <c r="A49" s="31">
        <v>49</v>
      </c>
      <c r="B49" s="50" t="s">
        <v>179</v>
      </c>
      <c r="C49" s="20" t="s">
        <v>176</v>
      </c>
      <c r="D49" s="30" t="s">
        <v>142</v>
      </c>
      <c r="E49" s="51" t="s">
        <v>160</v>
      </c>
      <c r="F49" s="30" t="s">
        <v>1</v>
      </c>
      <c r="G49" s="33" t="s">
        <v>1</v>
      </c>
      <c r="H49" s="57" t="s">
        <v>1</v>
      </c>
      <c r="I49" s="58" t="s">
        <v>1</v>
      </c>
      <c r="J49" s="57" t="s">
        <v>1</v>
      </c>
      <c r="K49" s="58" t="s">
        <v>1</v>
      </c>
      <c r="L49" s="44" t="s">
        <v>140</v>
      </c>
      <c r="M49" s="47" t="s">
        <v>308</v>
      </c>
      <c r="N49" s="52" t="s">
        <v>1</v>
      </c>
      <c r="O49" s="47" t="s">
        <v>1</v>
      </c>
      <c r="P49" s="45" t="s">
        <v>1</v>
      </c>
      <c r="Q49" s="47" t="s">
        <v>1</v>
      </c>
      <c r="R49" s="45" t="s">
        <v>1</v>
      </c>
      <c r="S49" s="47" t="s">
        <v>1</v>
      </c>
      <c r="T49" s="45" t="s">
        <v>1</v>
      </c>
      <c r="U49" s="47" t="s">
        <v>1</v>
      </c>
      <c r="V49" s="45" t="s">
        <v>1</v>
      </c>
      <c r="W49" s="47" t="s">
        <v>1</v>
      </c>
    </row>
    <row r="50" spans="1:23" ht="6.75" customHeight="1" x14ac:dyDescent="0.4">
      <c r="A50" s="31">
        <v>50</v>
      </c>
      <c r="B50" s="50" t="s">
        <v>180</v>
      </c>
      <c r="C50" s="20" t="s">
        <v>176</v>
      </c>
      <c r="D50" s="30" t="s">
        <v>142</v>
      </c>
      <c r="E50" s="51" t="s">
        <v>160</v>
      </c>
      <c r="F50" s="30" t="s">
        <v>1</v>
      </c>
      <c r="G50" s="33" t="s">
        <v>1</v>
      </c>
      <c r="H50" s="57" t="s">
        <v>1</v>
      </c>
      <c r="I50" s="58" t="s">
        <v>1</v>
      </c>
      <c r="J50" s="57" t="s">
        <v>1</v>
      </c>
      <c r="K50" s="58" t="s">
        <v>1</v>
      </c>
      <c r="L50" s="44" t="s">
        <v>140</v>
      </c>
      <c r="M50" s="47" t="s">
        <v>309</v>
      </c>
      <c r="N50" s="52" t="s">
        <v>1</v>
      </c>
      <c r="O50" s="47" t="s">
        <v>1</v>
      </c>
      <c r="P50" s="45" t="s">
        <v>1</v>
      </c>
      <c r="Q50" s="47" t="s">
        <v>1</v>
      </c>
      <c r="R50" s="45" t="s">
        <v>1</v>
      </c>
      <c r="S50" s="47" t="s">
        <v>1</v>
      </c>
      <c r="T50" s="45" t="s">
        <v>1</v>
      </c>
      <c r="U50" s="47" t="s">
        <v>1</v>
      </c>
      <c r="V50" s="45" t="s">
        <v>1</v>
      </c>
      <c r="W50" s="47" t="s">
        <v>1</v>
      </c>
    </row>
    <row r="51" spans="1:23" ht="6.75" customHeight="1" x14ac:dyDescent="0.4">
      <c r="A51" s="31">
        <v>51</v>
      </c>
      <c r="B51" s="50" t="s">
        <v>181</v>
      </c>
      <c r="C51" s="20" t="s">
        <v>176</v>
      </c>
      <c r="D51" s="30" t="s">
        <v>142</v>
      </c>
      <c r="E51" s="51" t="s">
        <v>160</v>
      </c>
      <c r="F51" s="30" t="s">
        <v>1</v>
      </c>
      <c r="G51" s="33" t="s">
        <v>1</v>
      </c>
      <c r="H51" s="57" t="s">
        <v>1</v>
      </c>
      <c r="I51" s="58" t="s">
        <v>1</v>
      </c>
      <c r="J51" s="57" t="s">
        <v>1</v>
      </c>
      <c r="K51" s="58" t="s">
        <v>1</v>
      </c>
      <c r="L51" s="44" t="s">
        <v>140</v>
      </c>
      <c r="M51" s="47" t="s">
        <v>310</v>
      </c>
      <c r="N51" s="52" t="s">
        <v>1</v>
      </c>
      <c r="O51" s="47" t="s">
        <v>1</v>
      </c>
      <c r="P51" s="45" t="s">
        <v>1</v>
      </c>
      <c r="Q51" s="47" t="s">
        <v>1</v>
      </c>
      <c r="R51" s="45" t="s">
        <v>1</v>
      </c>
      <c r="S51" s="47" t="s">
        <v>1</v>
      </c>
      <c r="T51" s="45" t="s">
        <v>1</v>
      </c>
      <c r="U51" s="47" t="s">
        <v>1</v>
      </c>
      <c r="V51" s="45" t="s">
        <v>1</v>
      </c>
      <c r="W51" s="47" t="s">
        <v>1</v>
      </c>
    </row>
    <row r="52" spans="1:23" ht="6.75" customHeight="1" x14ac:dyDescent="0.4">
      <c r="A52" s="31">
        <v>52</v>
      </c>
      <c r="B52" s="50" t="s">
        <v>194</v>
      </c>
      <c r="C52" s="20" t="s">
        <v>227</v>
      </c>
      <c r="D52" s="30" t="s">
        <v>142</v>
      </c>
      <c r="E52" s="51" t="s">
        <v>160</v>
      </c>
      <c r="F52" s="30" t="s">
        <v>1</v>
      </c>
      <c r="G52" s="33" t="s">
        <v>1</v>
      </c>
      <c r="H52" s="57" t="s">
        <v>1</v>
      </c>
      <c r="I52" s="58" t="s">
        <v>1</v>
      </c>
      <c r="J52" s="57" t="s">
        <v>1</v>
      </c>
      <c r="K52" s="58" t="s">
        <v>1</v>
      </c>
      <c r="L52" s="44" t="s">
        <v>140</v>
      </c>
      <c r="M52" s="55" t="s">
        <v>311</v>
      </c>
      <c r="N52" s="54" t="s">
        <v>182</v>
      </c>
      <c r="O52" s="53" t="s">
        <v>183</v>
      </c>
      <c r="P52" s="45" t="s">
        <v>1</v>
      </c>
      <c r="Q52" s="47" t="s">
        <v>1</v>
      </c>
      <c r="R52" s="45" t="s">
        <v>226</v>
      </c>
      <c r="S52" s="47" t="s">
        <v>225</v>
      </c>
      <c r="T52" s="44" t="s">
        <v>213</v>
      </c>
      <c r="U52" s="53" t="s">
        <v>214</v>
      </c>
      <c r="V52" s="45" t="s">
        <v>1</v>
      </c>
      <c r="W52" s="47" t="s">
        <v>1</v>
      </c>
    </row>
    <row r="53" spans="1:23" ht="6.75" customHeight="1" x14ac:dyDescent="0.4">
      <c r="A53" s="31">
        <v>53</v>
      </c>
      <c r="B53" s="50" t="s">
        <v>195</v>
      </c>
      <c r="C53" s="20" t="s">
        <v>227</v>
      </c>
      <c r="D53" s="30" t="s">
        <v>142</v>
      </c>
      <c r="E53" s="51" t="s">
        <v>160</v>
      </c>
      <c r="F53" s="30" t="s">
        <v>1</v>
      </c>
      <c r="G53" s="33" t="s">
        <v>1</v>
      </c>
      <c r="H53" s="57" t="s">
        <v>1</v>
      </c>
      <c r="I53" s="58" t="s">
        <v>1</v>
      </c>
      <c r="J53" s="57" t="s">
        <v>1</v>
      </c>
      <c r="K53" s="58" t="s">
        <v>1</v>
      </c>
      <c r="L53" s="44" t="s">
        <v>140</v>
      </c>
      <c r="M53" s="55" t="s">
        <v>312</v>
      </c>
      <c r="N53" s="54" t="s">
        <v>182</v>
      </c>
      <c r="O53" s="47" t="s">
        <v>187</v>
      </c>
      <c r="P53" s="45" t="s">
        <v>1</v>
      </c>
      <c r="Q53" s="47" t="s">
        <v>1</v>
      </c>
      <c r="R53" s="45" t="s">
        <v>226</v>
      </c>
      <c r="S53" s="47" t="s">
        <v>225</v>
      </c>
      <c r="T53" s="44" t="s">
        <v>213</v>
      </c>
      <c r="U53" s="53" t="s">
        <v>215</v>
      </c>
      <c r="V53" s="45" t="s">
        <v>1</v>
      </c>
      <c r="W53" s="47" t="s">
        <v>1</v>
      </c>
    </row>
    <row r="54" spans="1:23" ht="6.75" customHeight="1" x14ac:dyDescent="0.4">
      <c r="A54" s="31">
        <v>54</v>
      </c>
      <c r="B54" s="50" t="s">
        <v>196</v>
      </c>
      <c r="C54" s="20" t="s">
        <v>227</v>
      </c>
      <c r="D54" s="30" t="s">
        <v>142</v>
      </c>
      <c r="E54" s="51" t="s">
        <v>160</v>
      </c>
      <c r="F54" s="30" t="s">
        <v>1</v>
      </c>
      <c r="G54" s="33" t="s">
        <v>1</v>
      </c>
      <c r="H54" s="57" t="s">
        <v>1</v>
      </c>
      <c r="I54" s="58" t="s">
        <v>1</v>
      </c>
      <c r="J54" s="57" t="s">
        <v>1</v>
      </c>
      <c r="K54" s="58" t="s">
        <v>1</v>
      </c>
      <c r="L54" s="44" t="s">
        <v>140</v>
      </c>
      <c r="M54" s="55" t="s">
        <v>313</v>
      </c>
      <c r="N54" s="54" t="s">
        <v>182</v>
      </c>
      <c r="O54" s="53" t="s">
        <v>189</v>
      </c>
      <c r="P54" s="45" t="s">
        <v>1</v>
      </c>
      <c r="Q54" s="47" t="s">
        <v>1</v>
      </c>
      <c r="R54" s="45" t="s">
        <v>226</v>
      </c>
      <c r="S54" s="47" t="s">
        <v>225</v>
      </c>
      <c r="T54" s="44" t="s">
        <v>213</v>
      </c>
      <c r="U54" s="53" t="s">
        <v>216</v>
      </c>
      <c r="V54" s="45" t="s">
        <v>1</v>
      </c>
      <c r="W54" s="47" t="s">
        <v>1</v>
      </c>
    </row>
    <row r="55" spans="1:23" ht="6.75" customHeight="1" x14ac:dyDescent="0.4">
      <c r="A55" s="31">
        <v>55</v>
      </c>
      <c r="B55" s="50" t="s">
        <v>197</v>
      </c>
      <c r="C55" s="20" t="s">
        <v>227</v>
      </c>
      <c r="D55" s="30" t="s">
        <v>142</v>
      </c>
      <c r="E55" s="51" t="s">
        <v>160</v>
      </c>
      <c r="F55" s="30" t="s">
        <v>1</v>
      </c>
      <c r="G55" s="33" t="s">
        <v>1</v>
      </c>
      <c r="H55" s="57" t="s">
        <v>1</v>
      </c>
      <c r="I55" s="58" t="s">
        <v>1</v>
      </c>
      <c r="J55" s="57" t="s">
        <v>1</v>
      </c>
      <c r="K55" s="58" t="s">
        <v>1</v>
      </c>
      <c r="L55" s="44" t="s">
        <v>140</v>
      </c>
      <c r="M55" s="55" t="s">
        <v>205</v>
      </c>
      <c r="N55" s="54" t="s">
        <v>182</v>
      </c>
      <c r="O55" s="53" t="s">
        <v>186</v>
      </c>
      <c r="P55" s="45" t="s">
        <v>1</v>
      </c>
      <c r="Q55" s="47" t="s">
        <v>1</v>
      </c>
      <c r="R55" s="45" t="s">
        <v>226</v>
      </c>
      <c r="S55" s="47" t="s">
        <v>225</v>
      </c>
      <c r="T55" s="44" t="s">
        <v>213</v>
      </c>
      <c r="U55" s="53" t="s">
        <v>217</v>
      </c>
      <c r="V55" s="45" t="s">
        <v>1</v>
      </c>
      <c r="W55" s="47" t="s">
        <v>1</v>
      </c>
    </row>
    <row r="56" spans="1:23" ht="6.75" customHeight="1" x14ac:dyDescent="0.4">
      <c r="A56" s="31">
        <v>56</v>
      </c>
      <c r="B56" s="50" t="s">
        <v>202</v>
      </c>
      <c r="C56" s="20" t="s">
        <v>227</v>
      </c>
      <c r="D56" s="30" t="s">
        <v>142</v>
      </c>
      <c r="E56" s="51" t="s">
        <v>160</v>
      </c>
      <c r="F56" s="30" t="s">
        <v>1</v>
      </c>
      <c r="G56" s="33" t="s">
        <v>1</v>
      </c>
      <c r="H56" s="57" t="s">
        <v>1</v>
      </c>
      <c r="I56" s="58" t="s">
        <v>1</v>
      </c>
      <c r="J56" s="57" t="s">
        <v>1</v>
      </c>
      <c r="K56" s="58" t="s">
        <v>1</v>
      </c>
      <c r="L56" s="44" t="s">
        <v>140</v>
      </c>
      <c r="M56" s="55" t="s">
        <v>206</v>
      </c>
      <c r="N56" s="54" t="s">
        <v>182</v>
      </c>
      <c r="O56" s="53" t="s">
        <v>188</v>
      </c>
      <c r="P56" s="45" t="s">
        <v>1</v>
      </c>
      <c r="Q56" s="47" t="s">
        <v>1</v>
      </c>
      <c r="R56" s="45" t="s">
        <v>226</v>
      </c>
      <c r="S56" s="47" t="s">
        <v>225</v>
      </c>
      <c r="T56" s="44" t="s">
        <v>213</v>
      </c>
      <c r="U56" s="53" t="s">
        <v>218</v>
      </c>
      <c r="V56" s="45" t="s">
        <v>1</v>
      </c>
      <c r="W56" s="47" t="s">
        <v>1</v>
      </c>
    </row>
    <row r="57" spans="1:23" ht="6.75" customHeight="1" x14ac:dyDescent="0.4">
      <c r="A57" s="31">
        <v>57</v>
      </c>
      <c r="B57" s="50" t="s">
        <v>203</v>
      </c>
      <c r="C57" s="20" t="s">
        <v>227</v>
      </c>
      <c r="D57" s="30" t="s">
        <v>142</v>
      </c>
      <c r="E57" s="51" t="s">
        <v>160</v>
      </c>
      <c r="F57" s="30" t="s">
        <v>1</v>
      </c>
      <c r="G57" s="33" t="s">
        <v>1</v>
      </c>
      <c r="H57" s="57" t="s">
        <v>1</v>
      </c>
      <c r="I57" s="58" t="s">
        <v>1</v>
      </c>
      <c r="J57" s="57" t="s">
        <v>1</v>
      </c>
      <c r="K57" s="58" t="s">
        <v>1</v>
      </c>
      <c r="L57" s="44" t="s">
        <v>140</v>
      </c>
      <c r="M57" s="55" t="s">
        <v>207</v>
      </c>
      <c r="N57" s="54" t="s">
        <v>182</v>
      </c>
      <c r="O57" s="53" t="s">
        <v>185</v>
      </c>
      <c r="P57" s="45" t="s">
        <v>1</v>
      </c>
      <c r="Q57" s="47" t="s">
        <v>1</v>
      </c>
      <c r="R57" s="45" t="s">
        <v>226</v>
      </c>
      <c r="S57" s="47" t="s">
        <v>225</v>
      </c>
      <c r="T57" s="44" t="s">
        <v>213</v>
      </c>
      <c r="U57" s="53" t="s">
        <v>219</v>
      </c>
      <c r="V57" s="45" t="s">
        <v>1</v>
      </c>
      <c r="W57" s="47" t="s">
        <v>1</v>
      </c>
    </row>
    <row r="58" spans="1:23" ht="6.75" customHeight="1" x14ac:dyDescent="0.4">
      <c r="A58" s="31">
        <v>58</v>
      </c>
      <c r="B58" s="50" t="s">
        <v>204</v>
      </c>
      <c r="C58" s="20" t="s">
        <v>227</v>
      </c>
      <c r="D58" s="30" t="s">
        <v>142</v>
      </c>
      <c r="E58" s="51" t="s">
        <v>160</v>
      </c>
      <c r="F58" s="30" t="s">
        <v>1</v>
      </c>
      <c r="G58" s="33" t="s">
        <v>1</v>
      </c>
      <c r="H58" s="57" t="s">
        <v>1</v>
      </c>
      <c r="I58" s="58" t="s">
        <v>1</v>
      </c>
      <c r="J58" s="57" t="s">
        <v>1</v>
      </c>
      <c r="K58" s="58" t="s">
        <v>1</v>
      </c>
      <c r="L58" s="44" t="s">
        <v>140</v>
      </c>
      <c r="M58" s="55" t="s">
        <v>208</v>
      </c>
      <c r="N58" s="54" t="s">
        <v>182</v>
      </c>
      <c r="O58" s="53" t="s">
        <v>190</v>
      </c>
      <c r="P58" s="45" t="s">
        <v>1</v>
      </c>
      <c r="Q58" s="47" t="s">
        <v>1</v>
      </c>
      <c r="R58" s="45" t="s">
        <v>226</v>
      </c>
      <c r="S58" s="47" t="s">
        <v>225</v>
      </c>
      <c r="T58" s="44" t="s">
        <v>213</v>
      </c>
      <c r="U58" s="53" t="s">
        <v>220</v>
      </c>
      <c r="V58" s="45" t="s">
        <v>1</v>
      </c>
      <c r="W58" s="47" t="s">
        <v>1</v>
      </c>
    </row>
    <row r="59" spans="1:23" ht="6.75" customHeight="1" x14ac:dyDescent="0.4">
      <c r="A59" s="31">
        <v>59</v>
      </c>
      <c r="B59" s="50" t="s">
        <v>201</v>
      </c>
      <c r="C59" s="20" t="s">
        <v>227</v>
      </c>
      <c r="D59" s="30" t="s">
        <v>142</v>
      </c>
      <c r="E59" s="51" t="s">
        <v>160</v>
      </c>
      <c r="F59" s="30" t="s">
        <v>1</v>
      </c>
      <c r="G59" s="33" t="s">
        <v>1</v>
      </c>
      <c r="H59" s="57" t="s">
        <v>1</v>
      </c>
      <c r="I59" s="58" t="s">
        <v>1</v>
      </c>
      <c r="J59" s="57" t="s">
        <v>1</v>
      </c>
      <c r="K59" s="58" t="s">
        <v>1</v>
      </c>
      <c r="L59" s="44" t="s">
        <v>140</v>
      </c>
      <c r="M59" s="55" t="s">
        <v>209</v>
      </c>
      <c r="N59" s="54" t="s">
        <v>182</v>
      </c>
      <c r="O59" s="53" t="s">
        <v>184</v>
      </c>
      <c r="P59" s="45" t="s">
        <v>1</v>
      </c>
      <c r="Q59" s="47" t="s">
        <v>1</v>
      </c>
      <c r="R59" s="45" t="s">
        <v>226</v>
      </c>
      <c r="S59" s="47" t="s">
        <v>225</v>
      </c>
      <c r="T59" s="44" t="s">
        <v>213</v>
      </c>
      <c r="U59" s="53" t="s">
        <v>221</v>
      </c>
      <c r="V59" s="45" t="s">
        <v>1</v>
      </c>
      <c r="W59" s="47" t="s">
        <v>1</v>
      </c>
    </row>
    <row r="60" spans="1:23" ht="6.75" customHeight="1" x14ac:dyDescent="0.4">
      <c r="A60" s="31">
        <v>60</v>
      </c>
      <c r="B60" s="50" t="s">
        <v>198</v>
      </c>
      <c r="C60" s="20" t="s">
        <v>227</v>
      </c>
      <c r="D60" s="30" t="s">
        <v>142</v>
      </c>
      <c r="E60" s="51" t="s">
        <v>160</v>
      </c>
      <c r="F60" s="30" t="s">
        <v>1</v>
      </c>
      <c r="G60" s="33" t="s">
        <v>1</v>
      </c>
      <c r="H60" s="57" t="s">
        <v>1</v>
      </c>
      <c r="I60" s="58" t="s">
        <v>1</v>
      </c>
      <c r="J60" s="57" t="s">
        <v>1</v>
      </c>
      <c r="K60" s="58" t="s">
        <v>1</v>
      </c>
      <c r="L60" s="44" t="s">
        <v>140</v>
      </c>
      <c r="M60" s="55" t="s">
        <v>210</v>
      </c>
      <c r="N60" s="54" t="s">
        <v>182</v>
      </c>
      <c r="O60" s="53" t="s">
        <v>193</v>
      </c>
      <c r="P60" s="45" t="s">
        <v>1</v>
      </c>
      <c r="Q60" s="47" t="s">
        <v>1</v>
      </c>
      <c r="R60" s="45" t="s">
        <v>226</v>
      </c>
      <c r="S60" s="47" t="s">
        <v>225</v>
      </c>
      <c r="T60" s="44" t="s">
        <v>213</v>
      </c>
      <c r="U60" s="53" t="s">
        <v>222</v>
      </c>
      <c r="V60" s="45" t="s">
        <v>1</v>
      </c>
      <c r="W60" s="47" t="s">
        <v>1</v>
      </c>
    </row>
    <row r="61" spans="1:23" ht="6.75" customHeight="1" x14ac:dyDescent="0.4">
      <c r="A61" s="31">
        <v>61</v>
      </c>
      <c r="B61" s="50" t="s">
        <v>199</v>
      </c>
      <c r="C61" s="20" t="s">
        <v>227</v>
      </c>
      <c r="D61" s="30" t="s">
        <v>142</v>
      </c>
      <c r="E61" s="51" t="s">
        <v>160</v>
      </c>
      <c r="F61" s="30" t="s">
        <v>1</v>
      </c>
      <c r="G61" s="33" t="s">
        <v>1</v>
      </c>
      <c r="H61" s="57" t="s">
        <v>1</v>
      </c>
      <c r="I61" s="58" t="s">
        <v>1</v>
      </c>
      <c r="J61" s="57" t="s">
        <v>1</v>
      </c>
      <c r="K61" s="58" t="s">
        <v>1</v>
      </c>
      <c r="L61" s="44" t="s">
        <v>140</v>
      </c>
      <c r="M61" s="55" t="s">
        <v>211</v>
      </c>
      <c r="N61" s="54" t="s">
        <v>182</v>
      </c>
      <c r="O61" s="53" t="s">
        <v>191</v>
      </c>
      <c r="P61" s="45" t="s">
        <v>1</v>
      </c>
      <c r="Q61" s="47" t="s">
        <v>1</v>
      </c>
      <c r="R61" s="45" t="s">
        <v>226</v>
      </c>
      <c r="S61" s="47" t="s">
        <v>225</v>
      </c>
      <c r="T61" s="44" t="s">
        <v>213</v>
      </c>
      <c r="U61" s="53" t="s">
        <v>223</v>
      </c>
      <c r="V61" s="45" t="s">
        <v>1</v>
      </c>
      <c r="W61" s="47" t="s">
        <v>1</v>
      </c>
    </row>
    <row r="62" spans="1:23" ht="6.75" customHeight="1" x14ac:dyDescent="0.4">
      <c r="A62" s="31">
        <v>62</v>
      </c>
      <c r="B62" s="50" t="s">
        <v>200</v>
      </c>
      <c r="C62" s="20" t="s">
        <v>227</v>
      </c>
      <c r="D62" s="30" t="s">
        <v>142</v>
      </c>
      <c r="E62" s="51" t="s">
        <v>160</v>
      </c>
      <c r="F62" s="30" t="s">
        <v>1</v>
      </c>
      <c r="G62" s="33" t="s">
        <v>1</v>
      </c>
      <c r="H62" s="57" t="s">
        <v>1</v>
      </c>
      <c r="I62" s="58" t="s">
        <v>1</v>
      </c>
      <c r="J62" s="57" t="s">
        <v>1</v>
      </c>
      <c r="K62" s="58" t="s">
        <v>1</v>
      </c>
      <c r="L62" s="44" t="s">
        <v>140</v>
      </c>
      <c r="M62" s="55" t="s">
        <v>212</v>
      </c>
      <c r="N62" s="54" t="s">
        <v>182</v>
      </c>
      <c r="O62" s="53" t="s">
        <v>192</v>
      </c>
      <c r="P62" s="45" t="s">
        <v>1</v>
      </c>
      <c r="Q62" s="47" t="s">
        <v>1</v>
      </c>
      <c r="R62" s="45" t="s">
        <v>226</v>
      </c>
      <c r="S62" s="47" t="s">
        <v>225</v>
      </c>
      <c r="T62" s="44" t="s">
        <v>213</v>
      </c>
      <c r="U62" s="53" t="s">
        <v>224</v>
      </c>
      <c r="V62" s="45" t="s">
        <v>1</v>
      </c>
      <c r="W62" s="47" t="s">
        <v>1</v>
      </c>
    </row>
  </sheetData>
  <sortState xmlns:xlrd2="http://schemas.microsoft.com/office/spreadsheetml/2017/richdata2" ref="A2:U2">
    <sortCondition ref="C1:C2"/>
  </sortState>
  <phoneticPr fontId="1" type="noConversion"/>
  <conditionalFormatting sqref="A1:XFD17 A18:B18 A19:XFD19 A20:B21 A22:XFD1048576">
    <cfRule type="cellIs" dxfId="6" priority="6" operator="equal">
      <formula>"null"</formula>
    </cfRule>
  </conditionalFormatting>
  <conditionalFormatting sqref="B1:B1048576">
    <cfRule type="duplicateValues" dxfId="5" priority="5"/>
  </conditionalFormatting>
  <conditionalFormatting sqref="C18">
    <cfRule type="duplicateValues" dxfId="4" priority="1"/>
  </conditionalFormatting>
  <conditionalFormatting sqref="C20:C21">
    <cfRule type="duplicateValues" dxfId="3" priority="3"/>
  </conditionalFormatting>
  <conditionalFormatting sqref="C18:XFD18">
    <cfRule type="cellIs" dxfId="2" priority="2" operator="equal">
      <formula>"null"</formula>
    </cfRule>
  </conditionalFormatting>
  <conditionalFormatting sqref="C20:XFD21">
    <cfRule type="cellIs" dxfId="1" priority="4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6A46-58D1-419D-AFD2-969B66B932B3}">
  <dimension ref="A1:C24"/>
  <sheetViews>
    <sheetView zoomScale="205" zoomScaleNormal="205" workbookViewId="0">
      <selection activeCell="C1" sqref="C1:C1048576"/>
    </sheetView>
  </sheetViews>
  <sheetFormatPr defaultColWidth="11.3828125" defaultRowHeight="14.6" x14ac:dyDescent="0.4"/>
  <cols>
    <col min="1" max="1" width="2.3828125" style="7" bestFit="1" customWidth="1"/>
    <col min="2" max="2" width="61.53515625" style="6" customWidth="1"/>
    <col min="3" max="3" width="47.3046875" customWidth="1"/>
    <col min="4" max="16384" width="11.3828125" style="6"/>
  </cols>
  <sheetData>
    <row r="1" spans="1:3" ht="18" customHeight="1" x14ac:dyDescent="0.2">
      <c r="A1" s="8">
        <v>1</v>
      </c>
      <c r="B1" s="9" t="s">
        <v>29</v>
      </c>
      <c r="C1" s="23" t="s">
        <v>43</v>
      </c>
    </row>
    <row r="2" spans="1:3" ht="30.9" x14ac:dyDescent="0.2">
      <c r="A2" s="8">
        <v>2</v>
      </c>
      <c r="B2" s="10" t="s">
        <v>24</v>
      </c>
      <c r="C2" s="68" t="s">
        <v>1</v>
      </c>
    </row>
    <row r="3" spans="1:3" ht="30.9" x14ac:dyDescent="0.2">
      <c r="A3" s="8">
        <v>3</v>
      </c>
      <c r="B3" s="10" t="s">
        <v>25</v>
      </c>
      <c r="C3" s="68" t="s">
        <v>1</v>
      </c>
    </row>
    <row r="4" spans="1:3" ht="38.6" x14ac:dyDescent="0.2">
      <c r="A4" s="8">
        <v>4</v>
      </c>
      <c r="B4" s="10" t="s">
        <v>26</v>
      </c>
      <c r="C4" s="68" t="s">
        <v>1</v>
      </c>
    </row>
    <row r="5" spans="1:3" ht="86.5" customHeight="1" x14ac:dyDescent="0.2">
      <c r="A5" s="8">
        <v>5</v>
      </c>
      <c r="B5" s="10" t="s">
        <v>27</v>
      </c>
      <c r="C5" s="68" t="s">
        <v>1</v>
      </c>
    </row>
    <row r="6" spans="1:3" ht="11.25" customHeight="1" x14ac:dyDescent="0.2">
      <c r="A6" s="8">
        <v>6</v>
      </c>
      <c r="B6" s="9" t="s">
        <v>23</v>
      </c>
      <c r="C6" s="68" t="s">
        <v>1</v>
      </c>
    </row>
    <row r="7" spans="1:3" ht="11.25" customHeight="1" x14ac:dyDescent="0.2">
      <c r="A7" s="8">
        <v>7</v>
      </c>
      <c r="B7" s="11" t="s">
        <v>28</v>
      </c>
      <c r="C7" s="69" t="s">
        <v>314</v>
      </c>
    </row>
    <row r="8" spans="1:3" ht="11.25" customHeight="1" x14ac:dyDescent="0.2">
      <c r="A8" s="8">
        <v>8</v>
      </c>
      <c r="B8" s="10" t="s">
        <v>37</v>
      </c>
      <c r="C8" s="69" t="s">
        <v>315</v>
      </c>
    </row>
    <row r="9" spans="1:3" ht="11.25" customHeight="1" x14ac:dyDescent="0.2">
      <c r="A9" s="8">
        <v>9</v>
      </c>
      <c r="B9" s="10" t="s">
        <v>36</v>
      </c>
      <c r="C9" s="69" t="s">
        <v>316</v>
      </c>
    </row>
    <row r="10" spans="1:3" ht="11.25" customHeight="1" x14ac:dyDescent="0.2">
      <c r="A10" s="8">
        <v>10</v>
      </c>
      <c r="B10" s="11" t="s">
        <v>35</v>
      </c>
      <c r="C10" s="69" t="s">
        <v>317</v>
      </c>
    </row>
    <row r="11" spans="1:3" ht="11.25" customHeight="1" x14ac:dyDescent="0.2">
      <c r="A11" s="8">
        <v>11</v>
      </c>
      <c r="B11" s="11" t="s">
        <v>34</v>
      </c>
      <c r="C11" s="69" t="s">
        <v>318</v>
      </c>
    </row>
    <row r="12" spans="1:3" ht="11.25" customHeight="1" x14ac:dyDescent="0.2">
      <c r="A12" s="8">
        <v>12</v>
      </c>
      <c r="B12" s="11" t="s">
        <v>33</v>
      </c>
      <c r="C12" s="69" t="s">
        <v>319</v>
      </c>
    </row>
    <row r="13" spans="1:3" ht="11.25" customHeight="1" x14ac:dyDescent="0.2">
      <c r="A13" s="8">
        <v>13</v>
      </c>
      <c r="B13" s="11" t="s">
        <v>32</v>
      </c>
      <c r="C13" s="69" t="s">
        <v>320</v>
      </c>
    </row>
    <row r="14" spans="1:3" ht="11.25" customHeight="1" x14ac:dyDescent="0.2">
      <c r="A14" s="8">
        <v>14</v>
      </c>
      <c r="B14" s="11" t="s">
        <v>31</v>
      </c>
      <c r="C14" s="69" t="s">
        <v>321</v>
      </c>
    </row>
    <row r="15" spans="1:3" ht="11.25" customHeight="1" x14ac:dyDescent="0.2">
      <c r="A15" s="8">
        <v>15</v>
      </c>
      <c r="B15" s="11" t="s">
        <v>30</v>
      </c>
      <c r="C15" s="29" t="s">
        <v>322</v>
      </c>
    </row>
    <row r="16" spans="1:3" ht="7.75" x14ac:dyDescent="0.2">
      <c r="C16" s="29" t="s">
        <v>323</v>
      </c>
    </row>
    <row r="17" spans="3:3" ht="7.75" x14ac:dyDescent="0.2">
      <c r="C17" s="29" t="s">
        <v>324</v>
      </c>
    </row>
    <row r="18" spans="3:3" ht="7.75" x14ac:dyDescent="0.2">
      <c r="C18" s="29" t="s">
        <v>325</v>
      </c>
    </row>
    <row r="19" spans="3:3" ht="7.75" x14ac:dyDescent="0.2">
      <c r="C19" s="68" t="s">
        <v>1</v>
      </c>
    </row>
    <row r="20" spans="3:3" ht="7.75" x14ac:dyDescent="0.2">
      <c r="C20" s="68" t="s">
        <v>1</v>
      </c>
    </row>
    <row r="21" spans="3:3" ht="7.75" x14ac:dyDescent="0.2">
      <c r="C21" s="68" t="s">
        <v>1</v>
      </c>
    </row>
    <row r="22" spans="3:3" ht="7.75" x14ac:dyDescent="0.2">
      <c r="C22" s="68" t="s">
        <v>1</v>
      </c>
    </row>
    <row r="23" spans="3:3" ht="7.75" x14ac:dyDescent="0.2">
      <c r="C23" s="68" t="s">
        <v>1</v>
      </c>
    </row>
    <row r="24" spans="3:3" ht="7.75" x14ac:dyDescent="0.2">
      <c r="C24" s="68" t="s">
        <v>1</v>
      </c>
    </row>
  </sheetData>
  <conditionalFormatting sqref="C1 C7:C18">
    <cfRule type="cellIs" dxfId="0" priority="1" operator="equal">
      <formula>"null"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1DA16A-FA7F-4C2B-A774-AE96AE54DD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Projeto</vt:lpstr>
      <vt:lpstr>Classes</vt:lpstr>
      <vt:lpstr>Disjunt</vt:lpstr>
      <vt:lpstr>Interop</vt:lpstr>
      <vt:lpstr>FatosIn</vt:lpstr>
      <vt:lpstr>ExemplosDL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2023-10-05T15:04:02Z</dcterms:created>
  <dcterms:modified xsi:type="dcterms:W3CDTF">2026-08-09T16:34:40Z</dcterms:modified>
</cp:coreProperties>
</file>