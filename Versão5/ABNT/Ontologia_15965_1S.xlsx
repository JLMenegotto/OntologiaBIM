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5651B4A-919C-45CD-A4CA-21C845F81C51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U15" i="4" l="1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Q23" i="4"/>
  <c r="Q24" i="4"/>
  <c r="Q26" i="4"/>
  <c r="AA15" i="4"/>
  <c r="AA19" i="4"/>
  <c r="Q15" i="4"/>
  <c r="Q25" i="4"/>
  <c r="AA25" i="4"/>
  <c r="AA27" i="4"/>
  <c r="Q18" i="4"/>
  <c r="Q27" i="4"/>
  <c r="AA23" i="4"/>
  <c r="Q19" i="4"/>
  <c r="AA21" i="4"/>
  <c r="AA20" i="4"/>
  <c r="Q22" i="4"/>
  <c r="AA22" i="4"/>
  <c r="AA16" i="4"/>
  <c r="AA26" i="4"/>
  <c r="Q21" i="4"/>
  <c r="AA24" i="4"/>
  <c r="AA17" i="4"/>
  <c r="Q20" i="4"/>
  <c r="Q16" i="4"/>
  <c r="AA18" i="4"/>
  <c r="Q17" i="4"/>
  <c r="B18" i="9" l="1"/>
  <c r="B6" i="9"/>
  <c r="B5" i="9"/>
</calcChain>
</file>

<file path=xl/sharedStrings.xml><?xml version="1.0" encoding="utf-8"?>
<sst xmlns="http://schemas.openxmlformats.org/spreadsheetml/2006/main" count="7945" uniqueCount="867">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</sst>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5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2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688</v>
      </c>
    </row>
    <row r="2" spans="1:3" ht="7.9" customHeight="1" x14ac:dyDescent="0.2">
      <c r="A2" s="3" t="s">
        <v>307</v>
      </c>
      <c r="B2" s="3" t="s">
        <v>680</v>
      </c>
      <c r="C2" s="39" t="s">
        <v>689</v>
      </c>
    </row>
    <row r="3" spans="1:3" ht="7.9" customHeight="1" x14ac:dyDescent="0.2">
      <c r="A3" s="3" t="s">
        <v>308</v>
      </c>
      <c r="B3" s="3" t="s">
        <v>305</v>
      </c>
      <c r="C3" s="39" t="s">
        <v>689</v>
      </c>
    </row>
    <row r="4" spans="1:3" ht="7.9" customHeight="1" x14ac:dyDescent="0.2">
      <c r="A4" s="4" t="s">
        <v>5</v>
      </c>
      <c r="B4" s="4" t="s">
        <v>633</v>
      </c>
      <c r="C4" s="39" t="s">
        <v>689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689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689</v>
      </c>
    </row>
    <row r="7" spans="1:3" ht="7.9" customHeight="1" x14ac:dyDescent="0.2">
      <c r="A7" s="4" t="s">
        <v>8</v>
      </c>
      <c r="B7" s="4" t="s">
        <v>323</v>
      </c>
      <c r="C7" s="39" t="s">
        <v>689</v>
      </c>
    </row>
    <row r="8" spans="1:3" ht="7.9" customHeight="1" x14ac:dyDescent="0.2">
      <c r="A8" s="36" t="s">
        <v>9</v>
      </c>
      <c r="B8" s="36" t="s">
        <v>687</v>
      </c>
      <c r="C8" s="39" t="s">
        <v>689</v>
      </c>
    </row>
    <row r="9" spans="1:3" ht="7.9" customHeight="1" x14ac:dyDescent="0.2">
      <c r="A9" s="4" t="s">
        <v>309</v>
      </c>
      <c r="B9" s="4" t="s">
        <v>310</v>
      </c>
      <c r="C9" s="39" t="s">
        <v>689</v>
      </c>
    </row>
    <row r="10" spans="1:3" ht="7.9" customHeight="1" x14ac:dyDescent="0.2">
      <c r="A10" s="4" t="s">
        <v>311</v>
      </c>
      <c r="B10" s="4" t="s">
        <v>16</v>
      </c>
      <c r="C10" s="39" t="s">
        <v>689</v>
      </c>
    </row>
    <row r="11" spans="1:3" ht="7.9" customHeight="1" x14ac:dyDescent="0.2">
      <c r="A11" s="4" t="s">
        <v>312</v>
      </c>
      <c r="B11" s="4" t="s">
        <v>322</v>
      </c>
      <c r="C11" s="39" t="s">
        <v>689</v>
      </c>
    </row>
    <row r="12" spans="1:3" ht="7.9" customHeight="1" x14ac:dyDescent="0.2">
      <c r="A12" s="4" t="s">
        <v>10</v>
      </c>
      <c r="B12" s="4" t="s">
        <v>17</v>
      </c>
      <c r="C12" s="39" t="s">
        <v>689</v>
      </c>
    </row>
    <row r="13" spans="1:3" ht="7.9" customHeight="1" x14ac:dyDescent="0.2">
      <c r="A13" s="4" t="s">
        <v>313</v>
      </c>
      <c r="B13" s="4" t="s">
        <v>304</v>
      </c>
      <c r="C13" s="39" t="s">
        <v>689</v>
      </c>
    </row>
    <row r="14" spans="1:3" ht="7.9" customHeight="1" x14ac:dyDescent="0.2">
      <c r="A14" s="4" t="s">
        <v>314</v>
      </c>
      <c r="B14" s="4" t="s">
        <v>11</v>
      </c>
      <c r="C14" s="39" t="s">
        <v>689</v>
      </c>
    </row>
    <row r="15" spans="1:3" ht="7.9" customHeight="1" x14ac:dyDescent="0.2">
      <c r="A15" s="4" t="s">
        <v>315</v>
      </c>
      <c r="B15" s="4" t="s">
        <v>11</v>
      </c>
      <c r="C15" s="39" t="s">
        <v>689</v>
      </c>
    </row>
    <row r="16" spans="1:3" ht="7.9" customHeight="1" x14ac:dyDescent="0.2">
      <c r="A16" s="4" t="s">
        <v>316</v>
      </c>
      <c r="B16" s="4" t="s">
        <v>11</v>
      </c>
      <c r="C16" s="39" t="s">
        <v>689</v>
      </c>
    </row>
    <row r="17" spans="1:3" ht="7.9" customHeight="1" x14ac:dyDescent="0.2">
      <c r="A17" s="4" t="s">
        <v>12</v>
      </c>
      <c r="B17" s="4" t="s">
        <v>13</v>
      </c>
      <c r="C17" s="39" t="s">
        <v>689</v>
      </c>
    </row>
    <row r="18" spans="1:3" ht="7.9" customHeight="1" x14ac:dyDescent="0.2">
      <c r="A18" s="4" t="s">
        <v>317</v>
      </c>
      <c r="B18" s="5">
        <f ca="1">NOW()</f>
        <v>46244.501170138887</v>
      </c>
      <c r="C18" s="39" t="s">
        <v>689</v>
      </c>
    </row>
    <row r="19" spans="1:3" ht="7.9" customHeight="1" x14ac:dyDescent="0.2">
      <c r="A19" s="4" t="s">
        <v>698</v>
      </c>
      <c r="B19" s="5" t="s">
        <v>693</v>
      </c>
      <c r="C19" s="39" t="s">
        <v>689</v>
      </c>
    </row>
    <row r="20" spans="1:3" ht="7.9" customHeight="1" x14ac:dyDescent="0.2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" customHeight="1" x14ac:dyDescent="0.2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" customHeight="1" x14ac:dyDescent="0.2">
      <c r="A22" s="4" t="s">
        <v>306</v>
      </c>
      <c r="B22" s="4" t="s">
        <v>11</v>
      </c>
      <c r="C22" s="39" t="s">
        <v>689</v>
      </c>
    </row>
    <row r="23" spans="1:3" ht="7.9" customHeight="1" x14ac:dyDescent="0.2">
      <c r="A23" s="4" t="s">
        <v>318</v>
      </c>
      <c r="B23" s="4" t="s">
        <v>11</v>
      </c>
      <c r="C23" s="39" t="s">
        <v>689</v>
      </c>
    </row>
    <row r="24" spans="1:3" ht="7.9" customHeight="1" x14ac:dyDescent="0.2">
      <c r="A24" s="6" t="s">
        <v>324</v>
      </c>
      <c r="B24" s="6" t="s">
        <v>325</v>
      </c>
      <c r="C24" s="39" t="s">
        <v>689</v>
      </c>
    </row>
    <row r="25" spans="1:3" ht="7.9" customHeight="1" x14ac:dyDescent="0.2">
      <c r="A25" s="6" t="s">
        <v>326</v>
      </c>
      <c r="B25" s="6" t="s">
        <v>327</v>
      </c>
      <c r="C25" s="39" t="s">
        <v>690</v>
      </c>
    </row>
    <row r="26" spans="1:3" ht="7.9" customHeight="1" x14ac:dyDescent="0.2">
      <c r="A26" s="36" t="s">
        <v>685</v>
      </c>
      <c r="B26" s="37" t="s">
        <v>686</v>
      </c>
      <c r="C26" s="39" t="s">
        <v>691</v>
      </c>
    </row>
    <row r="27" spans="1:3" ht="8.25" customHeight="1" x14ac:dyDescent="0.2">
      <c r="A27" s="36" t="s">
        <v>827</v>
      </c>
      <c r="B27" s="56" t="s">
        <v>828</v>
      </c>
      <c r="C27" s="39" t="s">
        <v>689</v>
      </c>
    </row>
    <row r="28" spans="1:3" ht="8.25" customHeight="1" x14ac:dyDescent="0.2">
      <c r="A28" s="36" t="s">
        <v>829</v>
      </c>
      <c r="B28" s="57" t="s">
        <v>830</v>
      </c>
      <c r="C28" s="39" t="s">
        <v>689</v>
      </c>
    </row>
    <row r="29" spans="1:3" ht="8.25" customHeight="1" x14ac:dyDescent="0.2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15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15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15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15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15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15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15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15">
      <c r="A37" s="36" t="s">
        <v>847</v>
      </c>
      <c r="B37" s="6" t="s">
        <v>848</v>
      </c>
      <c r="C37" s="39" t="s">
        <v>689</v>
      </c>
    </row>
    <row r="38" spans="1:3" ht="9.9499999999999993" customHeight="1" x14ac:dyDescent="0.2">
      <c r="A38" s="4" t="s">
        <v>849</v>
      </c>
      <c r="B38" s="60" t="s">
        <v>850</v>
      </c>
      <c r="C38" s="39" t="s">
        <v>689</v>
      </c>
    </row>
    <row r="39" spans="1:3" s="62" customFormat="1" ht="9.6" customHeight="1" x14ac:dyDescent="0.15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27"/>
  <sheetViews>
    <sheetView tabSelected="1" zoomScale="130" zoomScaleNormal="130" workbookViewId="0">
      <pane ySplit="1" topLeftCell="A2" activePane="bottomLeft" state="frozen"/>
      <selection pane="bottomLeft" sqref="A1:XFD1048576"/>
    </sheetView>
  </sheetViews>
  <sheetFormatPr defaultRowHeight="6.75" customHeight="1" x14ac:dyDescent="0.2"/>
  <cols>
    <col min="1" max="1" width="2.83203125" customWidth="1"/>
    <col min="2" max="2" width="7.33203125" style="27" bestFit="1" customWidth="1"/>
    <col min="3" max="3" width="8.1640625" style="27" bestFit="1" customWidth="1"/>
    <col min="4" max="4" width="10.5" style="27" bestFit="1" customWidth="1"/>
    <col min="5" max="5" width="9.6640625" style="27" bestFit="1" customWidth="1"/>
    <col min="6" max="6" width="16.1640625" style="27" bestFit="1" customWidth="1"/>
    <col min="7" max="11" width="8.6640625" style="27" bestFit="1" customWidth="1"/>
    <col min="12" max="12" width="9.33203125" bestFit="1" customWidth="1"/>
    <col min="13" max="13" width="10.5" bestFit="1" customWidth="1"/>
    <col min="14" max="14" width="9.6640625" bestFit="1" customWidth="1"/>
    <col min="15" max="15" width="16.1640625" bestFit="1" customWidth="1"/>
    <col min="16" max="16" width="78.1640625" bestFit="1" customWidth="1"/>
    <col min="17" max="17" width="80.5" bestFit="1" customWidth="1"/>
    <col min="18" max="18" width="5" style="27" bestFit="1" customWidth="1"/>
    <col min="19" max="19" width="8.1640625" bestFit="1" customWidth="1"/>
    <col min="20" max="20" width="10.5" bestFit="1" customWidth="1"/>
    <col min="21" max="21" width="9.6640625" bestFit="1" customWidth="1"/>
    <col min="22" max="22" width="10" bestFit="1" customWidth="1"/>
    <col min="23" max="23" width="9.83203125" style="27" bestFit="1" customWidth="1"/>
    <col min="24" max="24" width="56.33203125" bestFit="1" customWidth="1"/>
    <col min="25" max="25" width="11" bestFit="1" customWidth="1"/>
    <col min="26" max="26" width="8.1640625" customWidth="1"/>
    <col min="27" max="27" width="71.6640625" bestFit="1" customWidth="1"/>
  </cols>
  <sheetData>
    <row r="1" spans="1:27" ht="26.25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678</v>
      </c>
      <c r="S1" s="17" t="s">
        <v>634</v>
      </c>
      <c r="T1" s="17" t="s">
        <v>654</v>
      </c>
      <c r="U1" s="17" t="s">
        <v>636</v>
      </c>
      <c r="V1" s="17" t="s">
        <v>635</v>
      </c>
      <c r="W1" s="55" t="s">
        <v>655</v>
      </c>
      <c r="X1" s="17" t="s">
        <v>682</v>
      </c>
      <c r="Y1" s="17" t="s">
        <v>683</v>
      </c>
      <c r="Z1" s="17" t="s">
        <v>656</v>
      </c>
      <c r="AA1" s="34" t="s">
        <v>684</v>
      </c>
    </row>
    <row r="2" spans="1:27" ht="9" customHeight="1" x14ac:dyDescent="0.2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35" t="s">
        <v>321</v>
      </c>
      <c r="S2" s="50" t="str">
        <f t="shared" ref="S2:U14" si="2">SUBSTITUTE(C2, "_", " ")</f>
        <v>Normativos</v>
      </c>
      <c r="T2" s="50" t="str">
        <f t="shared" si="2"/>
        <v>ABNT</v>
      </c>
      <c r="U2" s="49" t="str">
        <f t="shared" si="2"/>
        <v>NBR.Parte</v>
      </c>
      <c r="V2" s="35" t="s">
        <v>705</v>
      </c>
      <c r="W2" s="54" t="str">
        <f t="shared" ref="W2:W14" si="3">CONCATENATE("Key-ABNT-",A2)</f>
        <v>Key-ABNT-2</v>
      </c>
      <c r="X2" s="35" t="s">
        <v>856</v>
      </c>
      <c r="Y2" s="35" t="s">
        <v>857</v>
      </c>
      <c r="Z2" s="35" t="s">
        <v>706</v>
      </c>
      <c r="AA2" s="51" t="s">
        <v>790</v>
      </c>
    </row>
    <row r="3" spans="1:27" ht="9" customHeight="1" x14ac:dyDescent="0.2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35" t="s">
        <v>321</v>
      </c>
      <c r="S3" s="50" t="str">
        <f t="shared" si="2"/>
        <v>Normativos</v>
      </c>
      <c r="T3" s="50" t="str">
        <f t="shared" si="2"/>
        <v>ABNT</v>
      </c>
      <c r="U3" s="49" t="str">
        <f t="shared" si="2"/>
        <v>NBR.Parte</v>
      </c>
      <c r="V3" s="35" t="s">
        <v>705</v>
      </c>
      <c r="W3" s="54" t="str">
        <f t="shared" si="3"/>
        <v>Key-ABNT-3</v>
      </c>
      <c r="X3" s="35" t="s">
        <v>858</v>
      </c>
      <c r="Y3" s="35" t="s">
        <v>864</v>
      </c>
      <c r="Z3" s="35" t="s">
        <v>707</v>
      </c>
      <c r="AA3" s="51" t="s">
        <v>793</v>
      </c>
    </row>
    <row r="4" spans="1:27" ht="9" customHeight="1" x14ac:dyDescent="0.2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35" t="s">
        <v>321</v>
      </c>
      <c r="S4" s="50" t="str">
        <f t="shared" si="2"/>
        <v>Normativos</v>
      </c>
      <c r="T4" s="50" t="str">
        <f t="shared" si="2"/>
        <v>ABNT</v>
      </c>
      <c r="U4" s="49" t="str">
        <f t="shared" si="2"/>
        <v>NBR.Parte</v>
      </c>
      <c r="V4" s="35" t="s">
        <v>705</v>
      </c>
      <c r="W4" s="54" t="str">
        <f t="shared" si="3"/>
        <v>Key-ABNT-4</v>
      </c>
      <c r="X4" s="35" t="s">
        <v>858</v>
      </c>
      <c r="Y4" s="35" t="s">
        <v>859</v>
      </c>
      <c r="Z4" s="35" t="s">
        <v>708</v>
      </c>
      <c r="AA4" s="51" t="s">
        <v>796</v>
      </c>
    </row>
    <row r="5" spans="1:27" ht="9" customHeight="1" x14ac:dyDescent="0.2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35" t="s">
        <v>321</v>
      </c>
      <c r="S5" s="50" t="str">
        <f t="shared" si="2"/>
        <v>Normativos</v>
      </c>
      <c r="T5" s="50" t="str">
        <f t="shared" si="2"/>
        <v>ABNT</v>
      </c>
      <c r="U5" s="49" t="str">
        <f t="shared" si="2"/>
        <v>NBR.Parte</v>
      </c>
      <c r="V5" s="35" t="s">
        <v>705</v>
      </c>
      <c r="W5" s="54" t="str">
        <f t="shared" si="3"/>
        <v>Key-ABNT-5</v>
      </c>
      <c r="X5" s="35" t="s">
        <v>860</v>
      </c>
      <c r="Y5" s="35" t="s">
        <v>861</v>
      </c>
      <c r="Z5" s="35" t="s">
        <v>709</v>
      </c>
      <c r="AA5" s="51" t="s">
        <v>799</v>
      </c>
    </row>
    <row r="6" spans="1:27" ht="9" customHeight="1" x14ac:dyDescent="0.2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35" t="s">
        <v>321</v>
      </c>
      <c r="S6" s="50" t="str">
        <f t="shared" si="2"/>
        <v>Normativos</v>
      </c>
      <c r="T6" s="50" t="str">
        <f t="shared" si="2"/>
        <v>ABNT</v>
      </c>
      <c r="U6" s="49" t="str">
        <f t="shared" si="2"/>
        <v>NBR.Parte</v>
      </c>
      <c r="V6" s="35" t="s">
        <v>705</v>
      </c>
      <c r="W6" s="54" t="str">
        <f t="shared" si="3"/>
        <v>Key-ABNT-6</v>
      </c>
      <c r="X6" s="35" t="s">
        <v>858</v>
      </c>
      <c r="Y6" s="35" t="s">
        <v>859</v>
      </c>
      <c r="Z6" s="35" t="s">
        <v>624</v>
      </c>
      <c r="AA6" s="51" t="s">
        <v>802</v>
      </c>
    </row>
    <row r="7" spans="1:27" ht="9" customHeight="1" x14ac:dyDescent="0.2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35" t="s">
        <v>321</v>
      </c>
      <c r="S7" s="50" t="str">
        <f t="shared" si="2"/>
        <v>Normativos</v>
      </c>
      <c r="T7" s="50" t="str">
        <f t="shared" si="2"/>
        <v>ABNT</v>
      </c>
      <c r="U7" s="49" t="str">
        <f t="shared" si="2"/>
        <v>NBR.Parte</v>
      </c>
      <c r="V7" s="35" t="s">
        <v>705</v>
      </c>
      <c r="W7" s="54" t="str">
        <f t="shared" si="3"/>
        <v>Key-ABNT-7</v>
      </c>
      <c r="X7" s="35" t="s">
        <v>858</v>
      </c>
      <c r="Y7" s="35" t="s">
        <v>858</v>
      </c>
      <c r="Z7" s="35" t="s">
        <v>710</v>
      </c>
      <c r="AA7" s="51" t="s">
        <v>805</v>
      </c>
    </row>
    <row r="8" spans="1:27" ht="9" customHeight="1" x14ac:dyDescent="0.2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35" t="s">
        <v>321</v>
      </c>
      <c r="S8" s="50" t="str">
        <f t="shared" si="2"/>
        <v>Normativos</v>
      </c>
      <c r="T8" s="50" t="str">
        <f t="shared" si="2"/>
        <v>ABNT</v>
      </c>
      <c r="U8" s="49" t="str">
        <f t="shared" si="2"/>
        <v>NBR.Parte</v>
      </c>
      <c r="V8" s="35" t="s">
        <v>705</v>
      </c>
      <c r="W8" s="54" t="str">
        <f t="shared" si="3"/>
        <v>Key-ABNT-8</v>
      </c>
      <c r="X8" s="35" t="s">
        <v>858</v>
      </c>
      <c r="Y8" s="35" t="s">
        <v>858</v>
      </c>
      <c r="Z8" s="35" t="s">
        <v>711</v>
      </c>
      <c r="AA8" s="51" t="s">
        <v>808</v>
      </c>
    </row>
    <row r="9" spans="1:27" ht="9" customHeight="1" x14ac:dyDescent="0.2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35" t="s">
        <v>321</v>
      </c>
      <c r="S9" s="50" t="str">
        <f t="shared" si="2"/>
        <v>Normativos</v>
      </c>
      <c r="T9" s="50" t="str">
        <f t="shared" si="2"/>
        <v>ABNT</v>
      </c>
      <c r="U9" s="49" t="str">
        <f t="shared" si="2"/>
        <v>NBR.Parte</v>
      </c>
      <c r="V9" s="35" t="s">
        <v>705</v>
      </c>
      <c r="W9" s="54" t="str">
        <f t="shared" si="3"/>
        <v>Key-ABNT-9</v>
      </c>
      <c r="X9" s="35" t="s">
        <v>858</v>
      </c>
      <c r="Y9" s="35" t="s">
        <v>858</v>
      </c>
      <c r="Z9" s="35" t="s">
        <v>712</v>
      </c>
      <c r="AA9" s="51" t="s">
        <v>811</v>
      </c>
    </row>
    <row r="10" spans="1:27" ht="9" customHeight="1" x14ac:dyDescent="0.2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35" t="s">
        <v>321</v>
      </c>
      <c r="S10" s="50" t="str">
        <f t="shared" si="2"/>
        <v>Normativos</v>
      </c>
      <c r="T10" s="50" t="str">
        <f t="shared" si="2"/>
        <v>ABNT</v>
      </c>
      <c r="U10" s="49" t="str">
        <f t="shared" si="2"/>
        <v>NBR.Parte</v>
      </c>
      <c r="V10" s="35" t="s">
        <v>705</v>
      </c>
      <c r="W10" s="54" t="str">
        <f t="shared" si="3"/>
        <v>Key-ABNT-10</v>
      </c>
      <c r="X10" s="35" t="s">
        <v>858</v>
      </c>
      <c r="Y10" s="35" t="s">
        <v>858</v>
      </c>
      <c r="Z10" s="35" t="s">
        <v>713</v>
      </c>
      <c r="AA10" s="51" t="s">
        <v>814</v>
      </c>
    </row>
    <row r="11" spans="1:27" ht="9" customHeight="1" x14ac:dyDescent="0.2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35" t="s">
        <v>321</v>
      </c>
      <c r="S11" s="50" t="str">
        <f t="shared" si="2"/>
        <v>Normativos</v>
      </c>
      <c r="T11" s="50" t="str">
        <f t="shared" si="2"/>
        <v>ABNT</v>
      </c>
      <c r="U11" s="49" t="str">
        <f t="shared" si="2"/>
        <v>NBR.Parte</v>
      </c>
      <c r="V11" s="35" t="s">
        <v>705</v>
      </c>
      <c r="W11" s="54" t="str">
        <f t="shared" si="3"/>
        <v>Key-ABNT-11</v>
      </c>
      <c r="X11" s="35" t="s">
        <v>858</v>
      </c>
      <c r="Y11" s="35" t="s">
        <v>858</v>
      </c>
      <c r="Z11" s="35" t="s">
        <v>714</v>
      </c>
      <c r="AA11" s="51" t="s">
        <v>817</v>
      </c>
    </row>
    <row r="12" spans="1:27" ht="9" customHeight="1" x14ac:dyDescent="0.2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35" t="s">
        <v>321</v>
      </c>
      <c r="S12" s="50" t="str">
        <f t="shared" si="2"/>
        <v>Normativos</v>
      </c>
      <c r="T12" s="50" t="str">
        <f t="shared" si="2"/>
        <v>ABNT</v>
      </c>
      <c r="U12" s="49" t="str">
        <f t="shared" si="2"/>
        <v>NBR.Parte</v>
      </c>
      <c r="V12" s="35" t="s">
        <v>705</v>
      </c>
      <c r="W12" s="54" t="str">
        <f t="shared" si="3"/>
        <v>Key-ABNT-12</v>
      </c>
      <c r="X12" s="35" t="s">
        <v>862</v>
      </c>
      <c r="Y12" s="35" t="s">
        <v>863</v>
      </c>
      <c r="Z12" s="35" t="s">
        <v>715</v>
      </c>
      <c r="AA12" s="51" t="s">
        <v>820</v>
      </c>
    </row>
    <row r="13" spans="1:27" ht="9" customHeight="1" x14ac:dyDescent="0.2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35" t="s">
        <v>321</v>
      </c>
      <c r="S13" s="50" t="str">
        <f t="shared" si="2"/>
        <v>Normativos</v>
      </c>
      <c r="T13" s="50" t="str">
        <f t="shared" si="2"/>
        <v>ABNT</v>
      </c>
      <c r="U13" s="49" t="str">
        <f t="shared" si="2"/>
        <v>NBR.Parte</v>
      </c>
      <c r="V13" s="35" t="s">
        <v>705</v>
      </c>
      <c r="W13" s="54" t="str">
        <f t="shared" si="3"/>
        <v>Key-ABNT-13</v>
      </c>
      <c r="X13" s="35" t="s">
        <v>862</v>
      </c>
      <c r="Y13" s="35" t="s">
        <v>863</v>
      </c>
      <c r="Z13" s="35" t="s">
        <v>716</v>
      </c>
      <c r="AA13" s="51" t="s">
        <v>823</v>
      </c>
    </row>
    <row r="14" spans="1:27" ht="9" customHeight="1" x14ac:dyDescent="0.2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35" t="s">
        <v>321</v>
      </c>
      <c r="S14" s="50" t="str">
        <f t="shared" si="2"/>
        <v>Normativos</v>
      </c>
      <c r="T14" s="50" t="str">
        <f t="shared" si="2"/>
        <v>ABNT</v>
      </c>
      <c r="U14" s="49" t="str">
        <f t="shared" si="2"/>
        <v>NBR.Parte</v>
      </c>
      <c r="V14" s="35" t="s">
        <v>705</v>
      </c>
      <c r="W14" s="54" t="str">
        <f t="shared" si="3"/>
        <v>Key-ABNT-14</v>
      </c>
      <c r="X14" s="63" t="s">
        <v>865</v>
      </c>
      <c r="Y14" s="64" t="s">
        <v>866</v>
      </c>
      <c r="Z14" s="35" t="s">
        <v>717</v>
      </c>
      <c r="AA14" s="51" t="s">
        <v>826</v>
      </c>
    </row>
    <row r="15" spans="1:27" ht="9" customHeight="1" x14ac:dyDescent="0.2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tr">
        <f>_xlfn.TRANSLATE(P15,"pt","es")</f>
        <v>Servicios transaccionales</v>
      </c>
      <c r="R15" s="35" t="s">
        <v>321</v>
      </c>
      <c r="S15" s="50" t="str">
        <f t="shared" ref="S15:U17" si="6">SUBSTITUTE(C15, "_", " ")</f>
        <v>Normativos</v>
      </c>
      <c r="T15" s="50" t="str">
        <f t="shared" si="6"/>
        <v>NBR.Temáticas</v>
      </c>
      <c r="U15" s="49" t="str">
        <f t="shared" si="6"/>
        <v>NBR.Serviços</v>
      </c>
      <c r="V15" s="35" t="s">
        <v>705</v>
      </c>
      <c r="W15" s="54" t="str">
        <f t="shared" ref="W15:W27" si="7">CONCATENATE("Key-ABNT-",A15)</f>
        <v>Key-ABNT-15</v>
      </c>
      <c r="X15" s="35" t="s">
        <v>858</v>
      </c>
      <c r="Y15" s="35" t="s">
        <v>859</v>
      </c>
      <c r="Z15" s="50" t="s">
        <v>746</v>
      </c>
      <c r="AA15" s="35" t="str">
        <f>_xlfn.TRANSLATE(P15,"pt","en")</f>
        <v>Transactional services</v>
      </c>
    </row>
    <row r="16" spans="1:27" ht="9" customHeight="1" x14ac:dyDescent="0.2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tr">
        <f t="shared" ref="Q16:Q27" si="8">_xlfn.TRANSLATE(P16,"pt","es")</f>
        <v>Servicios administrativos</v>
      </c>
      <c r="R16" s="35" t="s">
        <v>321</v>
      </c>
      <c r="S16" s="50" t="str">
        <f t="shared" si="6"/>
        <v>Normativos</v>
      </c>
      <c r="T16" s="50" t="str">
        <f t="shared" si="6"/>
        <v>NBR.Temáticas</v>
      </c>
      <c r="U16" s="49" t="str">
        <f t="shared" si="6"/>
        <v>NBR.Serviços</v>
      </c>
      <c r="V16" s="35" t="s">
        <v>705</v>
      </c>
      <c r="W16" s="54" t="str">
        <f t="shared" si="7"/>
        <v>Key-ABNT-16</v>
      </c>
      <c r="X16" s="35" t="s">
        <v>858</v>
      </c>
      <c r="Y16" s="35" t="s">
        <v>859</v>
      </c>
      <c r="Z16" s="50" t="s">
        <v>747</v>
      </c>
      <c r="AA16" s="35" t="str">
        <f t="shared" ref="AA16:AA27" si="9">_xlfn.TRANSLATE(P16,"pt","en")</f>
        <v>Administrative services</v>
      </c>
    </row>
    <row r="17" spans="1:27" ht="9" customHeight="1" x14ac:dyDescent="0.2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tr">
        <f t="shared" si="8"/>
        <v>Servicios de comunicación</v>
      </c>
      <c r="R17" s="35" t="s">
        <v>321</v>
      </c>
      <c r="S17" s="50" t="str">
        <f t="shared" si="6"/>
        <v>Normativos</v>
      </c>
      <c r="T17" s="50" t="str">
        <f t="shared" si="6"/>
        <v>NBR.Temáticas</v>
      </c>
      <c r="U17" s="49" t="str">
        <f t="shared" si="6"/>
        <v>NBR.Serviços</v>
      </c>
      <c r="V17" s="35" t="s">
        <v>705</v>
      </c>
      <c r="W17" s="54" t="str">
        <f t="shared" si="7"/>
        <v>Key-ABNT-17</v>
      </c>
      <c r="X17" s="35" t="s">
        <v>858</v>
      </c>
      <c r="Y17" s="35" t="s">
        <v>859</v>
      </c>
      <c r="Z17" s="50" t="s">
        <v>761</v>
      </c>
      <c r="AA17" s="35" t="str">
        <f t="shared" si="9"/>
        <v>Communication Services</v>
      </c>
    </row>
    <row r="18" spans="1:27" ht="9" customHeight="1" x14ac:dyDescent="0.2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tr">
        <f t="shared" si="8"/>
        <v>Servicios de Conceptualización</v>
      </c>
      <c r="R18" s="35" t="s">
        <v>321</v>
      </c>
      <c r="S18" s="50" t="str">
        <f t="shared" ref="S18:U27" si="10">SUBSTITUTE(C18, "_", " ")</f>
        <v>Normativos</v>
      </c>
      <c r="T18" s="50" t="str">
        <f t="shared" si="10"/>
        <v>NBR.Temáticas</v>
      </c>
      <c r="U18" s="49" t="str">
        <f t="shared" si="10"/>
        <v>NBR.Serviços</v>
      </c>
      <c r="V18" s="35" t="s">
        <v>705</v>
      </c>
      <c r="W18" s="54" t="str">
        <f t="shared" si="7"/>
        <v>Key-ABNT-18</v>
      </c>
      <c r="X18" s="35" t="s">
        <v>858</v>
      </c>
      <c r="Y18" s="35" t="s">
        <v>859</v>
      </c>
      <c r="Z18" s="50" t="s">
        <v>762</v>
      </c>
      <c r="AA18" s="35" t="str">
        <f t="shared" si="9"/>
        <v>Conceptualization Services</v>
      </c>
    </row>
    <row r="19" spans="1:27" ht="9" customHeight="1" x14ac:dyDescent="0.2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tr">
        <f t="shared" si="8"/>
        <v>Servicios de información</v>
      </c>
      <c r="R19" s="35" t="s">
        <v>321</v>
      </c>
      <c r="S19" s="50" t="str">
        <f t="shared" si="10"/>
        <v>Normativos</v>
      </c>
      <c r="T19" s="50" t="str">
        <f t="shared" si="10"/>
        <v>NBR.Temáticas</v>
      </c>
      <c r="U19" s="49" t="str">
        <f t="shared" si="10"/>
        <v>NBR.Serviços</v>
      </c>
      <c r="V19" s="35" t="s">
        <v>705</v>
      </c>
      <c r="W19" s="54" t="str">
        <f t="shared" si="7"/>
        <v>Key-ABNT-19</v>
      </c>
      <c r="X19" s="35" t="s">
        <v>858</v>
      </c>
      <c r="Y19" s="35" t="s">
        <v>859</v>
      </c>
      <c r="Z19" s="50" t="s">
        <v>765</v>
      </c>
      <c r="AA19" s="35" t="str">
        <f t="shared" si="9"/>
        <v>Information services</v>
      </c>
    </row>
    <row r="20" spans="1:27" ht="9" customHeight="1" x14ac:dyDescent="0.2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tr">
        <f t="shared" si="8"/>
        <v>Servicios de organización</v>
      </c>
      <c r="R20" s="35" t="s">
        <v>321</v>
      </c>
      <c r="S20" s="50" t="str">
        <f t="shared" si="10"/>
        <v>Normativos</v>
      </c>
      <c r="T20" s="50" t="str">
        <f t="shared" si="10"/>
        <v>NBR.Temáticas</v>
      </c>
      <c r="U20" s="49" t="str">
        <f t="shared" si="10"/>
        <v>NBR.Serviços</v>
      </c>
      <c r="V20" s="35" t="s">
        <v>705</v>
      </c>
      <c r="W20" s="54" t="str">
        <f t="shared" si="7"/>
        <v>Key-ABNT-20</v>
      </c>
      <c r="X20" s="35" t="s">
        <v>858</v>
      </c>
      <c r="Y20" s="35" t="s">
        <v>859</v>
      </c>
      <c r="Z20" s="50" t="s">
        <v>766</v>
      </c>
      <c r="AA20" s="35" t="str">
        <f t="shared" si="9"/>
        <v>Organization Services</v>
      </c>
    </row>
    <row r="21" spans="1:27" ht="9" customHeight="1" x14ac:dyDescent="0.2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tr">
        <f t="shared" si="8"/>
        <v>Servicios de Desarrollo de Proyectos</v>
      </c>
      <c r="R21" s="35" t="s">
        <v>321</v>
      </c>
      <c r="S21" s="50" t="str">
        <f t="shared" si="10"/>
        <v>Normativos</v>
      </c>
      <c r="T21" s="50" t="str">
        <f t="shared" si="10"/>
        <v>NBR.Temáticas</v>
      </c>
      <c r="U21" s="49" t="str">
        <f t="shared" si="10"/>
        <v>NBR.Serviços</v>
      </c>
      <c r="V21" s="35" t="s">
        <v>705</v>
      </c>
      <c r="W21" s="54" t="str">
        <f t="shared" si="7"/>
        <v>Key-ABNT-21</v>
      </c>
      <c r="X21" s="35" t="s">
        <v>858</v>
      </c>
      <c r="Y21" s="35" t="s">
        <v>859</v>
      </c>
      <c r="Z21" s="50" t="s">
        <v>763</v>
      </c>
      <c r="AA21" s="35" t="str">
        <f t="shared" si="9"/>
        <v>Project Development Services</v>
      </c>
    </row>
    <row r="22" spans="1:27" ht="9" customHeight="1" x14ac:dyDescent="0.2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tr">
        <f t="shared" si="8"/>
        <v>Servicios de Documentos</v>
      </c>
      <c r="R22" s="35" t="s">
        <v>321</v>
      </c>
      <c r="S22" s="50" t="str">
        <f t="shared" si="10"/>
        <v>Normativos</v>
      </c>
      <c r="T22" s="50" t="str">
        <f t="shared" si="10"/>
        <v>NBR.Temáticas</v>
      </c>
      <c r="U22" s="49" t="str">
        <f t="shared" si="10"/>
        <v>NBR.Serviços</v>
      </c>
      <c r="V22" s="35" t="s">
        <v>705</v>
      </c>
      <c r="W22" s="54" t="str">
        <f t="shared" si="7"/>
        <v>Key-ABNT-22</v>
      </c>
      <c r="X22" s="35" t="s">
        <v>858</v>
      </c>
      <c r="Y22" s="35" t="s">
        <v>859</v>
      </c>
      <c r="Z22" s="50" t="s">
        <v>764</v>
      </c>
      <c r="AA22" s="35" t="str">
        <f t="shared" si="9"/>
        <v>Document Services</v>
      </c>
    </row>
    <row r="23" spans="1:27" ht="9" customHeight="1" x14ac:dyDescent="0.2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tr">
        <f t="shared" si="8"/>
        <v>Servicios de Implementación</v>
      </c>
      <c r="R23" s="35" t="s">
        <v>321</v>
      </c>
      <c r="S23" s="50" t="str">
        <f t="shared" si="10"/>
        <v>Normativos</v>
      </c>
      <c r="T23" s="50" t="str">
        <f t="shared" si="10"/>
        <v>NBR.Temáticas</v>
      </c>
      <c r="U23" s="49" t="str">
        <f t="shared" si="10"/>
        <v>NBR.Serviços</v>
      </c>
      <c r="V23" s="35" t="s">
        <v>705</v>
      </c>
      <c r="W23" s="54" t="str">
        <f t="shared" si="7"/>
        <v>Key-ABNT-23</v>
      </c>
      <c r="X23" s="35" t="s">
        <v>858</v>
      </c>
      <c r="Y23" s="35" t="s">
        <v>859</v>
      </c>
      <c r="Z23" s="50" t="s">
        <v>767</v>
      </c>
      <c r="AA23" s="35" t="str">
        <f t="shared" si="9"/>
        <v>Implementation Services</v>
      </c>
    </row>
    <row r="24" spans="1:27" ht="9" customHeight="1" x14ac:dyDescent="0.2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tr">
        <f t="shared" si="8"/>
        <v>Servicios de Operación de Edificios</v>
      </c>
      <c r="R24" s="35" t="s">
        <v>321</v>
      </c>
      <c r="S24" s="50" t="str">
        <f t="shared" si="10"/>
        <v>Normativos</v>
      </c>
      <c r="T24" s="50" t="str">
        <f t="shared" si="10"/>
        <v>NBR.Temáticas</v>
      </c>
      <c r="U24" s="49" t="str">
        <f t="shared" si="10"/>
        <v>NBR.Serviços</v>
      </c>
      <c r="V24" s="35" t="s">
        <v>705</v>
      </c>
      <c r="W24" s="54" t="str">
        <f t="shared" si="7"/>
        <v>Key-ABNT-24</v>
      </c>
      <c r="X24" s="35" t="s">
        <v>858</v>
      </c>
      <c r="Y24" s="35" t="s">
        <v>859</v>
      </c>
      <c r="Z24" s="50" t="s">
        <v>768</v>
      </c>
      <c r="AA24" s="35" t="str">
        <f t="shared" si="9"/>
        <v>Building Operation Services</v>
      </c>
    </row>
    <row r="25" spans="1:27" ht="9" customHeight="1" x14ac:dyDescent="0.2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tr">
        <f t="shared" si="8"/>
        <v>Servicios de apoyo</v>
      </c>
      <c r="R25" s="35" t="s">
        <v>321</v>
      </c>
      <c r="S25" s="50" t="str">
        <f t="shared" si="10"/>
        <v>Normativos</v>
      </c>
      <c r="T25" s="50" t="str">
        <f t="shared" si="10"/>
        <v>NBR.Temáticas</v>
      </c>
      <c r="U25" s="49" t="str">
        <f t="shared" si="10"/>
        <v>NBR.Serviços</v>
      </c>
      <c r="V25" s="35" t="s">
        <v>705</v>
      </c>
      <c r="W25" s="54" t="str">
        <f t="shared" si="7"/>
        <v>Key-ABNT-25</v>
      </c>
      <c r="X25" s="35" t="s">
        <v>858</v>
      </c>
      <c r="Y25" s="35" t="s">
        <v>859</v>
      </c>
      <c r="Z25" s="50" t="s">
        <v>769</v>
      </c>
      <c r="AA25" s="35" t="str">
        <f t="shared" si="9"/>
        <v>Support Services</v>
      </c>
    </row>
    <row r="26" spans="1:27" ht="9" customHeight="1" x14ac:dyDescent="0.2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tr">
        <f t="shared" si="8"/>
        <v>Servicios gubernamentales</v>
      </c>
      <c r="R26" s="35" t="s">
        <v>321</v>
      </c>
      <c r="S26" s="50" t="str">
        <f t="shared" si="10"/>
        <v>Normativos</v>
      </c>
      <c r="T26" s="50" t="str">
        <f t="shared" si="10"/>
        <v>NBR.Temáticas</v>
      </c>
      <c r="U26" s="49" t="str">
        <f t="shared" si="10"/>
        <v>NBR.Serviços</v>
      </c>
      <c r="V26" s="35" t="s">
        <v>705</v>
      </c>
      <c r="W26" s="54" t="str">
        <f t="shared" si="7"/>
        <v>Key-ABNT-26</v>
      </c>
      <c r="X26" s="35" t="s">
        <v>858</v>
      </c>
      <c r="Y26" s="35" t="s">
        <v>859</v>
      </c>
      <c r="Z26" s="50" t="s">
        <v>770</v>
      </c>
      <c r="AA26" s="35" t="str">
        <f t="shared" si="9"/>
        <v>Government Services</v>
      </c>
    </row>
    <row r="27" spans="1:27" ht="9" customHeight="1" x14ac:dyDescent="0.2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tr">
        <f t="shared" si="8"/>
        <v>Servicios adicionales</v>
      </c>
      <c r="R27" s="35" t="s">
        <v>321</v>
      </c>
      <c r="S27" s="50" t="str">
        <f t="shared" si="10"/>
        <v>Normativos</v>
      </c>
      <c r="T27" s="50" t="str">
        <f t="shared" si="10"/>
        <v>NBR.Temáticas</v>
      </c>
      <c r="U27" s="49" t="str">
        <f t="shared" si="10"/>
        <v>NBR.Serviços</v>
      </c>
      <c r="V27" s="35" t="s">
        <v>705</v>
      </c>
      <c r="W27" s="54" t="str">
        <f t="shared" si="7"/>
        <v>Key-ABNT-27</v>
      </c>
      <c r="X27" s="35" t="s">
        <v>858</v>
      </c>
      <c r="Y27" s="35" t="s">
        <v>859</v>
      </c>
      <c r="Z27" s="50" t="s">
        <v>771</v>
      </c>
      <c r="AA27" s="35" t="str">
        <f t="shared" si="9"/>
        <v>Additional services</v>
      </c>
    </row>
  </sheetData>
  <conditionalFormatting sqref="F2:F14">
    <cfRule type="duplicateValues" dxfId="19" priority="2"/>
  </conditionalFormatting>
  <conditionalFormatting sqref="F15">
    <cfRule type="duplicateValues" dxfId="18" priority="30"/>
    <cfRule type="duplicateValues" dxfId="17" priority="31"/>
    <cfRule type="duplicateValues" dxfId="16" priority="32"/>
    <cfRule type="duplicateValues" dxfId="15" priority="33"/>
  </conditionalFormatting>
  <conditionalFormatting sqref="AA1:AA27 A2:B27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679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zoomScale="175" zoomScaleNormal="175" workbookViewId="0">
      <selection activeCell="C8" sqref="C8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3" width="13.83203125" style="2" customWidth="1"/>
    <col min="4" max="5" width="8" style="2" customWidth="1"/>
    <col min="6" max="6" width="5" bestFit="1" customWidth="1"/>
    <col min="8" max="8" width="4.33203125" customWidth="1"/>
    <col min="9" max="9" width="5.6640625" customWidth="1"/>
    <col min="10" max="10" width="3.6640625" customWidth="1"/>
    <col min="11" max="11" width="7.6640625" bestFit="1" customWidth="1"/>
    <col min="12" max="12" width="5.5" customWidth="1"/>
    <col min="13" max="13" width="27" customWidth="1"/>
    <col min="14" max="14" width="6.33203125" customWidth="1"/>
    <col min="15" max="15" width="32.5" style="32" bestFit="1" customWidth="1"/>
    <col min="17" max="17" width="3.6640625" bestFit="1" customWidth="1"/>
    <col min="19" max="19" width="3.6640625" bestFit="1" customWidth="1"/>
    <col min="20" max="25" width="3.83203125" customWidth="1"/>
  </cols>
  <sheetData>
    <row r="1" spans="1:25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2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2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2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2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2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2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2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2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2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2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2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2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2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2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2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2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2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2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2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2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2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2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2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2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2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2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2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2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2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2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2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2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2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2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2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2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2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2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2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2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2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2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2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2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2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2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2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2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2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2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2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2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2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2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2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2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2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2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2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2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2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2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2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2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2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2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2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2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2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2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2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2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2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2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2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2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2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2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2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2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2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2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2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2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2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2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2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2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2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2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2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2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2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2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2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2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2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2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2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2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2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2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2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2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2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2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2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2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2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2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2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2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2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2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2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2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2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2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2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2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2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2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2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2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2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2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2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2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2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2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2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2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2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2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2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2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2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2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2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2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2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2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2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2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2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2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2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2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2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2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2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2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2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2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2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2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2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2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2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2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2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2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2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2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2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2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2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2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2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2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2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2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2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2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2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2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2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2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2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2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2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2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2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2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2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2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2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2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2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2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2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2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2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2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2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2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2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2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2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2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2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2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2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2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2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2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2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2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2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2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2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2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2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2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2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2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2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2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2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2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2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2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2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2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2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2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2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2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2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2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2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2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2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2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2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2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2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2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2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2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2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2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2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2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2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2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2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2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2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2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2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2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2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2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2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2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2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2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2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2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2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2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2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2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2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2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2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2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2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2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2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2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2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2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2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2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2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2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2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2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2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2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2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2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2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2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2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2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2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2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2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2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2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2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2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2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2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2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2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2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2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2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2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2026-08-10T15:01:50Z</dcterms:modified>
</cp:coreProperties>
</file>